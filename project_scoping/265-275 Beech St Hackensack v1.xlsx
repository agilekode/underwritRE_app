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2A13B3138C41251/Documents/BYLT/Personal RE/underwritRE/"/>
    </mc:Choice>
  </mc:AlternateContent>
  <xr:revisionPtr revIDLastSave="287" documentId="13_ncr:1_{FBE7FD65-78C7-4C00-B7A6-3050473C14ED}" xr6:coauthVersionLast="47" xr6:coauthVersionMax="47" xr10:uidLastSave="{2DA44F06-2845-457A-8D9E-DD77B49443E3}"/>
  <bookViews>
    <workbookView xWindow="-28920" yWindow="-120" windowWidth="29040" windowHeight="15720" tabRatio="872" firstSheet="1" activeTab="5" xr2:uid="{BBA22B10-FA44-42D5-93C6-137DD79D0084}"/>
  </bookViews>
  <sheets>
    <sheet name="Diligence and Notes" sheetId="24" r:id="rId1"/>
    <sheet name="Underwriting Assumptions" sheetId="30" r:id="rId2"/>
    <sheet name="NOI" sheetId="31" r:id="rId3"/>
    <sheet name="Cash Flow and Exit" sheetId="32" r:id="rId4"/>
    <sheet name="Model" sheetId="3" r:id="rId5"/>
    <sheet name="Assumptions" sheetId="1" r:id="rId6"/>
    <sheet name="NOI Walk" sheetId="9" r:id="rId7"/>
    <sheet name="Debt Schedule" sheetId="23" r:id="rId8"/>
    <sheet name="Retail Assumptions" sheetId="10" state="hidden" r:id="rId9"/>
    <sheet name="Closing Costs" sheetId="6" r:id="rId10"/>
    <sheet name="Legal and Pre-Dev" sheetId="2" r:id="rId11"/>
    <sheet name="Reserves" sheetId="11" r:id="rId12"/>
    <sheet name="Hard Costs" sheetId="7" r:id="rId13"/>
    <sheet name="1-month Term SOFR" sheetId="8" r:id="rId14"/>
    <sheet name="FROM BROKER&gt;&gt;&gt;" sheetId="35" r:id="rId15"/>
    <sheet name="Income &amp; Expenses" sheetId="36" r:id="rId16"/>
    <sheet name="Rent Roll" sheetId="37" r:id="rId17"/>
  </sheets>
  <definedNames>
    <definedName name="_xlnm._FilterDatabase" localSheetId="16" hidden="1">'Rent Roll'!$A$2:$E$81</definedName>
    <definedName name="Financial_Summary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'Diligence and Notes'!$B$3:$J$15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3" i="1" l="1"/>
  <c r="N23" i="1"/>
  <c r="F130" i="1"/>
  <c r="F129" i="1"/>
  <c r="K11" i="31"/>
  <c r="J11" i="31"/>
  <c r="I11" i="31"/>
  <c r="H11" i="31"/>
  <c r="G11" i="31"/>
  <c r="K10" i="31"/>
  <c r="J10" i="31"/>
  <c r="I10" i="31"/>
  <c r="H10" i="31"/>
  <c r="G10" i="31"/>
  <c r="C11" i="31"/>
  <c r="C28" i="31"/>
  <c r="G28" i="31"/>
  <c r="C27" i="31"/>
  <c r="G27" i="31"/>
  <c r="C24" i="31"/>
  <c r="G24" i="31"/>
  <c r="F49" i="1"/>
  <c r="F52" i="1" s="1"/>
  <c r="F55" i="1" s="1"/>
  <c r="F58" i="1" s="1"/>
  <c r="F61" i="1" s="1"/>
  <c r="F64" i="1" s="1"/>
  <c r="F67" i="1" s="1"/>
  <c r="F70" i="1" s="1"/>
  <c r="F73" i="1" s="1"/>
  <c r="F76" i="1" s="1"/>
  <c r="F79" i="1" s="1"/>
  <c r="F82" i="1" s="1"/>
  <c r="F85" i="1" s="1"/>
  <c r="F88" i="1" s="1"/>
  <c r="F91" i="1" s="1"/>
  <c r="F94" i="1" s="1"/>
  <c r="F97" i="1" s="1"/>
  <c r="F100" i="1" s="1"/>
  <c r="F103" i="1" s="1"/>
  <c r="F50" i="1"/>
  <c r="F53" i="1" s="1"/>
  <c r="F56" i="1" s="1"/>
  <c r="F59" i="1" s="1"/>
  <c r="F62" i="1" s="1"/>
  <c r="F65" i="1" s="1"/>
  <c r="F68" i="1" s="1"/>
  <c r="F71" i="1" s="1"/>
  <c r="F74" i="1" s="1"/>
  <c r="F77" i="1" s="1"/>
  <c r="F80" i="1" s="1"/>
  <c r="F83" i="1" s="1"/>
  <c r="F86" i="1" s="1"/>
  <c r="F89" i="1" s="1"/>
  <c r="F92" i="1" s="1"/>
  <c r="F95" i="1" s="1"/>
  <c r="F98" i="1" s="1"/>
  <c r="F101" i="1" s="1"/>
  <c r="F104" i="1" s="1"/>
  <c r="F51" i="1"/>
  <c r="F54" i="1" s="1"/>
  <c r="F57" i="1" s="1"/>
  <c r="F60" i="1" s="1"/>
  <c r="F63" i="1" s="1"/>
  <c r="F66" i="1" s="1"/>
  <c r="F69" i="1" s="1"/>
  <c r="F72" i="1" s="1"/>
  <c r="F75" i="1" s="1"/>
  <c r="F78" i="1" s="1"/>
  <c r="F81" i="1" s="1"/>
  <c r="F84" i="1" s="1"/>
  <c r="F87" i="1" s="1"/>
  <c r="F90" i="1" s="1"/>
  <c r="F93" i="1" s="1"/>
  <c r="F96" i="1" s="1"/>
  <c r="F99" i="1" s="1"/>
  <c r="F102" i="1" s="1"/>
  <c r="F105" i="1" s="1"/>
  <c r="E7" i="7"/>
  <c r="E8" i="6"/>
  <c r="N53" i="1"/>
  <c r="B103" i="1"/>
  <c r="I103" i="1"/>
  <c r="J103" i="1" s="1"/>
  <c r="B104" i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I104" i="1"/>
  <c r="J104" i="1" s="1"/>
  <c r="I105" i="1"/>
  <c r="J105" i="1" s="1"/>
  <c r="I106" i="1"/>
  <c r="J106" i="1" s="1"/>
  <c r="I107" i="1"/>
  <c r="J107" i="1" s="1"/>
  <c r="I108" i="1"/>
  <c r="K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E81" i="37"/>
  <c r="C81" i="37"/>
  <c r="B81" i="37"/>
  <c r="D23" i="37"/>
  <c r="H49" i="37" s="1"/>
  <c r="J7" i="36"/>
  <c r="D5" i="36" s="1"/>
  <c r="H7" i="36"/>
  <c r="D7" i="36" s="1"/>
  <c r="D8" i="36" s="1"/>
  <c r="C8" i="36" s="1"/>
  <c r="G7" i="36"/>
  <c r="D3" i="36" s="1"/>
  <c r="B43" i="9"/>
  <c r="C27" i="30"/>
  <c r="C6" i="30"/>
  <c r="C10" i="11"/>
  <c r="H5" i="23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F108" i="1" l="1"/>
  <c r="F111" i="1" s="1"/>
  <c r="F114" i="1" s="1"/>
  <c r="F117" i="1" s="1"/>
  <c r="F120" i="1" s="1"/>
  <c r="F123" i="1" s="1"/>
  <c r="G105" i="1"/>
  <c r="G104" i="1"/>
  <c r="F107" i="1"/>
  <c r="F110" i="1" s="1"/>
  <c r="F113" i="1" s="1"/>
  <c r="F116" i="1" s="1"/>
  <c r="F119" i="1" s="1"/>
  <c r="F122" i="1" s="1"/>
  <c r="G103" i="1"/>
  <c r="F106" i="1"/>
  <c r="J108" i="1"/>
  <c r="K119" i="1"/>
  <c r="K111" i="1"/>
  <c r="K120" i="1"/>
  <c r="K116" i="1"/>
  <c r="K112" i="1"/>
  <c r="K103" i="1"/>
  <c r="K123" i="1"/>
  <c r="K115" i="1"/>
  <c r="K107" i="1"/>
  <c r="K104" i="1"/>
  <c r="K122" i="1"/>
  <c r="K118" i="1"/>
  <c r="K114" i="1"/>
  <c r="K110" i="1"/>
  <c r="K106" i="1"/>
  <c r="K121" i="1"/>
  <c r="K117" i="1"/>
  <c r="K113" i="1"/>
  <c r="K109" i="1"/>
  <c r="K105" i="1"/>
  <c r="I8" i="36"/>
  <c r="J8" i="36"/>
  <c r="D9" i="36"/>
  <c r="D22" i="36" s="1"/>
  <c r="C22" i="36" s="1"/>
  <c r="C9" i="36"/>
  <c r="D6" i="36"/>
  <c r="C5" i="36"/>
  <c r="C15" i="36"/>
  <c r="C20" i="36"/>
  <c r="C19" i="36"/>
  <c r="C7" i="36"/>
  <c r="C18" i="36"/>
  <c r="C11" i="36"/>
  <c r="D17" i="36"/>
  <c r="C17" i="36" s="1"/>
  <c r="D16" i="36"/>
  <c r="D21" i="36"/>
  <c r="C21" i="36" s="1"/>
  <c r="H50" i="37"/>
  <c r="H51" i="37"/>
  <c r="H52" i="37"/>
  <c r="H53" i="37"/>
  <c r="D81" i="37"/>
  <c r="D10" i="36" s="1"/>
  <c r="C10" i="36" s="1"/>
  <c r="B44" i="9"/>
  <c r="C25" i="31" s="1"/>
  <c r="C17" i="30"/>
  <c r="J156" i="1"/>
  <c r="K17" i="30" s="1"/>
  <c r="F189" i="1"/>
  <c r="G189" i="1" s="1"/>
  <c r="H189" i="1" s="1"/>
  <c r="I189" i="1" s="1"/>
  <c r="C14" i="7"/>
  <c r="E14" i="7" s="1"/>
  <c r="K164" i="1"/>
  <c r="C15" i="30"/>
  <c r="B41" i="9"/>
  <c r="C22" i="31" s="1"/>
  <c r="J153" i="1"/>
  <c r="I153" i="1" s="1"/>
  <c r="P51" i="1"/>
  <c r="P46" i="1"/>
  <c r="G102" i="1"/>
  <c r="J102" i="1"/>
  <c r="F109" i="1" l="1"/>
  <c r="G106" i="1"/>
  <c r="G107" i="1"/>
  <c r="G108" i="1"/>
  <c r="C16" i="36"/>
  <c r="C23" i="36" s="1"/>
  <c r="D23" i="36"/>
  <c r="D25" i="36"/>
  <c r="C6" i="36"/>
  <c r="C12" i="36"/>
  <c r="D12" i="36"/>
  <c r="D24" i="36" s="1"/>
  <c r="D26" i="36" s="1"/>
  <c r="C26" i="36" s="1"/>
  <c r="I156" i="1"/>
  <c r="J17" i="30" s="1"/>
  <c r="K15" i="30"/>
  <c r="J15" i="30"/>
  <c r="K102" i="1"/>
  <c r="G109" i="1" l="1"/>
  <c r="F112" i="1"/>
  <c r="G111" i="1"/>
  <c r="G110" i="1"/>
  <c r="C24" i="36"/>
  <c r="G86" i="1"/>
  <c r="J86" i="1"/>
  <c r="G87" i="1"/>
  <c r="J87" i="1"/>
  <c r="G88" i="1"/>
  <c r="K88" i="1"/>
  <c r="G89" i="1"/>
  <c r="K89" i="1"/>
  <c r="G90" i="1"/>
  <c r="K90" i="1"/>
  <c r="G91" i="1"/>
  <c r="J91" i="1"/>
  <c r="G92" i="1"/>
  <c r="J92" i="1"/>
  <c r="G93" i="1"/>
  <c r="J93" i="1"/>
  <c r="G94" i="1"/>
  <c r="J94" i="1"/>
  <c r="G95" i="1"/>
  <c r="J95" i="1"/>
  <c r="G96" i="1"/>
  <c r="K96" i="1"/>
  <c r="G97" i="1"/>
  <c r="K97" i="1"/>
  <c r="G98" i="1"/>
  <c r="K98" i="1"/>
  <c r="G99" i="1"/>
  <c r="J99" i="1"/>
  <c r="G100" i="1"/>
  <c r="K100" i="1"/>
  <c r="G101" i="1"/>
  <c r="J101" i="1"/>
  <c r="G50" i="1"/>
  <c r="J50" i="1"/>
  <c r="G51" i="1"/>
  <c r="J51" i="1"/>
  <c r="G52" i="1"/>
  <c r="J52" i="1"/>
  <c r="G53" i="1"/>
  <c r="J53" i="1"/>
  <c r="G54" i="1"/>
  <c r="G55" i="1"/>
  <c r="J55" i="1"/>
  <c r="G56" i="1"/>
  <c r="J56" i="1"/>
  <c r="G57" i="1"/>
  <c r="J57" i="1"/>
  <c r="G58" i="1"/>
  <c r="J58" i="1"/>
  <c r="G59" i="1"/>
  <c r="G60" i="1"/>
  <c r="K60" i="1"/>
  <c r="G61" i="1"/>
  <c r="J61" i="1"/>
  <c r="G62" i="1"/>
  <c r="K62" i="1"/>
  <c r="G63" i="1"/>
  <c r="J63" i="1"/>
  <c r="G64" i="1"/>
  <c r="J64" i="1"/>
  <c r="G65" i="1"/>
  <c r="J65" i="1"/>
  <c r="G66" i="1"/>
  <c r="J66" i="1"/>
  <c r="G67" i="1"/>
  <c r="J67" i="1"/>
  <c r="G68" i="1"/>
  <c r="K68" i="1"/>
  <c r="G69" i="1"/>
  <c r="J69" i="1"/>
  <c r="G70" i="1"/>
  <c r="J70" i="1"/>
  <c r="G71" i="1"/>
  <c r="J71" i="1"/>
  <c r="G72" i="1"/>
  <c r="J72" i="1"/>
  <c r="G73" i="1"/>
  <c r="J73" i="1"/>
  <c r="G74" i="1"/>
  <c r="J74" i="1"/>
  <c r="G75" i="1"/>
  <c r="J75" i="1"/>
  <c r="G76" i="1"/>
  <c r="J76" i="1"/>
  <c r="G77" i="1"/>
  <c r="J77" i="1"/>
  <c r="G78" i="1"/>
  <c r="J78" i="1"/>
  <c r="G79" i="1"/>
  <c r="J79" i="1"/>
  <c r="G80" i="1"/>
  <c r="J80" i="1"/>
  <c r="G81" i="1"/>
  <c r="J81" i="1"/>
  <c r="G82" i="1"/>
  <c r="J82" i="1"/>
  <c r="G83" i="1"/>
  <c r="J83" i="1"/>
  <c r="G84" i="1"/>
  <c r="K84" i="1"/>
  <c r="G85" i="1"/>
  <c r="J85" i="1"/>
  <c r="F115" i="1" l="1"/>
  <c r="G112" i="1"/>
  <c r="G114" i="1"/>
  <c r="G113" i="1"/>
  <c r="J59" i="1"/>
  <c r="P49" i="1"/>
  <c r="K54" i="1"/>
  <c r="P50" i="1"/>
  <c r="K92" i="1"/>
  <c r="J100" i="1"/>
  <c r="K91" i="1"/>
  <c r="J97" i="1"/>
  <c r="K99" i="1"/>
  <c r="J90" i="1"/>
  <c r="J98" i="1"/>
  <c r="J89" i="1"/>
  <c r="K101" i="1"/>
  <c r="K93" i="1"/>
  <c r="J96" i="1"/>
  <c r="J88" i="1"/>
  <c r="K94" i="1"/>
  <c r="K86" i="1"/>
  <c r="K95" i="1"/>
  <c r="K87" i="1"/>
  <c r="K71" i="1"/>
  <c r="K81" i="1"/>
  <c r="J68" i="1"/>
  <c r="J84" i="1"/>
  <c r="K74" i="1"/>
  <c r="K76" i="1"/>
  <c r="J62" i="1"/>
  <c r="K82" i="1"/>
  <c r="K79" i="1"/>
  <c r="K73" i="1"/>
  <c r="K70" i="1"/>
  <c r="K63" i="1"/>
  <c r="J60" i="1"/>
  <c r="K77" i="1"/>
  <c r="K57" i="1"/>
  <c r="J54" i="1"/>
  <c r="K65" i="1"/>
  <c r="K78" i="1"/>
  <c r="K55" i="1"/>
  <c r="K52" i="1"/>
  <c r="K66" i="1"/>
  <c r="K58" i="1"/>
  <c r="K50" i="1"/>
  <c r="K69" i="1"/>
  <c r="K61" i="1"/>
  <c r="K53" i="1"/>
  <c r="K85" i="1"/>
  <c r="K80" i="1"/>
  <c r="K72" i="1"/>
  <c r="K64" i="1"/>
  <c r="K56" i="1"/>
  <c r="K83" i="1"/>
  <c r="K75" i="1"/>
  <c r="K67" i="1"/>
  <c r="K59" i="1"/>
  <c r="K51" i="1"/>
  <c r="U35" i="32"/>
  <c r="U36" i="32"/>
  <c r="U37" i="32"/>
  <c r="U38" i="32"/>
  <c r="U39" i="32"/>
  <c r="D201" i="1"/>
  <c r="D202" i="1" s="1"/>
  <c r="D203" i="1" s="1"/>
  <c r="D204" i="1" s="1"/>
  <c r="D191" i="1"/>
  <c r="D192" i="1" s="1"/>
  <c r="D193" i="1" s="1"/>
  <c r="D194" i="1" s="1"/>
  <c r="P25" i="32"/>
  <c r="P27" i="32"/>
  <c r="P29" i="32"/>
  <c r="M24" i="32"/>
  <c r="M27" i="32"/>
  <c r="M28" i="32"/>
  <c r="M29" i="32"/>
  <c r="M30" i="32"/>
  <c r="M31" i="32"/>
  <c r="M32" i="32"/>
  <c r="Q36" i="32"/>
  <c r="Q37" i="32" s="1"/>
  <c r="G3" i="32"/>
  <c r="H3" i="32" s="1"/>
  <c r="F118" i="1" l="1"/>
  <c r="G115" i="1"/>
  <c r="G116" i="1"/>
  <c r="G117" i="1"/>
  <c r="Q38" i="32"/>
  <c r="Q39" i="32" s="1"/>
  <c r="I3" i="32"/>
  <c r="G5" i="32"/>
  <c r="H5" i="32"/>
  <c r="F121" i="1" l="1"/>
  <c r="G121" i="1" s="1"/>
  <c r="H18" i="9"/>
  <c r="G118" i="1"/>
  <c r="G120" i="1"/>
  <c r="G123" i="1"/>
  <c r="G119" i="1"/>
  <c r="G122" i="1"/>
  <c r="I5" i="32"/>
  <c r="J3" i="32"/>
  <c r="J5" i="32" l="1"/>
  <c r="K3" i="32"/>
  <c r="K5" i="32" l="1"/>
  <c r="C35" i="31" l="1"/>
  <c r="H15" i="9"/>
  <c r="C17" i="31"/>
  <c r="C15" i="31"/>
  <c r="C14" i="31"/>
  <c r="C8" i="31"/>
  <c r="C5" i="31"/>
  <c r="H4" i="31"/>
  <c r="H28" i="31" s="1"/>
  <c r="C22" i="30"/>
  <c r="C11" i="30"/>
  <c r="C12" i="30"/>
  <c r="C13" i="30"/>
  <c r="C14" i="30"/>
  <c r="C16" i="30"/>
  <c r="C18" i="30"/>
  <c r="C19" i="30"/>
  <c r="C20" i="30"/>
  <c r="C21" i="30"/>
  <c r="H18" i="30"/>
  <c r="H11" i="30"/>
  <c r="H12" i="30"/>
  <c r="H13" i="30"/>
  <c r="H14" i="30"/>
  <c r="H19" i="30"/>
  <c r="H21" i="30"/>
  <c r="C23" i="30"/>
  <c r="C10" i="30"/>
  <c r="H10" i="30"/>
  <c r="I10" i="30"/>
  <c r="J10" i="30"/>
  <c r="K10" i="30"/>
  <c r="H24" i="31" l="1"/>
  <c r="H27" i="31"/>
  <c r="I4" i="31"/>
  <c r="I28" i="31" s="1"/>
  <c r="I24" i="31" l="1"/>
  <c r="I27" i="31"/>
  <c r="J4" i="31"/>
  <c r="J28" i="31" s="1"/>
  <c r="J24" i="31" l="1"/>
  <c r="J27" i="31"/>
  <c r="K4" i="31"/>
  <c r="K28" i="31" s="1"/>
  <c r="K24" i="31" l="1"/>
  <c r="K27" i="31"/>
  <c r="R28" i="1"/>
  <c r="EI55" i="9" l="1"/>
  <c r="CW79" i="3"/>
  <c r="CX79" i="3"/>
  <c r="CY79" i="3"/>
  <c r="CZ79" i="3"/>
  <c r="DA79" i="3"/>
  <c r="DB79" i="3"/>
  <c r="DC79" i="3"/>
  <c r="DD79" i="3"/>
  <c r="DE79" i="3"/>
  <c r="DF79" i="3"/>
  <c r="DG79" i="3"/>
  <c r="DH79" i="3"/>
  <c r="DI79" i="3"/>
  <c r="DJ79" i="3"/>
  <c r="DK79" i="3"/>
  <c r="DL79" i="3"/>
  <c r="DM79" i="3"/>
  <c r="DN79" i="3"/>
  <c r="DO79" i="3"/>
  <c r="DP79" i="3"/>
  <c r="DQ79" i="3"/>
  <c r="DR79" i="3"/>
  <c r="DS79" i="3"/>
  <c r="DT79" i="3"/>
  <c r="DU79" i="3"/>
  <c r="DV79" i="3"/>
  <c r="DW79" i="3"/>
  <c r="DX79" i="3"/>
  <c r="DY79" i="3"/>
  <c r="DZ79" i="3"/>
  <c r="EA79" i="3"/>
  <c r="EB79" i="3"/>
  <c r="EC79" i="3"/>
  <c r="ED79" i="3"/>
  <c r="EE79" i="3"/>
  <c r="EF79" i="3"/>
  <c r="EG79" i="3"/>
  <c r="EH79" i="3"/>
  <c r="EI79" i="3"/>
  <c r="DE5" i="10"/>
  <c r="DE4" i="10" s="1"/>
  <c r="DF5" i="10"/>
  <c r="DF11" i="10" s="1"/>
  <c r="DE6" i="10"/>
  <c r="DE19" i="10" s="1"/>
  <c r="DF6" i="10"/>
  <c r="DE7" i="10"/>
  <c r="DE8" i="10"/>
  <c r="DE9" i="10"/>
  <c r="DF9" i="10"/>
  <c r="DE10" i="10"/>
  <c r="DE11" i="10"/>
  <c r="DE12" i="10"/>
  <c r="DE13" i="10"/>
  <c r="DF13" i="10"/>
  <c r="DE14" i="10"/>
  <c r="DF14" i="10"/>
  <c r="DE15" i="10"/>
  <c r="DE16" i="10"/>
  <c r="DE17" i="10"/>
  <c r="DF17" i="10"/>
  <c r="DE18" i="10"/>
  <c r="DF18" i="10"/>
  <c r="DE20" i="10"/>
  <c r="DF20" i="10"/>
  <c r="DX14" i="9"/>
  <c r="DY14" i="9"/>
  <c r="DZ14" i="9"/>
  <c r="EA14" i="9"/>
  <c r="EB14" i="9"/>
  <c r="EC14" i="9"/>
  <c r="ED14" i="9"/>
  <c r="EE14" i="9"/>
  <c r="EF14" i="9"/>
  <c r="EG14" i="9"/>
  <c r="EH14" i="9"/>
  <c r="EI14" i="9"/>
  <c r="CZ62" i="9"/>
  <c r="DA62" i="9"/>
  <c r="DB62" i="9"/>
  <c r="DC62" i="9"/>
  <c r="DD62" i="9"/>
  <c r="DE62" i="9"/>
  <c r="DF62" i="9"/>
  <c r="DG62" i="9"/>
  <c r="DH62" i="9"/>
  <c r="DI62" i="9"/>
  <c r="DJ62" i="9"/>
  <c r="DK62" i="9"/>
  <c r="DL62" i="9"/>
  <c r="DM62" i="9"/>
  <c r="DN62" i="9"/>
  <c r="DO62" i="9"/>
  <c r="DP62" i="9"/>
  <c r="DQ62" i="9"/>
  <c r="DR62" i="9"/>
  <c r="DS62" i="9"/>
  <c r="DT62" i="9"/>
  <c r="DU62" i="9"/>
  <c r="DV62" i="9"/>
  <c r="DW62" i="9"/>
  <c r="DX62" i="9"/>
  <c r="DY62" i="9"/>
  <c r="DZ62" i="9"/>
  <c r="EA62" i="9"/>
  <c r="EB62" i="9"/>
  <c r="EC62" i="9"/>
  <c r="ED62" i="9"/>
  <c r="EE62" i="9"/>
  <c r="EF62" i="9"/>
  <c r="EG62" i="9"/>
  <c r="EH62" i="9"/>
  <c r="EI62" i="9"/>
  <c r="EI68" i="9" s="1"/>
  <c r="B31" i="9"/>
  <c r="C13" i="31" s="1"/>
  <c r="A8" i="9"/>
  <c r="C8" i="9"/>
  <c r="DF12" i="10" l="1"/>
  <c r="DF4" i="10"/>
  <c r="DF15" i="10"/>
  <c r="DF7" i="10"/>
  <c r="DF10" i="10"/>
  <c r="DG5" i="10"/>
  <c r="DF16" i="10"/>
  <c r="DF8" i="10"/>
  <c r="DF19" i="10" s="1"/>
  <c r="DG6" i="10" l="1"/>
  <c r="DG14" i="10"/>
  <c r="DG11" i="10"/>
  <c r="DG13" i="10"/>
  <c r="DH5" i="10"/>
  <c r="DG10" i="10"/>
  <c r="DG18" i="10"/>
  <c r="DG7" i="10"/>
  <c r="DG15" i="10"/>
  <c r="DG8" i="10"/>
  <c r="DG12" i="10"/>
  <c r="DG17" i="10"/>
  <c r="DG16" i="10"/>
  <c r="DG20" i="10"/>
  <c r="DG4" i="10"/>
  <c r="DG9" i="10"/>
  <c r="DH9" i="10" l="1"/>
  <c r="DH17" i="10"/>
  <c r="DH6" i="10"/>
  <c r="DH14" i="10"/>
  <c r="DH8" i="10"/>
  <c r="DH16" i="10"/>
  <c r="DH13" i="10"/>
  <c r="DI5" i="10"/>
  <c r="DH10" i="10"/>
  <c r="DH18" i="10"/>
  <c r="DH7" i="10"/>
  <c r="DH11" i="10"/>
  <c r="DH15" i="10"/>
  <c r="DH20" i="10"/>
  <c r="DH12" i="10"/>
  <c r="DH4" i="10"/>
  <c r="DG19" i="10"/>
  <c r="J163" i="1"/>
  <c r="K22" i="30" s="1"/>
  <c r="J161" i="1"/>
  <c r="J154" i="1"/>
  <c r="K16" i="30" s="1"/>
  <c r="I161" i="1" l="1"/>
  <c r="K20" i="30"/>
  <c r="DH19" i="10"/>
  <c r="DI4" i="10"/>
  <c r="DI12" i="10"/>
  <c r="DI9" i="10"/>
  <c r="DI17" i="10"/>
  <c r="DI6" i="10"/>
  <c r="DI11" i="10"/>
  <c r="DI8" i="10"/>
  <c r="DI16" i="10"/>
  <c r="DI13" i="10"/>
  <c r="DI10" i="10"/>
  <c r="DJ5" i="10"/>
  <c r="DI18" i="10"/>
  <c r="DI20" i="10"/>
  <c r="DI7" i="10"/>
  <c r="DI15" i="10"/>
  <c r="DI14" i="10"/>
  <c r="G46" i="1"/>
  <c r="G47" i="1"/>
  <c r="G48" i="1"/>
  <c r="J20" i="30" l="1"/>
  <c r="DJ7" i="10"/>
  <c r="DJ15" i="10"/>
  <c r="DJ4" i="10"/>
  <c r="DJ12" i="10"/>
  <c r="DJ20" i="10"/>
  <c r="DJ6" i="10"/>
  <c r="DJ14" i="10"/>
  <c r="DJ11" i="10"/>
  <c r="DJ8" i="10"/>
  <c r="DJ16" i="10"/>
  <c r="DJ9" i="10"/>
  <c r="DJ13" i="10"/>
  <c r="DK5" i="10"/>
  <c r="DJ18" i="10"/>
  <c r="DJ17" i="10"/>
  <c r="DJ10" i="10"/>
  <c r="DI19" i="10"/>
  <c r="H4" i="23"/>
  <c r="Q47" i="1"/>
  <c r="Q48" i="1"/>
  <c r="Q49" i="1"/>
  <c r="Q50" i="1"/>
  <c r="Q51" i="1"/>
  <c r="Q46" i="1"/>
  <c r="P47" i="1"/>
  <c r="P48" i="1" l="1"/>
  <c r="K46" i="1"/>
  <c r="J47" i="1"/>
  <c r="K49" i="1"/>
  <c r="K48" i="1"/>
  <c r="J49" i="1"/>
  <c r="J48" i="1"/>
  <c r="J46" i="1"/>
  <c r="DL5" i="10"/>
  <c r="DK10" i="10"/>
  <c r="DK18" i="10"/>
  <c r="DK7" i="10"/>
  <c r="DK15" i="10"/>
  <c r="DK4" i="10"/>
  <c r="DK9" i="10"/>
  <c r="DK17" i="10"/>
  <c r="DK6" i="10"/>
  <c r="DK14" i="10"/>
  <c r="DK11" i="10"/>
  <c r="DK8" i="10"/>
  <c r="DK12" i="10"/>
  <c r="DK16" i="10"/>
  <c r="DK13" i="10"/>
  <c r="DK20" i="10"/>
  <c r="DJ19" i="10"/>
  <c r="R51" i="1"/>
  <c r="G49" i="1"/>
  <c r="K47" i="1"/>
  <c r="R47" i="1"/>
  <c r="R46" i="1"/>
  <c r="R50" i="1"/>
  <c r="R49" i="1"/>
  <c r="R48" i="1"/>
  <c r="B47" i="9"/>
  <c r="DK19" i="10" l="1"/>
  <c r="DL13" i="10"/>
  <c r="DM5" i="10"/>
  <c r="DL10" i="10"/>
  <c r="DL18" i="10"/>
  <c r="DL4" i="10"/>
  <c r="DL12" i="10"/>
  <c r="DL9" i="10"/>
  <c r="DL17" i="10"/>
  <c r="DL6" i="10"/>
  <c r="DL14" i="10"/>
  <c r="DL20" i="10"/>
  <c r="DL7" i="10"/>
  <c r="DL11" i="10"/>
  <c r="DL8" i="10"/>
  <c r="DL16" i="10"/>
  <c r="DL15" i="10"/>
  <c r="J124" i="1"/>
  <c r="N24" i="1"/>
  <c r="K5" i="30" l="1"/>
  <c r="J5" i="30" s="1"/>
  <c r="DM8" i="10"/>
  <c r="DM16" i="10"/>
  <c r="DM13" i="10"/>
  <c r="DN5" i="10"/>
  <c r="DM7" i="10"/>
  <c r="DM15" i="10"/>
  <c r="DM4" i="10"/>
  <c r="DM12" i="10"/>
  <c r="DM9" i="10"/>
  <c r="DM17" i="10"/>
  <c r="DM14" i="10"/>
  <c r="DM20" i="10"/>
  <c r="DM6" i="10"/>
  <c r="DM18" i="10"/>
  <c r="DM11" i="10"/>
  <c r="DM10" i="10"/>
  <c r="DL19" i="10"/>
  <c r="H124" i="1"/>
  <c r="I124" i="1"/>
  <c r="H43" i="1" s="1"/>
  <c r="DN11" i="10" l="1"/>
  <c r="DN8" i="10"/>
  <c r="DN16" i="10"/>
  <c r="DO5" i="10"/>
  <c r="DN10" i="10"/>
  <c r="DN7" i="10"/>
  <c r="DN15" i="10"/>
  <c r="DN4" i="10"/>
  <c r="DN12" i="10"/>
  <c r="DN9" i="10"/>
  <c r="DN14" i="10"/>
  <c r="DN13" i="10"/>
  <c r="DN6" i="10"/>
  <c r="DN17" i="10"/>
  <c r="DN18" i="10"/>
  <c r="DN20" i="10"/>
  <c r="DM19" i="10"/>
  <c r="J15" i="10"/>
  <c r="J16" i="10"/>
  <c r="J17" i="10"/>
  <c r="J18" i="10"/>
  <c r="J13" i="10"/>
  <c r="J12" i="10"/>
  <c r="J11" i="10"/>
  <c r="J10" i="10"/>
  <c r="J9" i="10"/>
  <c r="J8" i="10"/>
  <c r="J7" i="10"/>
  <c r="B7" i="10"/>
  <c r="B8" i="10" s="1"/>
  <c r="B9" i="10" s="1"/>
  <c r="B10" i="10" s="1"/>
  <c r="B11" i="10" s="1"/>
  <c r="B12" i="10" s="1"/>
  <c r="B13" i="10" s="1"/>
  <c r="B46" i="9"/>
  <c r="I154" i="1"/>
  <c r="J16" i="30" s="1"/>
  <c r="C28" i="10"/>
  <c r="C29" i="10"/>
  <c r="C30" i="10"/>
  <c r="C31" i="10"/>
  <c r="C32" i="10"/>
  <c r="C33" i="10"/>
  <c r="C34" i="10"/>
  <c r="C35" i="10"/>
  <c r="J14" i="10"/>
  <c r="DN19" i="10" l="1"/>
  <c r="DO6" i="10"/>
  <c r="DO19" i="10" s="1"/>
  <c r="DO14" i="10"/>
  <c r="DO11" i="10"/>
  <c r="DO13" i="10"/>
  <c r="DP5" i="10"/>
  <c r="DO10" i="10"/>
  <c r="DO18" i="10"/>
  <c r="DO7" i="10"/>
  <c r="DO15" i="10"/>
  <c r="DO4" i="10"/>
  <c r="DO8" i="10"/>
  <c r="DO20" i="10"/>
  <c r="DO12" i="10"/>
  <c r="DO9" i="10"/>
  <c r="DO17" i="10"/>
  <c r="DO16" i="10"/>
  <c r="B28" i="10"/>
  <c r="B12" i="23"/>
  <c r="G45" i="3" s="1"/>
  <c r="C13" i="23"/>
  <c r="C14" i="23" s="1"/>
  <c r="C15" i="23" s="1"/>
  <c r="C16" i="23" s="1"/>
  <c r="C17" i="23" s="1"/>
  <c r="C18" i="23" s="1"/>
  <c r="C19" i="23" s="1"/>
  <c r="C20" i="23" s="1"/>
  <c r="C21" i="23" s="1"/>
  <c r="C22" i="23" s="1"/>
  <c r="C23" i="23" s="1"/>
  <c r="C24" i="23" s="1"/>
  <c r="C25" i="23" s="1"/>
  <c r="C26" i="23" s="1"/>
  <c r="C27" i="23" s="1"/>
  <c r="C28" i="23" s="1"/>
  <c r="C29" i="23" s="1"/>
  <c r="C30" i="23" s="1"/>
  <c r="C31" i="23" s="1"/>
  <c r="C32" i="23" s="1"/>
  <c r="C33" i="23" s="1"/>
  <c r="C34" i="23" s="1"/>
  <c r="C35" i="23" s="1"/>
  <c r="C36" i="23" s="1"/>
  <c r="C37" i="23" s="1"/>
  <c r="C38" i="23" s="1"/>
  <c r="C39" i="23" s="1"/>
  <c r="C40" i="23" s="1"/>
  <c r="C41" i="23" s="1"/>
  <c r="C42" i="23" s="1"/>
  <c r="C43" i="23" s="1"/>
  <c r="C44" i="23" s="1"/>
  <c r="C45" i="23" s="1"/>
  <c r="C46" i="23" s="1"/>
  <c r="C47" i="23" s="1"/>
  <c r="C48" i="23" s="1"/>
  <c r="C49" i="23" s="1"/>
  <c r="C50" i="23" s="1"/>
  <c r="C51" i="23" s="1"/>
  <c r="C52" i="23" s="1"/>
  <c r="C53" i="23" s="1"/>
  <c r="C54" i="23" s="1"/>
  <c r="C55" i="23" s="1"/>
  <c r="C56" i="23" s="1"/>
  <c r="C57" i="23" s="1"/>
  <c r="C58" i="23" s="1"/>
  <c r="C59" i="23" s="1"/>
  <c r="C60" i="23" s="1"/>
  <c r="C61" i="23" s="1"/>
  <c r="C62" i="23" s="1"/>
  <c r="C63" i="23" s="1"/>
  <c r="C64" i="23" s="1"/>
  <c r="C65" i="23" s="1"/>
  <c r="C66" i="23" s="1"/>
  <c r="C67" i="23" s="1"/>
  <c r="C68" i="23" s="1"/>
  <c r="C69" i="23" s="1"/>
  <c r="C70" i="23" s="1"/>
  <c r="C71" i="23" s="1"/>
  <c r="C72" i="23" s="1"/>
  <c r="C73" i="23" s="1"/>
  <c r="C74" i="23" s="1"/>
  <c r="C75" i="23" s="1"/>
  <c r="C76" i="23" s="1"/>
  <c r="C77" i="23" s="1"/>
  <c r="C78" i="23" s="1"/>
  <c r="C79" i="23" s="1"/>
  <c r="C80" i="23" s="1"/>
  <c r="C81" i="23" s="1"/>
  <c r="C82" i="23" s="1"/>
  <c r="C83" i="23" s="1"/>
  <c r="C84" i="23" s="1"/>
  <c r="C85" i="23" s="1"/>
  <c r="C86" i="23" s="1"/>
  <c r="C87" i="23" s="1"/>
  <c r="C88" i="23" s="1"/>
  <c r="C89" i="23" s="1"/>
  <c r="C90" i="23" s="1"/>
  <c r="C91" i="23" s="1"/>
  <c r="C92" i="23" s="1"/>
  <c r="C93" i="23" s="1"/>
  <c r="C94" i="23" s="1"/>
  <c r="C95" i="23" s="1"/>
  <c r="C96" i="23" s="1"/>
  <c r="C97" i="23" s="1"/>
  <c r="C98" i="23" s="1"/>
  <c r="C99" i="23" s="1"/>
  <c r="C100" i="23" s="1"/>
  <c r="C101" i="23" s="1"/>
  <c r="C102" i="23" s="1"/>
  <c r="C103" i="23" s="1"/>
  <c r="C104" i="23" s="1"/>
  <c r="C105" i="23" s="1"/>
  <c r="C106" i="23" s="1"/>
  <c r="C107" i="23" s="1"/>
  <c r="C108" i="23" s="1"/>
  <c r="R30" i="1"/>
  <c r="H3" i="23"/>
  <c r="B5" i="23"/>
  <c r="B4" i="23"/>
  <c r="B3" i="23"/>
  <c r="B2" i="23"/>
  <c r="G65" i="3"/>
  <c r="G62" i="3"/>
  <c r="I144" i="1"/>
  <c r="N13" i="23"/>
  <c r="N14" i="23" s="1"/>
  <c r="N15" i="23" s="1"/>
  <c r="N16" i="23" s="1"/>
  <c r="M8" i="23"/>
  <c r="M2" i="23"/>
  <c r="M3" i="23"/>
  <c r="M4" i="23"/>
  <c r="M5" i="23"/>
  <c r="M6" i="23"/>
  <c r="R6" i="23"/>
  <c r="E11" i="2"/>
  <c r="K4" i="9"/>
  <c r="K3" i="9"/>
  <c r="H19" i="9" s="1"/>
  <c r="H3" i="9"/>
  <c r="H4" i="9"/>
  <c r="H17" i="9"/>
  <c r="B2" i="9"/>
  <c r="B47" i="1"/>
  <c r="G44" i="3" l="1"/>
  <c r="H8" i="23"/>
  <c r="B48" i="1"/>
  <c r="DP9" i="10"/>
  <c r="DP17" i="10"/>
  <c r="DP6" i="10"/>
  <c r="DP14" i="10"/>
  <c r="DP8" i="10"/>
  <c r="DP16" i="10"/>
  <c r="DP13" i="10"/>
  <c r="DQ5" i="10"/>
  <c r="DP10" i="10"/>
  <c r="DP18" i="10"/>
  <c r="DP15" i="10"/>
  <c r="DP4" i="10"/>
  <c r="DP7" i="10"/>
  <c r="DP20" i="10"/>
  <c r="DP12" i="10"/>
  <c r="DP11" i="10"/>
  <c r="H7" i="23"/>
  <c r="B29" i="10"/>
  <c r="G80" i="3"/>
  <c r="B13" i="23"/>
  <c r="B14" i="23" s="1"/>
  <c r="N17" i="23"/>
  <c r="B49" i="1" l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DQ4" i="10"/>
  <c r="DQ12" i="10"/>
  <c r="DQ9" i="10"/>
  <c r="DQ17" i="10"/>
  <c r="DQ11" i="10"/>
  <c r="DQ8" i="10"/>
  <c r="DQ16" i="10"/>
  <c r="DQ13" i="10"/>
  <c r="DQ10" i="10"/>
  <c r="DQ15" i="10"/>
  <c r="DR5" i="10"/>
  <c r="DQ7" i="10"/>
  <c r="DQ20" i="10"/>
  <c r="DQ18" i="10"/>
  <c r="DQ6" i="10"/>
  <c r="DQ14" i="10"/>
  <c r="DP19" i="10"/>
  <c r="B14" i="10"/>
  <c r="B15" i="10" s="1"/>
  <c r="B16" i="10" s="1"/>
  <c r="B17" i="10" s="1"/>
  <c r="B18" i="10" s="1"/>
  <c r="B30" i="10"/>
  <c r="B15" i="23"/>
  <c r="N18" i="23"/>
  <c r="J6" i="10"/>
  <c r="H11" i="2"/>
  <c r="E12" i="2"/>
  <c r="E11" i="6"/>
  <c r="E19" i="10"/>
  <c r="DR7" i="10" l="1"/>
  <c r="DR15" i="10"/>
  <c r="DR4" i="10"/>
  <c r="DR12" i="10"/>
  <c r="DR20" i="10"/>
  <c r="DR6" i="10"/>
  <c r="DR14" i="10"/>
  <c r="DR11" i="10"/>
  <c r="DR8" i="10"/>
  <c r="DR16" i="10"/>
  <c r="DR10" i="10"/>
  <c r="DR9" i="10"/>
  <c r="DR13" i="10"/>
  <c r="DS5" i="10"/>
  <c r="DR17" i="10"/>
  <c r="DR18" i="10"/>
  <c r="DQ19" i="10"/>
  <c r="B31" i="10"/>
  <c r="B16" i="23"/>
  <c r="N19" i="23"/>
  <c r="A7" i="9"/>
  <c r="A6" i="9"/>
  <c r="A5" i="9"/>
  <c r="DR19" i="10" l="1"/>
  <c r="DT5" i="10"/>
  <c r="DS10" i="10"/>
  <c r="DS18" i="10"/>
  <c r="DS7" i="10"/>
  <c r="DS15" i="10"/>
  <c r="DS4" i="10"/>
  <c r="DS9" i="10"/>
  <c r="DS17" i="10"/>
  <c r="DS6" i="10"/>
  <c r="DS14" i="10"/>
  <c r="DS11" i="10"/>
  <c r="DS16" i="10"/>
  <c r="DS8" i="10"/>
  <c r="DS13" i="10"/>
  <c r="DS12" i="10"/>
  <c r="DS20" i="10"/>
  <c r="B32" i="10"/>
  <c r="H15" i="7"/>
  <c r="B17" i="23"/>
  <c r="N20" i="23"/>
  <c r="F89" i="3"/>
  <c r="K89" i="3" s="1"/>
  <c r="G51" i="3"/>
  <c r="E169" i="3"/>
  <c r="E171" i="3" s="1"/>
  <c r="DS19" i="10" l="1"/>
  <c r="DT13" i="10"/>
  <c r="DU5" i="10"/>
  <c r="DT10" i="10"/>
  <c r="DT18" i="10"/>
  <c r="DT4" i="10"/>
  <c r="DT12" i="10"/>
  <c r="DT9" i="10"/>
  <c r="DT17" i="10"/>
  <c r="DT6" i="10"/>
  <c r="DT14" i="10"/>
  <c r="DT16" i="10"/>
  <c r="DT8" i="10"/>
  <c r="DT7" i="10"/>
  <c r="DT15" i="10"/>
  <c r="DT11" i="10"/>
  <c r="DT20" i="10"/>
  <c r="G130" i="1"/>
  <c r="I130" i="1" s="1"/>
  <c r="B33" i="10"/>
  <c r="B18" i="23"/>
  <c r="N21" i="23"/>
  <c r="D158" i="3"/>
  <c r="E154" i="3"/>
  <c r="F154" i="3" s="1"/>
  <c r="G154" i="3" s="1"/>
  <c r="E151" i="3"/>
  <c r="D150" i="3"/>
  <c r="G163" i="3"/>
  <c r="D132" i="3"/>
  <c r="E133" i="3"/>
  <c r="E123" i="3"/>
  <c r="F123" i="3" s="1"/>
  <c r="G123" i="3" s="1"/>
  <c r="E136" i="3"/>
  <c r="F136" i="3" s="1"/>
  <c r="D140" i="3"/>
  <c r="L92" i="3"/>
  <c r="D168" i="3" s="1"/>
  <c r="J91" i="3"/>
  <c r="J92" i="3"/>
  <c r="J90" i="3"/>
  <c r="J130" i="1" l="1"/>
  <c r="DU8" i="10"/>
  <c r="DU16" i="10"/>
  <c r="DU13" i="10"/>
  <c r="DV5" i="10"/>
  <c r="DU7" i="10"/>
  <c r="DU15" i="10"/>
  <c r="DU4" i="10"/>
  <c r="DU12" i="10"/>
  <c r="DU9" i="10"/>
  <c r="DU17" i="10"/>
  <c r="DU11" i="10"/>
  <c r="DU18" i="10"/>
  <c r="DU20" i="10"/>
  <c r="DU14" i="10"/>
  <c r="DU10" i="10"/>
  <c r="DU6" i="10"/>
  <c r="DT19" i="10"/>
  <c r="D124" i="1"/>
  <c r="H155" i="1" s="1"/>
  <c r="J155" i="1" s="1"/>
  <c r="I155" i="1" s="1"/>
  <c r="B35" i="10"/>
  <c r="B34" i="10"/>
  <c r="B19" i="23"/>
  <c r="N22" i="23"/>
  <c r="G164" i="3"/>
  <c r="G165" i="3" s="1"/>
  <c r="E127" i="3"/>
  <c r="H159" i="1" l="1"/>
  <c r="J159" i="1" s="1"/>
  <c r="I159" i="1" s="1"/>
  <c r="G129" i="1"/>
  <c r="E124" i="1"/>
  <c r="DV11" i="10"/>
  <c r="DV8" i="10"/>
  <c r="DV16" i="10"/>
  <c r="DW5" i="10"/>
  <c r="DV10" i="10"/>
  <c r="DV7" i="10"/>
  <c r="DV15" i="10"/>
  <c r="DV4" i="10"/>
  <c r="DV12" i="10"/>
  <c r="DV6" i="10"/>
  <c r="DV17" i="10"/>
  <c r="DV18" i="10"/>
  <c r="DV20" i="10"/>
  <c r="DV9" i="10"/>
  <c r="DV14" i="10"/>
  <c r="DV13" i="10"/>
  <c r="DU19" i="10"/>
  <c r="H151" i="1"/>
  <c r="E23" i="1"/>
  <c r="E9" i="11"/>
  <c r="C3" i="9"/>
  <c r="H158" i="1"/>
  <c r="J158" i="1" s="1"/>
  <c r="I158" i="1" s="1"/>
  <c r="H150" i="1"/>
  <c r="L144" i="1"/>
  <c r="H149" i="1"/>
  <c r="C4" i="9"/>
  <c r="B20" i="23"/>
  <c r="N23" i="23"/>
  <c r="B7" i="1"/>
  <c r="G21" i="3"/>
  <c r="G20" i="3"/>
  <c r="G22" i="3"/>
  <c r="B175" i="1"/>
  <c r="M26" i="32" s="1"/>
  <c r="J174" i="1"/>
  <c r="G16" i="3" s="1"/>
  <c r="I12" i="30" l="1"/>
  <c r="J149" i="1"/>
  <c r="I11" i="30"/>
  <c r="J151" i="1"/>
  <c r="I13" i="30"/>
  <c r="E15" i="7"/>
  <c r="DW6" i="10"/>
  <c r="DW14" i="10"/>
  <c r="DW11" i="10"/>
  <c r="DW13" i="10"/>
  <c r="DX5" i="10"/>
  <c r="DW10" i="10"/>
  <c r="DW18" i="10"/>
  <c r="DW7" i="10"/>
  <c r="DW15" i="10"/>
  <c r="DW17" i="10"/>
  <c r="DW9" i="10"/>
  <c r="DW8" i="10"/>
  <c r="DW4" i="10"/>
  <c r="DW12" i="10"/>
  <c r="DW16" i="10"/>
  <c r="DW20" i="10"/>
  <c r="DV19" i="10"/>
  <c r="O2" i="9"/>
  <c r="D10" i="11"/>
  <c r="E10" i="11" s="1"/>
  <c r="K2" i="9"/>
  <c r="B21" i="23"/>
  <c r="N24" i="23"/>
  <c r="G18" i="3"/>
  <c r="G17" i="3"/>
  <c r="G175" i="1"/>
  <c r="G43" i="10"/>
  <c r="DV43" i="10" s="1"/>
  <c r="G44" i="10"/>
  <c r="DV44" i="10" s="1"/>
  <c r="G45" i="10"/>
  <c r="DV45" i="10" s="1"/>
  <c r="G46" i="10"/>
  <c r="DV46" i="10" s="1"/>
  <c r="H6" i="6"/>
  <c r="G6" i="6"/>
  <c r="D6" i="6"/>
  <c r="E7" i="6"/>
  <c r="DF46" i="10" l="1"/>
  <c r="DE46" i="10"/>
  <c r="DG46" i="10"/>
  <c r="DH46" i="10"/>
  <c r="DI46" i="10"/>
  <c r="DJ46" i="10"/>
  <c r="DK46" i="10"/>
  <c r="DL46" i="10"/>
  <c r="DM46" i="10"/>
  <c r="DN46" i="10"/>
  <c r="DO46" i="10"/>
  <c r="DP46" i="10"/>
  <c r="DQ46" i="10"/>
  <c r="DR46" i="10"/>
  <c r="DS46" i="10"/>
  <c r="DT46" i="10"/>
  <c r="DU46" i="10"/>
  <c r="DE44" i="10"/>
  <c r="DF44" i="10"/>
  <c r="DG44" i="10"/>
  <c r="DH44" i="10"/>
  <c r="DI44" i="10"/>
  <c r="DJ44" i="10"/>
  <c r="DK44" i="10"/>
  <c r="DL44" i="10"/>
  <c r="DM44" i="10"/>
  <c r="DN44" i="10"/>
  <c r="DO44" i="10"/>
  <c r="DP44" i="10"/>
  <c r="DQ44" i="10"/>
  <c r="DR44" i="10"/>
  <c r="DS44" i="10"/>
  <c r="DT44" i="10"/>
  <c r="DU44" i="10"/>
  <c r="K13" i="30"/>
  <c r="DE45" i="10"/>
  <c r="DF45" i="10"/>
  <c r="DG45" i="10"/>
  <c r="DH45" i="10"/>
  <c r="DI45" i="10"/>
  <c r="DJ45" i="10"/>
  <c r="DK45" i="10"/>
  <c r="DL45" i="10"/>
  <c r="DM45" i="10"/>
  <c r="DN45" i="10"/>
  <c r="DO45" i="10"/>
  <c r="DP45" i="10"/>
  <c r="DQ45" i="10"/>
  <c r="DR45" i="10"/>
  <c r="DS45" i="10"/>
  <c r="DT45" i="10"/>
  <c r="DU45" i="10"/>
  <c r="DF43" i="10"/>
  <c r="DE43" i="10"/>
  <c r="DG43" i="10"/>
  <c r="DH43" i="10"/>
  <c r="DI43" i="10"/>
  <c r="DJ43" i="10"/>
  <c r="DK43" i="10"/>
  <c r="DL43" i="10"/>
  <c r="DM43" i="10"/>
  <c r="DN43" i="10"/>
  <c r="DO43" i="10"/>
  <c r="DP43" i="10"/>
  <c r="DQ43" i="10"/>
  <c r="DR43" i="10"/>
  <c r="DS43" i="10"/>
  <c r="DT43" i="10"/>
  <c r="DU43" i="10"/>
  <c r="K11" i="30"/>
  <c r="DX9" i="10"/>
  <c r="DX17" i="10"/>
  <c r="DX6" i="10"/>
  <c r="DX19" i="10" s="1"/>
  <c r="DX14" i="10"/>
  <c r="DX8" i="10"/>
  <c r="DX16" i="10"/>
  <c r="DX13" i="10"/>
  <c r="DY5" i="10"/>
  <c r="DX10" i="10"/>
  <c r="DX18" i="10"/>
  <c r="DX12" i="10"/>
  <c r="DX11" i="10"/>
  <c r="DX4" i="10"/>
  <c r="DX15" i="10"/>
  <c r="DX20" i="10"/>
  <c r="DX7" i="10"/>
  <c r="DW45" i="10"/>
  <c r="DW44" i="10"/>
  <c r="DW43" i="10"/>
  <c r="DW46" i="10"/>
  <c r="DW19" i="10"/>
  <c r="DV47" i="10"/>
  <c r="B22" i="23"/>
  <c r="N25" i="23"/>
  <c r="D8" i="3"/>
  <c r="J4" i="11"/>
  <c r="B58" i="9"/>
  <c r="C36" i="31" s="1"/>
  <c r="F36" i="10"/>
  <c r="J133" i="1"/>
  <c r="I133" i="1"/>
  <c r="D52" i="10"/>
  <c r="B22" i="10"/>
  <c r="C22" i="10"/>
  <c r="B23" i="10"/>
  <c r="C23" i="10"/>
  <c r="B24" i="10"/>
  <c r="C24" i="10"/>
  <c r="B25" i="10"/>
  <c r="C25" i="10"/>
  <c r="B26" i="10"/>
  <c r="C26" i="10"/>
  <c r="B27" i="10"/>
  <c r="C27" i="10"/>
  <c r="F19" i="10"/>
  <c r="I19" i="10" s="1"/>
  <c r="G19" i="10"/>
  <c r="L5" i="10" s="1"/>
  <c r="DN47" i="10" l="1"/>
  <c r="DN33" i="10" s="1"/>
  <c r="DO47" i="10"/>
  <c r="DO33" i="10" s="1"/>
  <c r="DG47" i="10"/>
  <c r="DG34" i="10" s="1"/>
  <c r="DE47" i="10"/>
  <c r="DE34" i="10" s="1"/>
  <c r="DU47" i="10"/>
  <c r="DU35" i="10" s="1"/>
  <c r="DM47" i="10"/>
  <c r="DM23" i="10" s="1"/>
  <c r="DF47" i="10"/>
  <c r="DF33" i="10" s="1"/>
  <c r="DE29" i="10"/>
  <c r="DT47" i="10"/>
  <c r="DL47" i="10"/>
  <c r="DG25" i="10"/>
  <c r="DG30" i="10"/>
  <c r="DG28" i="10"/>
  <c r="DG27" i="10"/>
  <c r="DS47" i="10"/>
  <c r="DK47" i="10"/>
  <c r="DO29" i="10"/>
  <c r="DO30" i="10"/>
  <c r="DO32" i="10"/>
  <c r="DO25" i="10"/>
  <c r="DO31" i="10"/>
  <c r="DO24" i="10"/>
  <c r="DO26" i="10"/>
  <c r="DO28" i="10"/>
  <c r="DO35" i="10"/>
  <c r="DR47" i="10"/>
  <c r="DJ47" i="10"/>
  <c r="DQ47" i="10"/>
  <c r="DI47" i="10"/>
  <c r="DP47" i="10"/>
  <c r="DH47" i="10"/>
  <c r="DX43" i="10"/>
  <c r="DX45" i="10"/>
  <c r="DX44" i="10"/>
  <c r="DX46" i="10"/>
  <c r="DY4" i="10"/>
  <c r="DY12" i="10"/>
  <c r="DY9" i="10"/>
  <c r="DY17" i="10"/>
  <c r="DY11" i="10"/>
  <c r="DY8" i="10"/>
  <c r="DY16" i="10"/>
  <c r="DY13" i="10"/>
  <c r="DY7" i="10"/>
  <c r="DY6" i="10"/>
  <c r="DY10" i="10"/>
  <c r="DY15" i="10"/>
  <c r="DY20" i="10"/>
  <c r="DY14" i="10"/>
  <c r="DZ5" i="10"/>
  <c r="DY18" i="10"/>
  <c r="DV28" i="10"/>
  <c r="DV34" i="10"/>
  <c r="DV35" i="10"/>
  <c r="DV32" i="10"/>
  <c r="DV30" i="10"/>
  <c r="DV29" i="10"/>
  <c r="DV31" i="10"/>
  <c r="DV27" i="10"/>
  <c r="DV26" i="10"/>
  <c r="DV24" i="10"/>
  <c r="DV25" i="10"/>
  <c r="DV33" i="10"/>
  <c r="DV23" i="10"/>
  <c r="DW47" i="10"/>
  <c r="L23" i="1"/>
  <c r="H160" i="1" s="1"/>
  <c r="H30" i="10"/>
  <c r="H28" i="10"/>
  <c r="H29" i="10"/>
  <c r="H33" i="10"/>
  <c r="H34" i="10"/>
  <c r="H35" i="10"/>
  <c r="H32" i="10"/>
  <c r="H31" i="10"/>
  <c r="L16" i="10"/>
  <c r="L15" i="10"/>
  <c r="L18" i="10"/>
  <c r="L17" i="10"/>
  <c r="L12" i="10"/>
  <c r="L11" i="10"/>
  <c r="L14" i="10"/>
  <c r="L13" i="10"/>
  <c r="L20" i="10"/>
  <c r="B23" i="23"/>
  <c r="J8" i="11"/>
  <c r="N26" i="23"/>
  <c r="H26" i="10"/>
  <c r="H23" i="10"/>
  <c r="H27" i="10"/>
  <c r="H24" i="10"/>
  <c r="H25" i="10"/>
  <c r="L10" i="10"/>
  <c r="J5" i="11"/>
  <c r="J7" i="11"/>
  <c r="J9" i="11"/>
  <c r="L3" i="10"/>
  <c r="M3" i="10" s="1"/>
  <c r="N3" i="10" s="1"/>
  <c r="O3" i="10" s="1"/>
  <c r="P3" i="10" s="1"/>
  <c r="Q3" i="10" s="1"/>
  <c r="R3" i="10" s="1"/>
  <c r="S3" i="10" s="1"/>
  <c r="T3" i="10" s="1"/>
  <c r="U3" i="10" s="1"/>
  <c r="V3" i="10" s="1"/>
  <c r="W3" i="10" s="1"/>
  <c r="X3" i="10" s="1"/>
  <c r="Y3" i="10" s="1"/>
  <c r="Z3" i="10" s="1"/>
  <c r="AA3" i="10" s="1"/>
  <c r="AB3" i="10" s="1"/>
  <c r="AC3" i="10" s="1"/>
  <c r="AD3" i="10" s="1"/>
  <c r="AE3" i="10" s="1"/>
  <c r="AF3" i="10" s="1"/>
  <c r="AG3" i="10" s="1"/>
  <c r="AH3" i="10" s="1"/>
  <c r="AI3" i="10" s="1"/>
  <c r="AJ3" i="10" s="1"/>
  <c r="AK3" i="10" s="1"/>
  <c r="AL3" i="10" s="1"/>
  <c r="AM3" i="10" s="1"/>
  <c r="AN3" i="10" s="1"/>
  <c r="AO3" i="10" s="1"/>
  <c r="AP3" i="10" s="1"/>
  <c r="AQ3" i="10" s="1"/>
  <c r="AR3" i="10" s="1"/>
  <c r="AS3" i="10" s="1"/>
  <c r="AT3" i="10" s="1"/>
  <c r="AU3" i="10" s="1"/>
  <c r="AV3" i="10" s="1"/>
  <c r="AW3" i="10" s="1"/>
  <c r="AX3" i="10" s="1"/>
  <c r="AY3" i="10" s="1"/>
  <c r="AZ3" i="10" s="1"/>
  <c r="BA3" i="10" s="1"/>
  <c r="BB3" i="10" s="1"/>
  <c r="BC3" i="10" s="1"/>
  <c r="BD3" i="10" s="1"/>
  <c r="BE3" i="10" s="1"/>
  <c r="BF3" i="10" s="1"/>
  <c r="BG3" i="10" s="1"/>
  <c r="BH3" i="10" s="1"/>
  <c r="BI3" i="10" s="1"/>
  <c r="BJ3" i="10" s="1"/>
  <c r="BK3" i="10" s="1"/>
  <c r="BL3" i="10" s="1"/>
  <c r="BM3" i="10" s="1"/>
  <c r="BN3" i="10" s="1"/>
  <c r="BO3" i="10" s="1"/>
  <c r="BP3" i="10" s="1"/>
  <c r="BQ3" i="10" s="1"/>
  <c r="BR3" i="10" s="1"/>
  <c r="BS3" i="10" s="1"/>
  <c r="BT3" i="10" s="1"/>
  <c r="BU3" i="10" s="1"/>
  <c r="BV3" i="10" s="1"/>
  <c r="BW3" i="10" s="1"/>
  <c r="BX3" i="10" s="1"/>
  <c r="BY3" i="10" s="1"/>
  <c r="BZ3" i="10" s="1"/>
  <c r="CA3" i="10" s="1"/>
  <c r="CB3" i="10" s="1"/>
  <c r="CC3" i="10" s="1"/>
  <c r="CD3" i="10" s="1"/>
  <c r="CE3" i="10" s="1"/>
  <c r="CF3" i="10" s="1"/>
  <c r="CG3" i="10" s="1"/>
  <c r="CH3" i="10" s="1"/>
  <c r="CI3" i="10" s="1"/>
  <c r="CJ3" i="10" s="1"/>
  <c r="CK3" i="10" s="1"/>
  <c r="CL3" i="10" s="1"/>
  <c r="CM3" i="10" s="1"/>
  <c r="CN3" i="10" s="1"/>
  <c r="CO3" i="10" s="1"/>
  <c r="CP3" i="10" s="1"/>
  <c r="CQ3" i="10" s="1"/>
  <c r="CR3" i="10" s="1"/>
  <c r="CS3" i="10" s="1"/>
  <c r="CT3" i="10" s="1"/>
  <c r="CU3" i="10" s="1"/>
  <c r="CV3" i="10" s="1"/>
  <c r="CW3" i="10" s="1"/>
  <c r="CX3" i="10" s="1"/>
  <c r="CY3" i="10" s="1"/>
  <c r="CZ3" i="10" s="1"/>
  <c r="DA3" i="10" s="1"/>
  <c r="DB3" i="10" s="1"/>
  <c r="DC3" i="10" s="1"/>
  <c r="DD3" i="10" s="1"/>
  <c r="DE3" i="10" s="1"/>
  <c r="DF3" i="10" s="1"/>
  <c r="DG3" i="10" s="1"/>
  <c r="DH3" i="10" s="1"/>
  <c r="DI3" i="10" s="1"/>
  <c r="DJ3" i="10" s="1"/>
  <c r="DK3" i="10" s="1"/>
  <c r="DL3" i="10" s="1"/>
  <c r="DM3" i="10" s="1"/>
  <c r="DN3" i="10" s="1"/>
  <c r="DO3" i="10" s="1"/>
  <c r="DP3" i="10" s="1"/>
  <c r="DQ3" i="10" s="1"/>
  <c r="DR3" i="10" s="1"/>
  <c r="DS3" i="10" s="1"/>
  <c r="DT3" i="10" s="1"/>
  <c r="DU3" i="10" s="1"/>
  <c r="DV3" i="10" s="1"/>
  <c r="DW3" i="10" s="1"/>
  <c r="DX3" i="10" s="1"/>
  <c r="DY3" i="10" s="1"/>
  <c r="DZ3" i="10" s="1"/>
  <c r="EA3" i="10" s="1"/>
  <c r="EB3" i="10" s="1"/>
  <c r="EC3" i="10" s="1"/>
  <c r="ED3" i="10" s="1"/>
  <c r="EE3" i="10" s="1"/>
  <c r="EF3" i="10" s="1"/>
  <c r="EG3" i="10" s="1"/>
  <c r="EH3" i="10" s="1"/>
  <c r="EI3" i="10" s="1"/>
  <c r="EJ3" i="10" s="1"/>
  <c r="EK3" i="10" s="1"/>
  <c r="EL3" i="10" s="1"/>
  <c r="EM3" i="10" s="1"/>
  <c r="EN3" i="10" s="1"/>
  <c r="EO3" i="10" s="1"/>
  <c r="I53" i="10"/>
  <c r="L6" i="10"/>
  <c r="L7" i="10"/>
  <c r="M5" i="10"/>
  <c r="J45" i="10"/>
  <c r="I52" i="10"/>
  <c r="L9" i="10"/>
  <c r="J52" i="10"/>
  <c r="L4" i="10"/>
  <c r="J53" i="10"/>
  <c r="L8" i="10"/>
  <c r="J44" i="10"/>
  <c r="J43" i="10"/>
  <c r="J46" i="10"/>
  <c r="J19" i="10"/>
  <c r="DG24" i="10" l="1"/>
  <c r="DG26" i="10"/>
  <c r="DO34" i="10"/>
  <c r="DO23" i="10"/>
  <c r="DG35" i="10"/>
  <c r="DG33" i="10"/>
  <c r="DO27" i="10"/>
  <c r="DG29" i="10"/>
  <c r="DG31" i="10"/>
  <c r="DE26" i="10"/>
  <c r="DE33" i="10"/>
  <c r="DE30" i="10"/>
  <c r="DN27" i="10"/>
  <c r="DN23" i="10"/>
  <c r="DN24" i="10"/>
  <c r="DN30" i="10"/>
  <c r="DN26" i="10"/>
  <c r="DN28" i="10"/>
  <c r="DN34" i="10"/>
  <c r="DN31" i="10"/>
  <c r="DN29" i="10"/>
  <c r="DN25" i="10"/>
  <c r="DN32" i="10"/>
  <c r="DN35" i="10"/>
  <c r="DE24" i="10"/>
  <c r="DE28" i="10"/>
  <c r="DE25" i="10"/>
  <c r="DE23" i="10"/>
  <c r="DE27" i="10"/>
  <c r="DG23" i="10"/>
  <c r="DG32" i="10"/>
  <c r="DE31" i="10"/>
  <c r="DE35" i="10"/>
  <c r="DM31" i="10"/>
  <c r="DM24" i="10"/>
  <c r="DM35" i="10"/>
  <c r="DM26" i="10"/>
  <c r="DM27" i="10"/>
  <c r="DM34" i="10"/>
  <c r="DM32" i="10"/>
  <c r="DM25" i="10"/>
  <c r="DM29" i="10"/>
  <c r="DF29" i="10"/>
  <c r="DM33" i="10"/>
  <c r="DM28" i="10"/>
  <c r="DM30" i="10"/>
  <c r="DF26" i="10"/>
  <c r="DF23" i="10"/>
  <c r="DE32" i="10"/>
  <c r="DF30" i="10"/>
  <c r="DF35" i="10"/>
  <c r="DF34" i="10"/>
  <c r="DF31" i="10"/>
  <c r="DF25" i="10"/>
  <c r="DF28" i="10"/>
  <c r="DF32" i="10"/>
  <c r="DF24" i="10"/>
  <c r="DF27" i="10"/>
  <c r="DU27" i="10"/>
  <c r="DU31" i="10"/>
  <c r="DU32" i="10"/>
  <c r="DU28" i="10"/>
  <c r="DU29" i="10"/>
  <c r="DU23" i="10"/>
  <c r="DU25" i="10"/>
  <c r="DU34" i="10"/>
  <c r="DU26" i="10"/>
  <c r="DU33" i="10"/>
  <c r="DU24" i="10"/>
  <c r="DU30" i="10"/>
  <c r="DI30" i="10"/>
  <c r="DI32" i="10"/>
  <c r="DI33" i="10"/>
  <c r="DI24" i="10"/>
  <c r="DI28" i="10"/>
  <c r="DI27" i="10"/>
  <c r="DI26" i="10"/>
  <c r="DI25" i="10"/>
  <c r="DI31" i="10"/>
  <c r="DI34" i="10"/>
  <c r="DI23" i="10"/>
  <c r="DI29" i="10"/>
  <c r="DI35" i="10"/>
  <c r="DL30" i="10"/>
  <c r="DL25" i="10"/>
  <c r="DL28" i="10"/>
  <c r="DL26" i="10"/>
  <c r="DL24" i="10"/>
  <c r="DL27" i="10"/>
  <c r="DL35" i="10"/>
  <c r="DL23" i="10"/>
  <c r="DL29" i="10"/>
  <c r="DL33" i="10"/>
  <c r="DL32" i="10"/>
  <c r="DL34" i="10"/>
  <c r="DL31" i="10"/>
  <c r="DK24" i="10"/>
  <c r="DK34" i="10"/>
  <c r="DK28" i="10"/>
  <c r="DK27" i="10"/>
  <c r="DK25" i="10"/>
  <c r="DK29" i="10"/>
  <c r="DK31" i="10"/>
  <c r="DK26" i="10"/>
  <c r="DK30" i="10"/>
  <c r="DK35" i="10"/>
  <c r="DK33" i="10"/>
  <c r="DK32" i="10"/>
  <c r="DK23" i="10"/>
  <c r="DT33" i="10"/>
  <c r="DT28" i="10"/>
  <c r="DT24" i="10"/>
  <c r="DT27" i="10"/>
  <c r="DT26" i="10"/>
  <c r="DT30" i="10"/>
  <c r="DT23" i="10"/>
  <c r="DT35" i="10"/>
  <c r="DT34" i="10"/>
  <c r="DT25" i="10"/>
  <c r="DT29" i="10"/>
  <c r="DT32" i="10"/>
  <c r="DT31" i="10"/>
  <c r="DS28" i="10"/>
  <c r="DS25" i="10"/>
  <c r="DS33" i="10"/>
  <c r="DS31" i="10"/>
  <c r="DS30" i="10"/>
  <c r="DS29" i="10"/>
  <c r="DS23" i="10"/>
  <c r="DS24" i="10"/>
  <c r="DS34" i="10"/>
  <c r="DS26" i="10"/>
  <c r="DS32" i="10"/>
  <c r="DS35" i="10"/>
  <c r="DS27" i="10"/>
  <c r="DH32" i="10"/>
  <c r="DH30" i="10"/>
  <c r="DH34" i="10"/>
  <c r="DH24" i="10"/>
  <c r="DH33" i="10"/>
  <c r="DH31" i="10"/>
  <c r="DH27" i="10"/>
  <c r="DH28" i="10"/>
  <c r="DH26" i="10"/>
  <c r="DH35" i="10"/>
  <c r="DH25" i="10"/>
  <c r="DH29" i="10"/>
  <c r="DH23" i="10"/>
  <c r="DJ25" i="10"/>
  <c r="DJ29" i="10"/>
  <c r="DJ27" i="10"/>
  <c r="DJ26" i="10"/>
  <c r="DJ28" i="10"/>
  <c r="DJ35" i="10"/>
  <c r="DJ33" i="10"/>
  <c r="DJ23" i="10"/>
  <c r="DJ30" i="10"/>
  <c r="DJ31" i="10"/>
  <c r="DJ32" i="10"/>
  <c r="DJ24" i="10"/>
  <c r="DJ34" i="10"/>
  <c r="DQ30" i="10"/>
  <c r="DQ32" i="10"/>
  <c r="DQ26" i="10"/>
  <c r="DQ25" i="10"/>
  <c r="DQ29" i="10"/>
  <c r="DQ34" i="10"/>
  <c r="DQ31" i="10"/>
  <c r="DQ35" i="10"/>
  <c r="DQ27" i="10"/>
  <c r="DQ33" i="10"/>
  <c r="DQ24" i="10"/>
  <c r="DQ23" i="10"/>
  <c r="DQ28" i="10"/>
  <c r="DP26" i="10"/>
  <c r="DP27" i="10"/>
  <c r="DP25" i="10"/>
  <c r="DP32" i="10"/>
  <c r="DP30" i="10"/>
  <c r="DP24" i="10"/>
  <c r="DP31" i="10"/>
  <c r="DP29" i="10"/>
  <c r="DP33" i="10"/>
  <c r="DP35" i="10"/>
  <c r="DP28" i="10"/>
  <c r="DP23" i="10"/>
  <c r="DP34" i="10"/>
  <c r="DR27" i="10"/>
  <c r="DR34" i="10"/>
  <c r="DR30" i="10"/>
  <c r="DR25" i="10"/>
  <c r="DR28" i="10"/>
  <c r="DR23" i="10"/>
  <c r="DR32" i="10"/>
  <c r="DR33" i="10"/>
  <c r="DR24" i="10"/>
  <c r="DR29" i="10"/>
  <c r="DR26" i="10"/>
  <c r="DR31" i="10"/>
  <c r="DR35" i="10"/>
  <c r="I19" i="30"/>
  <c r="DV36" i="10"/>
  <c r="DV38" i="10" s="1"/>
  <c r="DY19" i="10"/>
  <c r="DY46" i="10"/>
  <c r="DY43" i="10"/>
  <c r="DY45" i="10"/>
  <c r="DY44" i="10"/>
  <c r="DZ7" i="10"/>
  <c r="DZ15" i="10"/>
  <c r="DZ4" i="10"/>
  <c r="DZ12" i="10"/>
  <c r="DZ20" i="10"/>
  <c r="DZ6" i="10"/>
  <c r="DZ14" i="10"/>
  <c r="DZ11" i="10"/>
  <c r="DZ8" i="10"/>
  <c r="DZ16" i="10"/>
  <c r="DZ18" i="10"/>
  <c r="DZ10" i="10"/>
  <c r="DZ9" i="10"/>
  <c r="EA5" i="10"/>
  <c r="DZ13" i="10"/>
  <c r="DZ17" i="10"/>
  <c r="DW27" i="10"/>
  <c r="DW24" i="10"/>
  <c r="DW23" i="10"/>
  <c r="DW26" i="10"/>
  <c r="DW28" i="10"/>
  <c r="DW32" i="10"/>
  <c r="DW31" i="10"/>
  <c r="DW33" i="10"/>
  <c r="DW29" i="10"/>
  <c r="DW25" i="10"/>
  <c r="DW34" i="10"/>
  <c r="DW35" i="10"/>
  <c r="DW30" i="10"/>
  <c r="DX47" i="10"/>
  <c r="L24" i="1"/>
  <c r="M16" i="10"/>
  <c r="M15" i="10"/>
  <c r="M17" i="10"/>
  <c r="M18" i="10"/>
  <c r="M20" i="10"/>
  <c r="M46" i="10" s="1"/>
  <c r="M13" i="10"/>
  <c r="M12" i="10"/>
  <c r="M11" i="10"/>
  <c r="M14" i="10"/>
  <c r="L46" i="10"/>
  <c r="L43" i="10"/>
  <c r="L45" i="10"/>
  <c r="L44" i="10"/>
  <c r="B24" i="23"/>
  <c r="N27" i="23"/>
  <c r="L19" i="10"/>
  <c r="I54" i="10"/>
  <c r="I55" i="10" s="1"/>
  <c r="J54" i="10"/>
  <c r="J55" i="10" s="1"/>
  <c r="M6" i="10"/>
  <c r="M7" i="10"/>
  <c r="M4" i="10"/>
  <c r="N5" i="10"/>
  <c r="M8" i="10"/>
  <c r="M10" i="10"/>
  <c r="M9" i="10"/>
  <c r="H19" i="10"/>
  <c r="J47" i="10"/>
  <c r="J33" i="10" s="1"/>
  <c r="I33" i="10" s="1"/>
  <c r="DO36" i="10" l="1"/>
  <c r="DO38" i="10" s="1"/>
  <c r="DO39" i="10" s="1"/>
  <c r="DO40" i="10" s="1"/>
  <c r="DO49" i="10" s="1"/>
  <c r="DG36" i="10"/>
  <c r="DG38" i="10" s="1"/>
  <c r="DG39" i="10" s="1"/>
  <c r="DG40" i="10" s="1"/>
  <c r="DG49" i="10" s="1"/>
  <c r="DN36" i="10"/>
  <c r="DN38" i="10" s="1"/>
  <c r="DN39" i="10" s="1"/>
  <c r="DN40" i="10" s="1"/>
  <c r="DN49" i="10" s="1"/>
  <c r="DE36" i="10"/>
  <c r="DE38" i="10" s="1"/>
  <c r="DE39" i="10" s="1"/>
  <c r="DE40" i="10" s="1"/>
  <c r="DE49" i="10" s="1"/>
  <c r="DM36" i="10"/>
  <c r="DM38" i="10" s="1"/>
  <c r="DM39" i="10" s="1"/>
  <c r="DM40" i="10" s="1"/>
  <c r="DM49" i="10" s="1"/>
  <c r="DF36" i="10"/>
  <c r="DF38" i="10" s="1"/>
  <c r="DF39" i="10" s="1"/>
  <c r="DF40" i="10" s="1"/>
  <c r="DF49" i="10" s="1"/>
  <c r="DR36" i="10"/>
  <c r="DR38" i="10" s="1"/>
  <c r="DR39" i="10" s="1"/>
  <c r="DR40" i="10" s="1"/>
  <c r="DR49" i="10" s="1"/>
  <c r="DL36" i="10"/>
  <c r="DL38" i="10" s="1"/>
  <c r="DL39" i="10" s="1"/>
  <c r="DL40" i="10" s="1"/>
  <c r="DL49" i="10" s="1"/>
  <c r="DU36" i="10"/>
  <c r="DU38" i="10" s="1"/>
  <c r="DU39" i="10" s="1"/>
  <c r="DU40" i="10" s="1"/>
  <c r="DU49" i="10" s="1"/>
  <c r="DS36" i="10"/>
  <c r="DS38" i="10" s="1"/>
  <c r="DQ36" i="10"/>
  <c r="DQ38" i="10" s="1"/>
  <c r="DJ36" i="10"/>
  <c r="DJ38" i="10" s="1"/>
  <c r="DH36" i="10"/>
  <c r="DH38" i="10" s="1"/>
  <c r="DH39" i="10" s="1"/>
  <c r="DH40" i="10" s="1"/>
  <c r="DH49" i="10" s="1"/>
  <c r="DI36" i="10"/>
  <c r="DI38" i="10" s="1"/>
  <c r="DI39" i="10" s="1"/>
  <c r="DI40" i="10" s="1"/>
  <c r="DI49" i="10" s="1"/>
  <c r="DK36" i="10"/>
  <c r="DK38" i="10" s="1"/>
  <c r="DP36" i="10"/>
  <c r="DP38" i="10" s="1"/>
  <c r="DT36" i="10"/>
  <c r="DT38" i="10" s="1"/>
  <c r="DT39" i="10" s="1"/>
  <c r="DT40" i="10" s="1"/>
  <c r="DT49" i="10" s="1"/>
  <c r="DW36" i="10"/>
  <c r="DW38" i="10" s="1"/>
  <c r="DZ19" i="10"/>
  <c r="DY47" i="10"/>
  <c r="DZ46" i="10"/>
  <c r="DZ43" i="10"/>
  <c r="DZ44" i="10"/>
  <c r="DZ45" i="10"/>
  <c r="DX29" i="10"/>
  <c r="DX25" i="10"/>
  <c r="DX35" i="10"/>
  <c r="DX30" i="10"/>
  <c r="DX26" i="10"/>
  <c r="DX24" i="10"/>
  <c r="DX32" i="10"/>
  <c r="DX31" i="10"/>
  <c r="DX28" i="10"/>
  <c r="DX27" i="10"/>
  <c r="DX34" i="10"/>
  <c r="DX23" i="10"/>
  <c r="DX33" i="10"/>
  <c r="EB5" i="10"/>
  <c r="EA10" i="10"/>
  <c r="EA18" i="10"/>
  <c r="EA7" i="10"/>
  <c r="EA15" i="10"/>
  <c r="EA4" i="10"/>
  <c r="EA9" i="10"/>
  <c r="EA17" i="10"/>
  <c r="EA6" i="10"/>
  <c r="EA14" i="10"/>
  <c r="EA11" i="10"/>
  <c r="EA13" i="10"/>
  <c r="EA12" i="10"/>
  <c r="EA16" i="10"/>
  <c r="EA20" i="10"/>
  <c r="EA8" i="10"/>
  <c r="DV39" i="10"/>
  <c r="DV40" i="10" s="1"/>
  <c r="DV49" i="10" s="1"/>
  <c r="M45" i="10"/>
  <c r="J31" i="10"/>
  <c r="I31" i="10" s="1"/>
  <c r="J30" i="10"/>
  <c r="I30" i="10" s="1"/>
  <c r="J28" i="10"/>
  <c r="I28" i="10" s="1"/>
  <c r="J29" i="10"/>
  <c r="I29" i="10" s="1"/>
  <c r="J34" i="10"/>
  <c r="I34" i="10" s="1"/>
  <c r="J35" i="10"/>
  <c r="I35" i="10" s="1"/>
  <c r="J32" i="10"/>
  <c r="I32" i="10" s="1"/>
  <c r="M44" i="10"/>
  <c r="M43" i="10"/>
  <c r="N17" i="10"/>
  <c r="N16" i="10"/>
  <c r="N18" i="10"/>
  <c r="N15" i="10"/>
  <c r="N20" i="10"/>
  <c r="N44" i="10" s="1"/>
  <c r="N14" i="10"/>
  <c r="N13" i="10"/>
  <c r="N12" i="10"/>
  <c r="N11" i="10"/>
  <c r="J26" i="10"/>
  <c r="I26" i="10" s="1"/>
  <c r="I47" i="10"/>
  <c r="B25" i="23"/>
  <c r="N28" i="23"/>
  <c r="J57" i="10"/>
  <c r="I57" i="10" s="1"/>
  <c r="L47" i="10"/>
  <c r="O5" i="10"/>
  <c r="N6" i="10"/>
  <c r="N7" i="10"/>
  <c r="N8" i="10"/>
  <c r="N9" i="10"/>
  <c r="N10" i="10"/>
  <c r="N4" i="10"/>
  <c r="M19" i="10"/>
  <c r="J25" i="10"/>
  <c r="I25" i="10" s="1"/>
  <c r="J27" i="10"/>
  <c r="I27" i="10" s="1"/>
  <c r="J23" i="10"/>
  <c r="J24" i="10"/>
  <c r="I24" i="10" s="1"/>
  <c r="DP39" i="10" l="1"/>
  <c r="DP40" i="10" s="1"/>
  <c r="DP49" i="10" s="1"/>
  <c r="DJ39" i="10"/>
  <c r="DJ40" i="10" s="1"/>
  <c r="DJ49" i="10" s="1"/>
  <c r="DQ39" i="10"/>
  <c r="DQ40" i="10" s="1"/>
  <c r="DQ49" i="10" s="1"/>
  <c r="DZ47" i="10"/>
  <c r="DZ27" i="10" s="1"/>
  <c r="DK39" i="10"/>
  <c r="DK40" i="10" s="1"/>
  <c r="DK49" i="10" s="1"/>
  <c r="DS39" i="10"/>
  <c r="DS40" i="10" s="1"/>
  <c r="DS49" i="10" s="1"/>
  <c r="EA44" i="10"/>
  <c r="EA46" i="10"/>
  <c r="EA43" i="10"/>
  <c r="EA45" i="10"/>
  <c r="EA19" i="10"/>
  <c r="EB13" i="10"/>
  <c r="EC5" i="10"/>
  <c r="EB10" i="10"/>
  <c r="EB18" i="10"/>
  <c r="EB4" i="10"/>
  <c r="EB12" i="10"/>
  <c r="EB9" i="10"/>
  <c r="EB17" i="10"/>
  <c r="EB6" i="10"/>
  <c r="EB14" i="10"/>
  <c r="EB8" i="10"/>
  <c r="EB7" i="10"/>
  <c r="EB16" i="10"/>
  <c r="EB15" i="10"/>
  <c r="EB20" i="10"/>
  <c r="EB11" i="10"/>
  <c r="DX36" i="10"/>
  <c r="DX38" i="10" s="1"/>
  <c r="DY33" i="10"/>
  <c r="DY29" i="10"/>
  <c r="DY31" i="10"/>
  <c r="DY35" i="10"/>
  <c r="DY32" i="10"/>
  <c r="DY30" i="10"/>
  <c r="DY23" i="10"/>
  <c r="DY27" i="10"/>
  <c r="DY26" i="10"/>
  <c r="DY25" i="10"/>
  <c r="DY24" i="10"/>
  <c r="DY28" i="10"/>
  <c r="DY34" i="10"/>
  <c r="DW39" i="10"/>
  <c r="DW40" i="10" s="1"/>
  <c r="DW49" i="10" s="1"/>
  <c r="L30" i="10"/>
  <c r="L29" i="10"/>
  <c r="L28" i="10"/>
  <c r="L33" i="10"/>
  <c r="L31" i="10"/>
  <c r="L35" i="10"/>
  <c r="L34" i="10"/>
  <c r="L32" i="10"/>
  <c r="N43" i="10"/>
  <c r="O15" i="10"/>
  <c r="O18" i="10"/>
  <c r="O17" i="10"/>
  <c r="O16" i="10"/>
  <c r="N45" i="10"/>
  <c r="N46" i="10"/>
  <c r="O20" i="10"/>
  <c r="O45" i="10" s="1"/>
  <c r="O11" i="10"/>
  <c r="O13" i="10"/>
  <c r="O12" i="10"/>
  <c r="O14" i="10"/>
  <c r="B26" i="23"/>
  <c r="N29" i="23"/>
  <c r="L24" i="10"/>
  <c r="L25" i="10"/>
  <c r="L23" i="10"/>
  <c r="L26" i="10"/>
  <c r="L27" i="10"/>
  <c r="G169" i="1"/>
  <c r="J169" i="1" s="1"/>
  <c r="M47" i="10"/>
  <c r="P5" i="10"/>
  <c r="O8" i="10"/>
  <c r="O9" i="10"/>
  <c r="O10" i="10"/>
  <c r="O6" i="10"/>
  <c r="O4" i="10"/>
  <c r="O7" i="10"/>
  <c r="N19" i="10"/>
  <c r="J36" i="10"/>
  <c r="I23" i="10"/>
  <c r="DZ25" i="10" l="1"/>
  <c r="DZ32" i="10"/>
  <c r="DZ26" i="10"/>
  <c r="DZ28" i="10"/>
  <c r="DZ29" i="10"/>
  <c r="DZ35" i="10"/>
  <c r="DZ23" i="10"/>
  <c r="DZ24" i="10"/>
  <c r="DZ33" i="10"/>
  <c r="DZ34" i="10"/>
  <c r="DZ30" i="10"/>
  <c r="DZ31" i="10"/>
  <c r="DY36" i="10"/>
  <c r="DY38" i="10" s="1"/>
  <c r="EC8" i="10"/>
  <c r="EC16" i="10"/>
  <c r="EC13" i="10"/>
  <c r="ED5" i="10"/>
  <c r="EC7" i="10"/>
  <c r="EC15" i="10"/>
  <c r="EC4" i="10"/>
  <c r="EC12" i="10"/>
  <c r="EC9" i="10"/>
  <c r="EC17" i="10"/>
  <c r="EC11" i="10"/>
  <c r="EC18" i="10"/>
  <c r="EC10" i="10"/>
  <c r="EC14" i="10"/>
  <c r="EC20" i="10"/>
  <c r="EC6" i="10"/>
  <c r="DX39" i="10"/>
  <c r="DX40" i="10" s="1"/>
  <c r="DX49" i="10" s="1"/>
  <c r="EB19" i="10"/>
  <c r="EA47" i="10"/>
  <c r="EB44" i="10"/>
  <c r="EB46" i="10"/>
  <c r="EB43" i="10"/>
  <c r="EB45" i="10"/>
  <c r="M28" i="10"/>
  <c r="M32" i="10"/>
  <c r="M30" i="10"/>
  <c r="M35" i="10"/>
  <c r="M33" i="10"/>
  <c r="M34" i="10"/>
  <c r="M29" i="10"/>
  <c r="M31" i="10"/>
  <c r="P16" i="10"/>
  <c r="P15" i="10"/>
  <c r="P18" i="10"/>
  <c r="P17" i="10"/>
  <c r="O46" i="10"/>
  <c r="O43" i="10"/>
  <c r="P20" i="10"/>
  <c r="P44" i="10" s="1"/>
  <c r="P12" i="10"/>
  <c r="P11" i="10"/>
  <c r="P14" i="10"/>
  <c r="P13" i="10"/>
  <c r="O44" i="10"/>
  <c r="J38" i="10"/>
  <c r="I38" i="10" s="1"/>
  <c r="I36" i="10"/>
  <c r="B27" i="23"/>
  <c r="N30" i="23"/>
  <c r="M27" i="10"/>
  <c r="M25" i="10"/>
  <c r="M24" i="10"/>
  <c r="M23" i="10"/>
  <c r="M26" i="10"/>
  <c r="L36" i="10"/>
  <c r="L38" i="10" s="1"/>
  <c r="L39" i="10" s="1"/>
  <c r="L40" i="10" s="1"/>
  <c r="L49" i="10" s="1"/>
  <c r="O19" i="10"/>
  <c r="Q5" i="10"/>
  <c r="P7" i="10"/>
  <c r="P6" i="10"/>
  <c r="P8" i="10"/>
  <c r="P9" i="10"/>
  <c r="P10" i="10"/>
  <c r="P4" i="10"/>
  <c r="N47" i="10"/>
  <c r="J39" i="10"/>
  <c r="I39" i="10" s="1"/>
  <c r="DZ36" i="10" l="1"/>
  <c r="DZ38" i="10" s="1"/>
  <c r="DZ39" i="10" s="1"/>
  <c r="DZ40" i="10" s="1"/>
  <c r="DZ49" i="10" s="1"/>
  <c r="EB47" i="10"/>
  <c r="EB27" i="10" s="1"/>
  <c r="EC19" i="10"/>
  <c r="EC43" i="10"/>
  <c r="EC44" i="10"/>
  <c r="EC46" i="10"/>
  <c r="EC45" i="10"/>
  <c r="ED11" i="10"/>
  <c r="ED8" i="10"/>
  <c r="ED16" i="10"/>
  <c r="EE5" i="10"/>
  <c r="ED10" i="10"/>
  <c r="ED7" i="10"/>
  <c r="ED15" i="10"/>
  <c r="ED4" i="10"/>
  <c r="ED12" i="10"/>
  <c r="ED20" i="10"/>
  <c r="ED13" i="10"/>
  <c r="ED6" i="10"/>
  <c r="ED17" i="10"/>
  <c r="ED18" i="10"/>
  <c r="ED14" i="10"/>
  <c r="ED9" i="10"/>
  <c r="EB32" i="10"/>
  <c r="EA30" i="10"/>
  <c r="EA25" i="10"/>
  <c r="EA32" i="10"/>
  <c r="EA28" i="10"/>
  <c r="EA35" i="10"/>
  <c r="EA27" i="10"/>
  <c r="EA24" i="10"/>
  <c r="EA29" i="10"/>
  <c r="EA33" i="10"/>
  <c r="EA31" i="10"/>
  <c r="EA34" i="10"/>
  <c r="EA23" i="10"/>
  <c r="EA26" i="10"/>
  <c r="DY39" i="10"/>
  <c r="DY40" i="10" s="1"/>
  <c r="DY49" i="10" s="1"/>
  <c r="N32" i="10"/>
  <c r="N35" i="10"/>
  <c r="N30" i="10"/>
  <c r="N31" i="10"/>
  <c r="N29" i="10"/>
  <c r="N33" i="10"/>
  <c r="N34" i="10"/>
  <c r="N28" i="10"/>
  <c r="Q16" i="10"/>
  <c r="Q15" i="10"/>
  <c r="Q18" i="10"/>
  <c r="Q17" i="10"/>
  <c r="P46" i="10"/>
  <c r="P45" i="10"/>
  <c r="P43" i="10"/>
  <c r="Q20" i="10"/>
  <c r="Q45" i="10" s="1"/>
  <c r="Q13" i="10"/>
  <c r="Q12" i="10"/>
  <c r="Q11" i="10"/>
  <c r="Q14" i="10"/>
  <c r="B28" i="23"/>
  <c r="N31" i="23"/>
  <c r="N25" i="10"/>
  <c r="N24" i="10"/>
  <c r="N27" i="10"/>
  <c r="N23" i="10"/>
  <c r="N26" i="10"/>
  <c r="J40" i="10"/>
  <c r="I40" i="10" s="1"/>
  <c r="M36" i="10"/>
  <c r="M38" i="10" s="1"/>
  <c r="M39" i="10" s="1"/>
  <c r="M40" i="10" s="1"/>
  <c r="M49" i="10" s="1"/>
  <c r="R5" i="10"/>
  <c r="Q6" i="10"/>
  <c r="Q7" i="10"/>
  <c r="Q4" i="10"/>
  <c r="Q8" i="10"/>
  <c r="Q9" i="10"/>
  <c r="Q10" i="10"/>
  <c r="P19" i="10"/>
  <c r="J49" i="10"/>
  <c r="I49" i="10" s="1"/>
  <c r="O47" i="10"/>
  <c r="EB25" i="10" l="1"/>
  <c r="EB29" i="10"/>
  <c r="EB35" i="10"/>
  <c r="EB24" i="10"/>
  <c r="EB31" i="10"/>
  <c r="EB30" i="10"/>
  <c r="EB26" i="10"/>
  <c r="EB34" i="10"/>
  <c r="EB23" i="10"/>
  <c r="EB28" i="10"/>
  <c r="EB33" i="10"/>
  <c r="ED45" i="10"/>
  <c r="ED43" i="10"/>
  <c r="ED44" i="10"/>
  <c r="ED46" i="10"/>
  <c r="ED19" i="10"/>
  <c r="EA36" i="10"/>
  <c r="EA38" i="10" s="1"/>
  <c r="EC47" i="10"/>
  <c r="EE6" i="10"/>
  <c r="EE14" i="10"/>
  <c r="EE11" i="10"/>
  <c r="EE13" i="10"/>
  <c r="EF5" i="10"/>
  <c r="EE10" i="10"/>
  <c r="EE18" i="10"/>
  <c r="EE7" i="10"/>
  <c r="EE15" i="10"/>
  <c r="EE9" i="10"/>
  <c r="EE8" i="10"/>
  <c r="EE20" i="10"/>
  <c r="EE4" i="10"/>
  <c r="EE17" i="10"/>
  <c r="EE16" i="10"/>
  <c r="EE12" i="10"/>
  <c r="O30" i="10"/>
  <c r="O34" i="10"/>
  <c r="O28" i="10"/>
  <c r="O29" i="10"/>
  <c r="O32" i="10"/>
  <c r="O31" i="10"/>
  <c r="O35" i="10"/>
  <c r="O33" i="10"/>
  <c r="R17" i="10"/>
  <c r="R16" i="10"/>
  <c r="R15" i="10"/>
  <c r="R18" i="10"/>
  <c r="Q44" i="10"/>
  <c r="R20" i="10"/>
  <c r="R43" i="10" s="1"/>
  <c r="R14" i="10"/>
  <c r="R13" i="10"/>
  <c r="R12" i="10"/>
  <c r="R11" i="10"/>
  <c r="Q46" i="10"/>
  <c r="Q43" i="10"/>
  <c r="B29" i="23"/>
  <c r="N32" i="23"/>
  <c r="O27" i="10"/>
  <c r="O25" i="10"/>
  <c r="O24" i="10"/>
  <c r="O23" i="10"/>
  <c r="O26" i="10"/>
  <c r="N36" i="10"/>
  <c r="N38" i="10" s="1"/>
  <c r="J134" i="1"/>
  <c r="Q19" i="10"/>
  <c r="P47" i="10"/>
  <c r="S5" i="10"/>
  <c r="R6" i="10"/>
  <c r="R9" i="10"/>
  <c r="R4" i="10"/>
  <c r="R7" i="10"/>
  <c r="R8" i="10"/>
  <c r="R10" i="10"/>
  <c r="EB36" i="10" l="1"/>
  <c r="EB38" i="10" s="1"/>
  <c r="EB39" i="10" s="1"/>
  <c r="EB40" i="10" s="1"/>
  <c r="EB49" i="10" s="1"/>
  <c r="EA39" i="10"/>
  <c r="EA40" i="10" s="1"/>
  <c r="EA49" i="10" s="1"/>
  <c r="EE45" i="10"/>
  <c r="EE43" i="10"/>
  <c r="EE44" i="10"/>
  <c r="EE46" i="10"/>
  <c r="EF9" i="10"/>
  <c r="EF17" i="10"/>
  <c r="EF6" i="10"/>
  <c r="EF14" i="10"/>
  <c r="EF8" i="10"/>
  <c r="EF16" i="10"/>
  <c r="EF13" i="10"/>
  <c r="EG5" i="10"/>
  <c r="EF10" i="10"/>
  <c r="EF18" i="10"/>
  <c r="EF12" i="10"/>
  <c r="EF11" i="10"/>
  <c r="EF4" i="10"/>
  <c r="EF20" i="10"/>
  <c r="EF7" i="10"/>
  <c r="EF15" i="10"/>
  <c r="EC32" i="10"/>
  <c r="EC24" i="10"/>
  <c r="EC26" i="10"/>
  <c r="EC34" i="10"/>
  <c r="EC33" i="10"/>
  <c r="EC29" i="10"/>
  <c r="EC31" i="10"/>
  <c r="EC23" i="10"/>
  <c r="EC28" i="10"/>
  <c r="EC35" i="10"/>
  <c r="EC27" i="10"/>
  <c r="EC25" i="10"/>
  <c r="EC30" i="10"/>
  <c r="ED47" i="10"/>
  <c r="EE19" i="10"/>
  <c r="I134" i="1"/>
  <c r="N52" i="1"/>
  <c r="P33" i="10"/>
  <c r="P35" i="10"/>
  <c r="P31" i="10"/>
  <c r="P30" i="10"/>
  <c r="P34" i="10"/>
  <c r="P28" i="10"/>
  <c r="P29" i="10"/>
  <c r="P32" i="10"/>
  <c r="R45" i="10"/>
  <c r="S15" i="10"/>
  <c r="S18" i="10"/>
  <c r="S17" i="10"/>
  <c r="S16" i="10"/>
  <c r="R46" i="10"/>
  <c r="R44" i="10"/>
  <c r="S20" i="10"/>
  <c r="S43" i="10" s="1"/>
  <c r="S11" i="10"/>
  <c r="S13" i="10"/>
  <c r="S14" i="10"/>
  <c r="S12" i="10"/>
  <c r="B30" i="23"/>
  <c r="N33" i="23"/>
  <c r="P24" i="10"/>
  <c r="P25" i="10"/>
  <c r="P23" i="10"/>
  <c r="P27" i="10"/>
  <c r="P26" i="10"/>
  <c r="N39" i="10"/>
  <c r="N40" i="10" s="1"/>
  <c r="N49" i="10" s="1"/>
  <c r="O36" i="10"/>
  <c r="O38" i="10" s="1"/>
  <c r="R19" i="10"/>
  <c r="T5" i="10"/>
  <c r="S6" i="10"/>
  <c r="S7" i="10"/>
  <c r="S8" i="10"/>
  <c r="S9" i="10"/>
  <c r="S10" i="10"/>
  <c r="S4" i="10"/>
  <c r="Q47" i="10"/>
  <c r="EG4" i="10" l="1"/>
  <c r="EG12" i="10"/>
  <c r="EG9" i="10"/>
  <c r="EG17" i="10"/>
  <c r="EG11" i="10"/>
  <c r="EG8" i="10"/>
  <c r="EG16" i="10"/>
  <c r="EG13" i="10"/>
  <c r="EH5" i="10"/>
  <c r="EG14" i="10"/>
  <c r="EG7" i="10"/>
  <c r="EG20" i="10"/>
  <c r="EG6" i="10"/>
  <c r="EG10" i="10"/>
  <c r="EG15" i="10"/>
  <c r="EG18" i="10"/>
  <c r="EC36" i="10"/>
  <c r="EC38" i="10" s="1"/>
  <c r="EE47" i="10"/>
  <c r="EF43" i="10"/>
  <c r="EF45" i="10"/>
  <c r="EF46" i="10"/>
  <c r="EF44" i="10"/>
  <c r="ED31" i="10"/>
  <c r="ED24" i="10"/>
  <c r="ED26" i="10"/>
  <c r="ED35" i="10"/>
  <c r="ED32" i="10"/>
  <c r="ED33" i="10"/>
  <c r="ED28" i="10"/>
  <c r="ED29" i="10"/>
  <c r="ED34" i="10"/>
  <c r="ED23" i="10"/>
  <c r="ED30" i="10"/>
  <c r="ED25" i="10"/>
  <c r="ED27" i="10"/>
  <c r="EF19" i="10"/>
  <c r="Q31" i="10"/>
  <c r="Q32" i="10"/>
  <c r="Q34" i="10"/>
  <c r="Q28" i="10"/>
  <c r="Q29" i="10"/>
  <c r="Q33" i="10"/>
  <c r="Q30" i="10"/>
  <c r="Q35" i="10"/>
  <c r="S45" i="10"/>
  <c r="T16" i="10"/>
  <c r="T15" i="10"/>
  <c r="T18" i="10"/>
  <c r="T17" i="10"/>
  <c r="S44" i="10"/>
  <c r="S46" i="10"/>
  <c r="T20" i="10"/>
  <c r="T45" i="10" s="1"/>
  <c r="T12" i="10"/>
  <c r="T11" i="10"/>
  <c r="T14" i="10"/>
  <c r="T13" i="10"/>
  <c r="B31" i="23"/>
  <c r="N34" i="23"/>
  <c r="Q27" i="10"/>
  <c r="Q26" i="10"/>
  <c r="Q25" i="10"/>
  <c r="Q24" i="10"/>
  <c r="Q23" i="10"/>
  <c r="R47" i="10"/>
  <c r="P36" i="10"/>
  <c r="P38" i="10" s="1"/>
  <c r="O39" i="10"/>
  <c r="O40" i="10" s="1"/>
  <c r="O49" i="10" s="1"/>
  <c r="S19" i="10"/>
  <c r="U5" i="10"/>
  <c r="T7" i="10"/>
  <c r="T8" i="10"/>
  <c r="T9" i="10"/>
  <c r="T10" i="10"/>
  <c r="T4" i="10"/>
  <c r="T6" i="10"/>
  <c r="EF47" i="10" l="1"/>
  <c r="EF29" i="10" s="1"/>
  <c r="EE24" i="10"/>
  <c r="EE27" i="10"/>
  <c r="EE28" i="10"/>
  <c r="EE26" i="10"/>
  <c r="EE30" i="10"/>
  <c r="EE32" i="10"/>
  <c r="EE35" i="10"/>
  <c r="EE25" i="10"/>
  <c r="EE23" i="10"/>
  <c r="EE33" i="10"/>
  <c r="EE31" i="10"/>
  <c r="EE29" i="10"/>
  <c r="EE34" i="10"/>
  <c r="EG46" i="10"/>
  <c r="EG43" i="10"/>
  <c r="EG45" i="10"/>
  <c r="EG44" i="10"/>
  <c r="EF23" i="10"/>
  <c r="EF35" i="10"/>
  <c r="EC39" i="10"/>
  <c r="EC40" i="10" s="1"/>
  <c r="EC49" i="10" s="1"/>
  <c r="ED36" i="10"/>
  <c r="ED38" i="10" s="1"/>
  <c r="EG19" i="10"/>
  <c r="EH7" i="10"/>
  <c r="EH15" i="10"/>
  <c r="EH4" i="10"/>
  <c r="EH12" i="10"/>
  <c r="EH20" i="10"/>
  <c r="EH6" i="10"/>
  <c r="EH19" i="10" s="1"/>
  <c r="EH14" i="10"/>
  <c r="EH11" i="10"/>
  <c r="EH8" i="10"/>
  <c r="EH16" i="10"/>
  <c r="EI5" i="10"/>
  <c r="EH9" i="10"/>
  <c r="EH17" i="10"/>
  <c r="EH10" i="10"/>
  <c r="EH13" i="10"/>
  <c r="EH18" i="10"/>
  <c r="R30" i="10"/>
  <c r="R31" i="10"/>
  <c r="R28" i="10"/>
  <c r="R34" i="10"/>
  <c r="R33" i="10"/>
  <c r="R35" i="10"/>
  <c r="R29" i="10"/>
  <c r="R32" i="10"/>
  <c r="U16" i="10"/>
  <c r="U15" i="10"/>
  <c r="U17" i="10"/>
  <c r="U18" i="10"/>
  <c r="T46" i="10"/>
  <c r="T44" i="10"/>
  <c r="T43" i="10"/>
  <c r="U20" i="10"/>
  <c r="U46" i="10" s="1"/>
  <c r="U13" i="10"/>
  <c r="U12" i="10"/>
  <c r="U11" i="10"/>
  <c r="U14" i="10"/>
  <c r="B32" i="23"/>
  <c r="N35" i="23"/>
  <c r="R25" i="10"/>
  <c r="R24" i="10"/>
  <c r="R27" i="10"/>
  <c r="R23" i="10"/>
  <c r="R26" i="10"/>
  <c r="P39" i="10"/>
  <c r="P40" i="10" s="1"/>
  <c r="P49" i="10" s="1"/>
  <c r="Q36" i="10"/>
  <c r="Q38" i="10" s="1"/>
  <c r="T19" i="10"/>
  <c r="V5" i="10"/>
  <c r="U6" i="10"/>
  <c r="U4" i="10"/>
  <c r="U7" i="10"/>
  <c r="U8" i="10"/>
  <c r="U9" i="10"/>
  <c r="U10" i="10"/>
  <c r="S47" i="10"/>
  <c r="EF26" i="10" l="1"/>
  <c r="EF25" i="10"/>
  <c r="EF31" i="10"/>
  <c r="EF24" i="10"/>
  <c r="EF27" i="10"/>
  <c r="EF33" i="10"/>
  <c r="EF30" i="10"/>
  <c r="EF34" i="10"/>
  <c r="EF32" i="10"/>
  <c r="EF28" i="10"/>
  <c r="EH46" i="10"/>
  <c r="EH43" i="10"/>
  <c r="EH45" i="10"/>
  <c r="EH44" i="10"/>
  <c r="EJ5" i="10"/>
  <c r="EI10" i="10"/>
  <c r="EI18" i="10"/>
  <c r="EI7" i="10"/>
  <c r="EI15" i="10"/>
  <c r="EI4" i="10"/>
  <c r="EI9" i="10"/>
  <c r="EI17" i="10"/>
  <c r="EI6" i="10"/>
  <c r="EI14" i="10"/>
  <c r="EI11" i="10"/>
  <c r="EI13" i="10"/>
  <c r="EI12" i="10"/>
  <c r="EI20" i="10"/>
  <c r="EI8" i="10"/>
  <c r="EI16" i="10"/>
  <c r="EG47" i="10"/>
  <c r="ED39" i="10"/>
  <c r="ED40" i="10" s="1"/>
  <c r="ED49" i="10" s="1"/>
  <c r="EE36" i="10"/>
  <c r="EE38" i="10" s="1"/>
  <c r="S34" i="10"/>
  <c r="S33" i="10"/>
  <c r="S35" i="10"/>
  <c r="S32" i="10"/>
  <c r="S29" i="10"/>
  <c r="S28" i="10"/>
  <c r="S30" i="10"/>
  <c r="S31" i="10"/>
  <c r="V17" i="10"/>
  <c r="V16" i="10"/>
  <c r="V18" i="10"/>
  <c r="V15" i="10"/>
  <c r="U43" i="10"/>
  <c r="U45" i="10"/>
  <c r="U44" i="10"/>
  <c r="V20" i="10"/>
  <c r="V43" i="10" s="1"/>
  <c r="V14" i="10"/>
  <c r="V13" i="10"/>
  <c r="V12" i="10"/>
  <c r="V11" i="10"/>
  <c r="B33" i="23"/>
  <c r="N36" i="23"/>
  <c r="S23" i="10"/>
  <c r="S26" i="10"/>
  <c r="S27" i="10"/>
  <c r="S25" i="10"/>
  <c r="S24" i="10"/>
  <c r="R36" i="10"/>
  <c r="R38" i="10" s="1"/>
  <c r="R39" i="10" s="1"/>
  <c r="R40" i="10" s="1"/>
  <c r="R49" i="10" s="1"/>
  <c r="Q39" i="10"/>
  <c r="Q40" i="10" s="1"/>
  <c r="Q49" i="10" s="1"/>
  <c r="U19" i="10"/>
  <c r="W5" i="10"/>
  <c r="V6" i="10"/>
  <c r="V10" i="10"/>
  <c r="V7" i="10"/>
  <c r="V8" i="10"/>
  <c r="V9" i="10"/>
  <c r="V4" i="10"/>
  <c r="T47" i="10"/>
  <c r="EF36" i="10" l="1"/>
  <c r="EF38" i="10" s="1"/>
  <c r="EF39" i="10" s="1"/>
  <c r="EF40" i="10" s="1"/>
  <c r="EF49" i="10" s="1"/>
  <c r="EI19" i="10"/>
  <c r="EJ13" i="10"/>
  <c r="EK5" i="10"/>
  <c r="EJ10" i="10"/>
  <c r="EJ18" i="10"/>
  <c r="EJ4" i="10"/>
  <c r="EJ12" i="10"/>
  <c r="EJ9" i="10"/>
  <c r="EJ17" i="10"/>
  <c r="EJ6" i="10"/>
  <c r="EJ14" i="10"/>
  <c r="EJ15" i="10"/>
  <c r="EJ8" i="10"/>
  <c r="EJ7" i="10"/>
  <c r="EJ11" i="10"/>
  <c r="EJ20" i="10"/>
  <c r="EJ16" i="10"/>
  <c r="EI44" i="10"/>
  <c r="EI43" i="10"/>
  <c r="EI45" i="10"/>
  <c r="EI46" i="10"/>
  <c r="EH47" i="10"/>
  <c r="EE39" i="10"/>
  <c r="EE40" i="10" s="1"/>
  <c r="EE49" i="10" s="1"/>
  <c r="EG32" i="10"/>
  <c r="EG35" i="10"/>
  <c r="EG28" i="10"/>
  <c r="EG34" i="10"/>
  <c r="EG30" i="10"/>
  <c r="EG24" i="10"/>
  <c r="EG25" i="10"/>
  <c r="EG29" i="10"/>
  <c r="EG33" i="10"/>
  <c r="EG27" i="10"/>
  <c r="EG31" i="10"/>
  <c r="EG23" i="10"/>
  <c r="EG26" i="10"/>
  <c r="T35" i="10"/>
  <c r="T29" i="10"/>
  <c r="T28" i="10"/>
  <c r="T32" i="10"/>
  <c r="T33" i="10"/>
  <c r="T30" i="10"/>
  <c r="T31" i="10"/>
  <c r="T34" i="10"/>
  <c r="W15" i="10"/>
  <c r="W18" i="10"/>
  <c r="W17" i="10"/>
  <c r="W16" i="10"/>
  <c r="V44" i="10"/>
  <c r="V45" i="10"/>
  <c r="V46" i="10"/>
  <c r="W20" i="10"/>
  <c r="W44" i="10" s="1"/>
  <c r="W11" i="10"/>
  <c r="W13" i="10"/>
  <c r="W12" i="10"/>
  <c r="W14" i="10"/>
  <c r="B34" i="23"/>
  <c r="N37" i="23"/>
  <c r="T27" i="10"/>
  <c r="T26" i="10"/>
  <c r="T25" i="10"/>
  <c r="T24" i="10"/>
  <c r="T23" i="10"/>
  <c r="S36" i="10"/>
  <c r="S38" i="10" s="1"/>
  <c r="U47" i="10"/>
  <c r="V19" i="10"/>
  <c r="X5" i="10"/>
  <c r="W7" i="10"/>
  <c r="W8" i="10"/>
  <c r="W9" i="10"/>
  <c r="W10" i="10"/>
  <c r="W6" i="10"/>
  <c r="W4" i="10"/>
  <c r="EI47" i="10" l="1"/>
  <c r="EI27" i="10" s="1"/>
  <c r="EH26" i="10"/>
  <c r="EH25" i="10"/>
  <c r="EH34" i="10"/>
  <c r="EH23" i="10"/>
  <c r="EH29" i="10"/>
  <c r="EH32" i="10"/>
  <c r="EH33" i="10"/>
  <c r="EH28" i="10"/>
  <c r="EH31" i="10"/>
  <c r="EH27" i="10"/>
  <c r="EH35" i="10"/>
  <c r="EH30" i="10"/>
  <c r="EH24" i="10"/>
  <c r="EK8" i="10"/>
  <c r="EK16" i="10"/>
  <c r="EK13" i="10"/>
  <c r="EL5" i="10"/>
  <c r="EK7" i="10"/>
  <c r="EK15" i="10"/>
  <c r="EK4" i="10"/>
  <c r="EK12" i="10"/>
  <c r="EK9" i="10"/>
  <c r="EK17" i="10"/>
  <c r="EK10" i="10"/>
  <c r="EK18" i="10"/>
  <c r="EK14" i="10"/>
  <c r="EK6" i="10"/>
  <c r="EK20" i="10"/>
  <c r="EK11" i="10"/>
  <c r="EJ44" i="10"/>
  <c r="EJ46" i="10"/>
  <c r="EJ43" i="10"/>
  <c r="EJ45" i="10"/>
  <c r="EJ19" i="10"/>
  <c r="EG36" i="10"/>
  <c r="EG38" i="10" s="1"/>
  <c r="U28" i="10"/>
  <c r="U34" i="10"/>
  <c r="U30" i="10"/>
  <c r="U29" i="10"/>
  <c r="U33" i="10"/>
  <c r="U32" i="10"/>
  <c r="U35" i="10"/>
  <c r="U31" i="10"/>
  <c r="X16" i="10"/>
  <c r="X15" i="10"/>
  <c r="X18" i="10"/>
  <c r="X17" i="10"/>
  <c r="W43" i="10"/>
  <c r="W45" i="10"/>
  <c r="W46" i="10"/>
  <c r="X20" i="10"/>
  <c r="X46" i="10" s="1"/>
  <c r="X12" i="10"/>
  <c r="X11" i="10"/>
  <c r="X14" i="10"/>
  <c r="X13" i="10"/>
  <c r="B35" i="23"/>
  <c r="N38" i="23"/>
  <c r="U23" i="10"/>
  <c r="U27" i="10"/>
  <c r="U25" i="10"/>
  <c r="U26" i="10"/>
  <c r="U24" i="10"/>
  <c r="T36" i="10"/>
  <c r="T38" i="10" s="1"/>
  <c r="S39" i="10"/>
  <c r="S40" i="10" s="1"/>
  <c r="S49" i="10" s="1"/>
  <c r="V47" i="10"/>
  <c r="Y5" i="10"/>
  <c r="X6" i="10"/>
  <c r="X4" i="10"/>
  <c r="X9" i="10"/>
  <c r="X10" i="10"/>
  <c r="X7" i="10"/>
  <c r="X8" i="10"/>
  <c r="W19" i="10"/>
  <c r="EI23" i="10" l="1"/>
  <c r="EI30" i="10"/>
  <c r="EI32" i="10"/>
  <c r="EI29" i="10"/>
  <c r="EI33" i="10"/>
  <c r="EI25" i="10"/>
  <c r="EI24" i="10"/>
  <c r="EI31" i="10"/>
  <c r="EI28" i="10"/>
  <c r="EI26" i="10"/>
  <c r="EI35" i="10"/>
  <c r="EI34" i="10"/>
  <c r="EL11" i="10"/>
  <c r="EL8" i="10"/>
  <c r="EL16" i="10"/>
  <c r="EM5" i="10"/>
  <c r="EL10" i="10"/>
  <c r="EL7" i="10"/>
  <c r="EL15" i="10"/>
  <c r="EL4" i="10"/>
  <c r="EL12" i="10"/>
  <c r="EL18" i="10"/>
  <c r="EL13" i="10"/>
  <c r="EL6" i="10"/>
  <c r="EL14" i="10"/>
  <c r="EL9" i="10"/>
  <c r="EL17" i="10"/>
  <c r="EL20" i="10"/>
  <c r="EG39" i="10"/>
  <c r="EG40" i="10" s="1"/>
  <c r="EG49" i="10" s="1"/>
  <c r="EJ47" i="10"/>
  <c r="EK19" i="10"/>
  <c r="EK44" i="10"/>
  <c r="EK46" i="10"/>
  <c r="EK43" i="10"/>
  <c r="EK45" i="10"/>
  <c r="EH36" i="10"/>
  <c r="EH38" i="10" s="1"/>
  <c r="V29" i="10"/>
  <c r="V34" i="10"/>
  <c r="V30" i="10"/>
  <c r="V32" i="10"/>
  <c r="V33" i="10"/>
  <c r="V31" i="10"/>
  <c r="V35" i="10"/>
  <c r="V28" i="10"/>
  <c r="Y16" i="10"/>
  <c r="Y15" i="10"/>
  <c r="Y18" i="10"/>
  <c r="Y17" i="10"/>
  <c r="X45" i="10"/>
  <c r="X44" i="10"/>
  <c r="X43" i="10"/>
  <c r="Y20" i="10"/>
  <c r="Y46" i="10" s="1"/>
  <c r="Y13" i="10"/>
  <c r="Y12" i="10"/>
  <c r="Y11" i="10"/>
  <c r="Y14" i="10"/>
  <c r="B36" i="23"/>
  <c r="N39" i="23"/>
  <c r="V27" i="10"/>
  <c r="V23" i="10"/>
  <c r="V26" i="10"/>
  <c r="V25" i="10"/>
  <c r="V24" i="10"/>
  <c r="T39" i="10"/>
  <c r="T40" i="10" s="1"/>
  <c r="T49" i="10" s="1"/>
  <c r="U36" i="10"/>
  <c r="U38" i="10" s="1"/>
  <c r="X19" i="10"/>
  <c r="W47" i="10"/>
  <c r="Z5" i="10"/>
  <c r="Y6" i="10"/>
  <c r="Y4" i="10"/>
  <c r="Y7" i="10"/>
  <c r="Y8" i="10"/>
  <c r="Y9" i="10"/>
  <c r="Y10" i="10"/>
  <c r="EI36" i="10" l="1"/>
  <c r="EI38" i="10" s="1"/>
  <c r="EI39" i="10" s="1"/>
  <c r="EI40" i="10" s="1"/>
  <c r="EI49" i="10" s="1"/>
  <c r="EH39" i="10"/>
  <c r="EH40" i="10" s="1"/>
  <c r="EH49" i="10" s="1"/>
  <c r="EM6" i="10"/>
  <c r="EM14" i="10"/>
  <c r="EM11" i="10"/>
  <c r="EM13" i="10"/>
  <c r="EN5" i="10"/>
  <c r="EM10" i="10"/>
  <c r="EM18" i="10"/>
  <c r="EM7" i="10"/>
  <c r="EM15" i="10"/>
  <c r="EM16" i="10"/>
  <c r="EM20" i="10"/>
  <c r="EM9" i="10"/>
  <c r="EM8" i="10"/>
  <c r="EM12" i="10"/>
  <c r="EM4" i="10"/>
  <c r="EM17" i="10"/>
  <c r="EL45" i="10"/>
  <c r="EL46" i="10"/>
  <c r="EL44" i="10"/>
  <c r="EL43" i="10"/>
  <c r="EL19" i="10"/>
  <c r="EK47" i="10"/>
  <c r="EJ27" i="10"/>
  <c r="EJ34" i="10"/>
  <c r="EJ33" i="10"/>
  <c r="EJ24" i="10"/>
  <c r="EJ29" i="10"/>
  <c r="EJ23" i="10"/>
  <c r="EJ26" i="10"/>
  <c r="EJ28" i="10"/>
  <c r="EJ32" i="10"/>
  <c r="EJ25" i="10"/>
  <c r="EJ30" i="10"/>
  <c r="EJ35" i="10"/>
  <c r="EJ31" i="10"/>
  <c r="G144" i="1"/>
  <c r="G35" i="1" s="1"/>
  <c r="R3" i="23" s="1"/>
  <c r="W31" i="10"/>
  <c r="W35" i="10"/>
  <c r="W29" i="10"/>
  <c r="W33" i="10"/>
  <c r="W30" i="10"/>
  <c r="W28" i="10"/>
  <c r="W34" i="10"/>
  <c r="W32" i="10"/>
  <c r="Z17" i="10"/>
  <c r="Z16" i="10"/>
  <c r="Z15" i="10"/>
  <c r="Z18" i="10"/>
  <c r="Y45" i="10"/>
  <c r="Y44" i="10"/>
  <c r="Y43" i="10"/>
  <c r="Z20" i="10"/>
  <c r="Z44" i="10" s="1"/>
  <c r="Z14" i="10"/>
  <c r="Z13" i="10"/>
  <c r="Z12" i="10"/>
  <c r="Z11" i="10"/>
  <c r="B37" i="23"/>
  <c r="N40" i="23"/>
  <c r="W24" i="10"/>
  <c r="W26" i="10"/>
  <c r="W27" i="10"/>
  <c r="W25" i="10"/>
  <c r="W23" i="10"/>
  <c r="U39" i="10"/>
  <c r="U40" i="10" s="1"/>
  <c r="U49" i="10" s="1"/>
  <c r="V36" i="10"/>
  <c r="V38" i="10" s="1"/>
  <c r="X47" i="10"/>
  <c r="Y19" i="10"/>
  <c r="AA5" i="10"/>
  <c r="Z4" i="10"/>
  <c r="Z7" i="10"/>
  <c r="Z8" i="10"/>
  <c r="Z9" i="10"/>
  <c r="Z10" i="10"/>
  <c r="Z6" i="10"/>
  <c r="EL47" i="10" l="1"/>
  <c r="EL31" i="10" s="1"/>
  <c r="EM45" i="10"/>
  <c r="EM44" i="10"/>
  <c r="EM46" i="10"/>
  <c r="EM43" i="10"/>
  <c r="EM19" i="10"/>
  <c r="EK25" i="10"/>
  <c r="EK27" i="10"/>
  <c r="EK32" i="10"/>
  <c r="EK34" i="10"/>
  <c r="EK24" i="10"/>
  <c r="EK33" i="10"/>
  <c r="EK35" i="10"/>
  <c r="EK29" i="10"/>
  <c r="EK23" i="10"/>
  <c r="EK31" i="10"/>
  <c r="EK28" i="10"/>
  <c r="EK26" i="10"/>
  <c r="EK30" i="10"/>
  <c r="EJ36" i="10"/>
  <c r="EJ38" i="10" s="1"/>
  <c r="EN9" i="10"/>
  <c r="EN17" i="10"/>
  <c r="EN6" i="10"/>
  <c r="EN14" i="10"/>
  <c r="EN8" i="10"/>
  <c r="EN16" i="10"/>
  <c r="EN13" i="10"/>
  <c r="EO5" i="10"/>
  <c r="EN10" i="10"/>
  <c r="EN18" i="10"/>
  <c r="EN15" i="10"/>
  <c r="EN20" i="10"/>
  <c r="EN7" i="10"/>
  <c r="EN4" i="10"/>
  <c r="EN12" i="10"/>
  <c r="EN11" i="10"/>
  <c r="X33" i="10"/>
  <c r="X31" i="10"/>
  <c r="X28" i="10"/>
  <c r="X34" i="10"/>
  <c r="X30" i="10"/>
  <c r="X32" i="10"/>
  <c r="X35" i="10"/>
  <c r="X29" i="10"/>
  <c r="AA15" i="10"/>
  <c r="AA18" i="10"/>
  <c r="AA17" i="10"/>
  <c r="AA16" i="10"/>
  <c r="Z45" i="10"/>
  <c r="Z46" i="10"/>
  <c r="Z43" i="10"/>
  <c r="AA20" i="10"/>
  <c r="AA45" i="10" s="1"/>
  <c r="AA11" i="10"/>
  <c r="AA13" i="10"/>
  <c r="AA14" i="10"/>
  <c r="AA12" i="10"/>
  <c r="B38" i="23"/>
  <c r="N41" i="23"/>
  <c r="X24" i="10"/>
  <c r="X27" i="10"/>
  <c r="X23" i="10"/>
  <c r="X26" i="10"/>
  <c r="X25" i="10"/>
  <c r="W36" i="10"/>
  <c r="W38" i="10" s="1"/>
  <c r="V39" i="10"/>
  <c r="V40" i="10" s="1"/>
  <c r="V49" i="10" s="1"/>
  <c r="Y47" i="10"/>
  <c r="Z19" i="10"/>
  <c r="AB5" i="10"/>
  <c r="AA7" i="10"/>
  <c r="AA8" i="10"/>
  <c r="AA9" i="10"/>
  <c r="AA10" i="10"/>
  <c r="AA6" i="10"/>
  <c r="AA4" i="10"/>
  <c r="EL27" i="10" l="1"/>
  <c r="EL26" i="10"/>
  <c r="EL35" i="10"/>
  <c r="EL30" i="10"/>
  <c r="EL32" i="10"/>
  <c r="EL23" i="10"/>
  <c r="EL33" i="10"/>
  <c r="EL25" i="10"/>
  <c r="EL34" i="10"/>
  <c r="EL24" i="10"/>
  <c r="EL28" i="10"/>
  <c r="EL29" i="10"/>
  <c r="EO4" i="10"/>
  <c r="EO12" i="10"/>
  <c r="EO9" i="10"/>
  <c r="EO17" i="10"/>
  <c r="EO11" i="10"/>
  <c r="EO8" i="10"/>
  <c r="EO16" i="10"/>
  <c r="EO13" i="10"/>
  <c r="EO10" i="10"/>
  <c r="EO14" i="10"/>
  <c r="EO6" i="10"/>
  <c r="EO15" i="10"/>
  <c r="EO20" i="10"/>
  <c r="EO7" i="10"/>
  <c r="EO18" i="10"/>
  <c r="EK36" i="10"/>
  <c r="EK38" i="10" s="1"/>
  <c r="EJ39" i="10"/>
  <c r="EJ40" i="10" s="1"/>
  <c r="EJ49" i="10" s="1"/>
  <c r="EM47" i="10"/>
  <c r="EN43" i="10"/>
  <c r="EN44" i="10"/>
  <c r="EN46" i="10"/>
  <c r="EN45" i="10"/>
  <c r="EN19" i="10"/>
  <c r="Y30" i="10"/>
  <c r="Y28" i="10"/>
  <c r="Y31" i="10"/>
  <c r="Y29" i="10"/>
  <c r="Y32" i="10"/>
  <c r="Y34" i="10"/>
  <c r="Y33" i="10"/>
  <c r="Y35" i="10"/>
  <c r="AB15" i="10"/>
  <c r="AB18" i="10"/>
  <c r="AB17" i="10"/>
  <c r="AB16" i="10"/>
  <c r="AA44" i="10"/>
  <c r="AA46" i="10"/>
  <c r="AA43" i="10"/>
  <c r="AB20" i="10"/>
  <c r="AB43" i="10" s="1"/>
  <c r="AB12" i="10"/>
  <c r="AB11" i="10"/>
  <c r="AB14" i="10"/>
  <c r="AB13" i="10"/>
  <c r="B39" i="23"/>
  <c r="N42" i="23"/>
  <c r="Y24" i="10"/>
  <c r="Y27" i="10"/>
  <c r="Y23" i="10"/>
  <c r="Y25" i="10"/>
  <c r="Y26" i="10"/>
  <c r="X36" i="10"/>
  <c r="X38" i="10" s="1"/>
  <c r="W39" i="10"/>
  <c r="W40" i="10" s="1"/>
  <c r="W49" i="10" s="1"/>
  <c r="Z47" i="10"/>
  <c r="AC5" i="10"/>
  <c r="AB6" i="10"/>
  <c r="AB9" i="10"/>
  <c r="AB10" i="10"/>
  <c r="AB4" i="10"/>
  <c r="AB7" i="10"/>
  <c r="AB8" i="10"/>
  <c r="AA19" i="10"/>
  <c r="EL36" i="10" l="1"/>
  <c r="EL38" i="10" s="1"/>
  <c r="EL39" i="10" s="1"/>
  <c r="EL40" i="10" s="1"/>
  <c r="EL49" i="10" s="1"/>
  <c r="EK39" i="10"/>
  <c r="EK40" i="10" s="1"/>
  <c r="EK49" i="10" s="1"/>
  <c r="EO19" i="10"/>
  <c r="EN47" i="10"/>
  <c r="EO46" i="10"/>
  <c r="EO43" i="10"/>
  <c r="EO44" i="10"/>
  <c r="EO45" i="10"/>
  <c r="EM23" i="10"/>
  <c r="EM34" i="10"/>
  <c r="EM33" i="10"/>
  <c r="EM28" i="10"/>
  <c r="EM27" i="10"/>
  <c r="EM25" i="10"/>
  <c r="EM35" i="10"/>
  <c r="EM32" i="10"/>
  <c r="EM31" i="10"/>
  <c r="EM29" i="10"/>
  <c r="EM26" i="10"/>
  <c r="EM30" i="10"/>
  <c r="EM24" i="10"/>
  <c r="Z30" i="10"/>
  <c r="Z28" i="10"/>
  <c r="Z33" i="10"/>
  <c r="Z32" i="10"/>
  <c r="Z35" i="10"/>
  <c r="Z29" i="10"/>
  <c r="Z34" i="10"/>
  <c r="Z31" i="10"/>
  <c r="AC16" i="10"/>
  <c r="AC15" i="10"/>
  <c r="AC18" i="10"/>
  <c r="AC17" i="10"/>
  <c r="AB44" i="10"/>
  <c r="AB45" i="10"/>
  <c r="AB46" i="10"/>
  <c r="AC20" i="10"/>
  <c r="AC43" i="10" s="1"/>
  <c r="AC13" i="10"/>
  <c r="AC12" i="10"/>
  <c r="AC11" i="10"/>
  <c r="AC14" i="10"/>
  <c r="B40" i="23"/>
  <c r="N43" i="23"/>
  <c r="Z24" i="10"/>
  <c r="Z23" i="10"/>
  <c r="Z26" i="10"/>
  <c r="Z27" i="10"/>
  <c r="Z25" i="10"/>
  <c r="Y36" i="10"/>
  <c r="Y38" i="10" s="1"/>
  <c r="Y39" i="10" s="1"/>
  <c r="Y40" i="10" s="1"/>
  <c r="Y49" i="10" s="1"/>
  <c r="X39" i="10"/>
  <c r="X40" i="10" s="1"/>
  <c r="X49" i="10" s="1"/>
  <c r="AB19" i="10"/>
  <c r="AA47" i="10"/>
  <c r="AD5" i="10"/>
  <c r="AC9" i="10"/>
  <c r="AC8" i="10"/>
  <c r="AC7" i="10"/>
  <c r="AC4" i="10"/>
  <c r="AC6" i="10"/>
  <c r="AC10" i="10"/>
  <c r="EO47" i="10" l="1"/>
  <c r="EO32" i="10" s="1"/>
  <c r="EN30" i="10"/>
  <c r="EN29" i="10"/>
  <c r="EN27" i="10"/>
  <c r="EN24" i="10"/>
  <c r="EN33" i="10"/>
  <c r="EN32" i="10"/>
  <c r="EN23" i="10"/>
  <c r="EN26" i="10"/>
  <c r="EN31" i="10"/>
  <c r="EN35" i="10"/>
  <c r="EN28" i="10"/>
  <c r="EN34" i="10"/>
  <c r="EN25" i="10"/>
  <c r="EM36" i="10"/>
  <c r="EM38" i="10" s="1"/>
  <c r="AA29" i="10"/>
  <c r="AA32" i="10"/>
  <c r="AA30" i="10"/>
  <c r="AA31" i="10"/>
  <c r="AA35" i="10"/>
  <c r="AA28" i="10"/>
  <c r="AA34" i="10"/>
  <c r="AA33" i="10"/>
  <c r="AD17" i="10"/>
  <c r="AD16" i="10"/>
  <c r="AD18" i="10"/>
  <c r="AD15" i="10"/>
  <c r="AC46" i="10"/>
  <c r="AC44" i="10"/>
  <c r="AC45" i="10"/>
  <c r="AD20" i="10"/>
  <c r="AD44" i="10" s="1"/>
  <c r="AD14" i="10"/>
  <c r="AD13" i="10"/>
  <c r="AD12" i="10"/>
  <c r="AD11" i="10"/>
  <c r="B41" i="23"/>
  <c r="N44" i="23"/>
  <c r="AA24" i="10"/>
  <c r="AA26" i="10"/>
  <c r="AA27" i="10"/>
  <c r="AA25" i="10"/>
  <c r="AA23" i="10"/>
  <c r="Z36" i="10"/>
  <c r="Z38" i="10" s="1"/>
  <c r="AE5" i="10"/>
  <c r="AD6" i="10"/>
  <c r="AD10" i="10"/>
  <c r="AD9" i="10"/>
  <c r="AD7" i="10"/>
  <c r="AD4" i="10"/>
  <c r="AD8" i="10"/>
  <c r="AC19" i="10"/>
  <c r="AB47" i="10"/>
  <c r="EO24" i="10" l="1"/>
  <c r="EO23" i="10"/>
  <c r="EO25" i="10"/>
  <c r="EO33" i="10"/>
  <c r="EO35" i="10"/>
  <c r="EO34" i="10"/>
  <c r="EO27" i="10"/>
  <c r="EO30" i="10"/>
  <c r="EO26" i="10"/>
  <c r="EO31" i="10"/>
  <c r="EO29" i="10"/>
  <c r="EO28" i="10"/>
  <c r="EN36" i="10"/>
  <c r="EN38" i="10" s="1"/>
  <c r="EM39" i="10"/>
  <c r="EM40" i="10" s="1"/>
  <c r="EM49" i="10" s="1"/>
  <c r="AB31" i="10"/>
  <c r="AB28" i="10"/>
  <c r="AB35" i="10"/>
  <c r="AB32" i="10"/>
  <c r="AB30" i="10"/>
  <c r="AB29" i="10"/>
  <c r="AB33" i="10"/>
  <c r="AB34" i="10"/>
  <c r="AE15" i="10"/>
  <c r="AE18" i="10"/>
  <c r="AE17" i="10"/>
  <c r="AE16" i="10"/>
  <c r="AD46" i="10"/>
  <c r="AD43" i="10"/>
  <c r="AD45" i="10"/>
  <c r="AE20" i="10"/>
  <c r="AE45" i="10" s="1"/>
  <c r="AE11" i="10"/>
  <c r="AE13" i="10"/>
  <c r="AE12" i="10"/>
  <c r="AE14" i="10"/>
  <c r="B42" i="23"/>
  <c r="N45" i="23"/>
  <c r="AB24" i="10"/>
  <c r="AB25" i="10"/>
  <c r="AB27" i="10"/>
  <c r="AB23" i="10"/>
  <c r="AB26" i="10"/>
  <c r="Z39" i="10"/>
  <c r="Z40" i="10" s="1"/>
  <c r="Z49" i="10" s="1"/>
  <c r="AA36" i="10"/>
  <c r="AA38" i="10" s="1"/>
  <c r="AD19" i="10"/>
  <c r="AC47" i="10"/>
  <c r="AF5" i="10"/>
  <c r="AE7" i="10"/>
  <c r="AE6" i="10"/>
  <c r="AE10" i="10"/>
  <c r="AE9" i="10"/>
  <c r="AE4" i="10"/>
  <c r="AE8" i="10"/>
  <c r="EO36" i="10" l="1"/>
  <c r="EO38" i="10" s="1"/>
  <c r="EO39" i="10" s="1"/>
  <c r="EO40" i="10" s="1"/>
  <c r="EO49" i="10" s="1"/>
  <c r="EN39" i="10"/>
  <c r="EN40" i="10" s="1"/>
  <c r="EN49" i="10" s="1"/>
  <c r="AC28" i="10"/>
  <c r="AC35" i="10"/>
  <c r="AC30" i="10"/>
  <c r="AC34" i="10"/>
  <c r="AC33" i="10"/>
  <c r="AC31" i="10"/>
  <c r="AC29" i="10"/>
  <c r="AC32" i="10"/>
  <c r="AF15" i="10"/>
  <c r="AF18" i="10"/>
  <c r="AF16" i="10"/>
  <c r="AF17" i="10"/>
  <c r="AE46" i="10"/>
  <c r="AE43" i="10"/>
  <c r="AE44" i="10"/>
  <c r="AF20" i="10"/>
  <c r="AF44" i="10" s="1"/>
  <c r="AF12" i="10"/>
  <c r="AF11" i="10"/>
  <c r="AF14" i="10"/>
  <c r="AF13" i="10"/>
  <c r="B43" i="23"/>
  <c r="N46" i="23"/>
  <c r="AC24" i="10"/>
  <c r="AC27" i="10"/>
  <c r="AC25" i="10"/>
  <c r="AC23" i="10"/>
  <c r="AC26" i="10"/>
  <c r="AB36" i="10"/>
  <c r="AB38" i="10" s="1"/>
  <c r="AA39" i="10"/>
  <c r="AA40" i="10" s="1"/>
  <c r="AA49" i="10" s="1"/>
  <c r="AE19" i="10"/>
  <c r="AG5" i="10"/>
  <c r="AF8" i="10"/>
  <c r="AF7" i="10"/>
  <c r="AF6" i="10"/>
  <c r="AF10" i="10"/>
  <c r="AF4" i="10"/>
  <c r="AF9" i="10"/>
  <c r="AD47" i="10"/>
  <c r="AD28" i="10" l="1"/>
  <c r="AD32" i="10"/>
  <c r="AD30" i="10"/>
  <c r="AD35" i="10"/>
  <c r="AD34" i="10"/>
  <c r="AD33" i="10"/>
  <c r="AD31" i="10"/>
  <c r="AD29" i="10"/>
  <c r="AG16" i="10"/>
  <c r="AG15" i="10"/>
  <c r="AG18" i="10"/>
  <c r="AG17" i="10"/>
  <c r="AF45" i="10"/>
  <c r="AF43" i="10"/>
  <c r="AF46" i="10"/>
  <c r="AG20" i="10"/>
  <c r="AG44" i="10" s="1"/>
  <c r="AG13" i="10"/>
  <c r="AG12" i="10"/>
  <c r="AG11" i="10"/>
  <c r="AG14" i="10"/>
  <c r="B44" i="23"/>
  <c r="N47" i="23"/>
  <c r="AD25" i="10"/>
  <c r="AD26" i="10"/>
  <c r="AD24" i="10"/>
  <c r="AD27" i="10"/>
  <c r="AD23" i="10"/>
  <c r="AE47" i="10"/>
  <c r="AC36" i="10"/>
  <c r="AC38" i="10" s="1"/>
  <c r="AB39" i="10"/>
  <c r="AB40" i="10" s="1"/>
  <c r="AB49" i="10" s="1"/>
  <c r="AF19" i="10"/>
  <c r="AH5" i="10"/>
  <c r="AG9" i="10"/>
  <c r="AG8" i="10"/>
  <c r="AG4" i="10"/>
  <c r="AG6" i="10"/>
  <c r="AG7" i="10"/>
  <c r="AG10" i="10"/>
  <c r="AE30" i="10" l="1"/>
  <c r="AE35" i="10"/>
  <c r="AE29" i="10"/>
  <c r="AE33" i="10"/>
  <c r="AE31" i="10"/>
  <c r="AE28" i="10"/>
  <c r="AE34" i="10"/>
  <c r="AE32" i="10"/>
  <c r="AH17" i="10"/>
  <c r="AH16" i="10"/>
  <c r="AH15" i="10"/>
  <c r="AH18" i="10"/>
  <c r="AG43" i="10"/>
  <c r="AG45" i="10"/>
  <c r="AG46" i="10"/>
  <c r="AH20" i="10"/>
  <c r="AH46" i="10" s="1"/>
  <c r="AH14" i="10"/>
  <c r="AH13" i="10"/>
  <c r="AH12" i="10"/>
  <c r="AH11" i="10"/>
  <c r="B45" i="23"/>
  <c r="N48" i="23"/>
  <c r="AE27" i="10"/>
  <c r="AE25" i="10"/>
  <c r="AE24" i="10"/>
  <c r="AE26" i="10"/>
  <c r="AE23" i="10"/>
  <c r="AC39" i="10"/>
  <c r="AC40" i="10" s="1"/>
  <c r="AC49" i="10" s="1"/>
  <c r="AD36" i="10"/>
  <c r="AD38" i="10" s="1"/>
  <c r="AF47" i="10"/>
  <c r="AG19" i="10"/>
  <c r="AI5" i="10"/>
  <c r="AH6" i="10"/>
  <c r="AH10" i="10"/>
  <c r="AH9" i="10"/>
  <c r="AH8" i="10"/>
  <c r="AH7" i="10"/>
  <c r="AH4" i="10"/>
  <c r="AF28" i="10" l="1"/>
  <c r="AF29" i="10"/>
  <c r="AF33" i="10"/>
  <c r="AF32" i="10"/>
  <c r="AF35" i="10"/>
  <c r="AF34" i="10"/>
  <c r="AF30" i="10"/>
  <c r="AF31" i="10"/>
  <c r="AI15" i="10"/>
  <c r="AI18" i="10"/>
  <c r="AI17" i="10"/>
  <c r="AI16" i="10"/>
  <c r="AH44" i="10"/>
  <c r="AH45" i="10"/>
  <c r="AH43" i="10"/>
  <c r="AI20" i="10"/>
  <c r="AI45" i="10" s="1"/>
  <c r="AI11" i="10"/>
  <c r="AI13" i="10"/>
  <c r="AI14" i="10"/>
  <c r="AI12" i="10"/>
  <c r="B46" i="23"/>
  <c r="N49" i="23"/>
  <c r="AF24" i="10"/>
  <c r="AF23" i="10"/>
  <c r="AF27" i="10"/>
  <c r="AF26" i="10"/>
  <c r="AF25" i="10"/>
  <c r="AE36" i="10"/>
  <c r="AE38" i="10" s="1"/>
  <c r="AE39" i="10" s="1"/>
  <c r="AE40" i="10" s="1"/>
  <c r="AE49" i="10" s="1"/>
  <c r="AD39" i="10"/>
  <c r="AD40" i="10" s="1"/>
  <c r="AD49" i="10" s="1"/>
  <c r="AH19" i="10"/>
  <c r="AJ5" i="10"/>
  <c r="AI7" i="10"/>
  <c r="AI6" i="10"/>
  <c r="AI10" i="10"/>
  <c r="AI9" i="10"/>
  <c r="AI4" i="10"/>
  <c r="AI8" i="10"/>
  <c r="AG47" i="10"/>
  <c r="AG29" i="10" l="1"/>
  <c r="AG34" i="10"/>
  <c r="AG30" i="10"/>
  <c r="AG35" i="10"/>
  <c r="AG31" i="10"/>
  <c r="AG32" i="10"/>
  <c r="AG33" i="10"/>
  <c r="AG28" i="10"/>
  <c r="AJ15" i="10"/>
  <c r="AJ18" i="10"/>
  <c r="AJ17" i="10"/>
  <c r="AJ16" i="10"/>
  <c r="AI46" i="10"/>
  <c r="AI43" i="10"/>
  <c r="AI44" i="10"/>
  <c r="AJ20" i="10"/>
  <c r="AJ45" i="10" s="1"/>
  <c r="AJ12" i="10"/>
  <c r="AJ11" i="10"/>
  <c r="AJ13" i="10"/>
  <c r="AJ14" i="10"/>
  <c r="B47" i="23"/>
  <c r="N50" i="23"/>
  <c r="AG26" i="10"/>
  <c r="AG24" i="10"/>
  <c r="AG27" i="10"/>
  <c r="AG25" i="10"/>
  <c r="AG23" i="10"/>
  <c r="AF36" i="10"/>
  <c r="AF38" i="10" s="1"/>
  <c r="AH47" i="10"/>
  <c r="AI19" i="10"/>
  <c r="AK5" i="10"/>
  <c r="AJ8" i="10"/>
  <c r="AJ7" i="10"/>
  <c r="AJ10" i="10"/>
  <c r="AJ6" i="10"/>
  <c r="AJ4" i="10"/>
  <c r="AJ9" i="10"/>
  <c r="AH33" i="10" l="1"/>
  <c r="AH35" i="10"/>
  <c r="AH29" i="10"/>
  <c r="AH31" i="10"/>
  <c r="AH30" i="10"/>
  <c r="AH34" i="10"/>
  <c r="AH28" i="10"/>
  <c r="AH32" i="10"/>
  <c r="AK16" i="10"/>
  <c r="AK15" i="10"/>
  <c r="AK17" i="10"/>
  <c r="AK18" i="10"/>
  <c r="AJ46" i="10"/>
  <c r="AJ44" i="10"/>
  <c r="AJ43" i="10"/>
  <c r="AK20" i="10"/>
  <c r="AK44" i="10" s="1"/>
  <c r="AK13" i="10"/>
  <c r="AK12" i="10"/>
  <c r="AK11" i="10"/>
  <c r="AK14" i="10"/>
  <c r="B48" i="23"/>
  <c r="N51" i="23"/>
  <c r="AH23" i="10"/>
  <c r="AH26" i="10"/>
  <c r="AH27" i="10"/>
  <c r="AH24" i="10"/>
  <c r="AH25" i="10"/>
  <c r="AI47" i="10"/>
  <c r="AF39" i="10"/>
  <c r="AF40" i="10" s="1"/>
  <c r="AF49" i="10" s="1"/>
  <c r="AG36" i="10"/>
  <c r="AG38" i="10" s="1"/>
  <c r="AL5" i="10"/>
  <c r="AK9" i="10"/>
  <c r="AK8" i="10"/>
  <c r="AK7" i="10"/>
  <c r="AK4" i="10"/>
  <c r="AK6" i="10"/>
  <c r="AK10" i="10"/>
  <c r="AJ19" i="10"/>
  <c r="AI29" i="10" l="1"/>
  <c r="AI28" i="10"/>
  <c r="AI30" i="10"/>
  <c r="AI32" i="10"/>
  <c r="AI34" i="10"/>
  <c r="AI31" i="10"/>
  <c r="AI35" i="10"/>
  <c r="AI33" i="10"/>
  <c r="AL17" i="10"/>
  <c r="AL16" i="10"/>
  <c r="AL18" i="10"/>
  <c r="AL15" i="10"/>
  <c r="AK45" i="10"/>
  <c r="AK46" i="10"/>
  <c r="AK43" i="10"/>
  <c r="AL20" i="10"/>
  <c r="AL44" i="10" s="1"/>
  <c r="AL14" i="10"/>
  <c r="AL13" i="10"/>
  <c r="AL12" i="10"/>
  <c r="AL11" i="10"/>
  <c r="B49" i="23"/>
  <c r="N52" i="23"/>
  <c r="AI24" i="10"/>
  <c r="AI27" i="10"/>
  <c r="AI25" i="10"/>
  <c r="AI26" i="10"/>
  <c r="AI23" i="10"/>
  <c r="AK19" i="10"/>
  <c r="AG39" i="10"/>
  <c r="AG40" i="10" s="1"/>
  <c r="AG49" i="10" s="1"/>
  <c r="AH36" i="10"/>
  <c r="AH38" i="10" s="1"/>
  <c r="AJ47" i="10"/>
  <c r="AM5" i="10"/>
  <c r="AL6" i="10"/>
  <c r="AL10" i="10"/>
  <c r="AL9" i="10"/>
  <c r="AL8" i="10"/>
  <c r="AL4" i="10"/>
  <c r="AL7" i="10"/>
  <c r="AJ28" i="10" l="1"/>
  <c r="AJ30" i="10"/>
  <c r="AJ31" i="10"/>
  <c r="AJ32" i="10"/>
  <c r="AJ35" i="10"/>
  <c r="AJ29" i="10"/>
  <c r="AJ33" i="10"/>
  <c r="AJ34" i="10"/>
  <c r="AM15" i="10"/>
  <c r="AM18" i="10"/>
  <c r="AM17" i="10"/>
  <c r="AM16" i="10"/>
  <c r="AL43" i="10"/>
  <c r="AL46" i="10"/>
  <c r="AL45" i="10"/>
  <c r="AM20" i="10"/>
  <c r="AM44" i="10" s="1"/>
  <c r="AM11" i="10"/>
  <c r="AM13" i="10"/>
  <c r="AM12" i="10"/>
  <c r="AM14" i="10"/>
  <c r="B50" i="23"/>
  <c r="N53" i="23"/>
  <c r="AJ26" i="10"/>
  <c r="AJ24" i="10"/>
  <c r="AJ27" i="10"/>
  <c r="AJ25" i="10"/>
  <c r="AJ23" i="10"/>
  <c r="AI36" i="10"/>
  <c r="AI38" i="10" s="1"/>
  <c r="AI39" i="10" s="1"/>
  <c r="AI40" i="10" s="1"/>
  <c r="AI49" i="10" s="1"/>
  <c r="AH39" i="10"/>
  <c r="AH40" i="10" s="1"/>
  <c r="AH49" i="10" s="1"/>
  <c r="AL19" i="10"/>
  <c r="AK47" i="10"/>
  <c r="AN5" i="10"/>
  <c r="AM7" i="10"/>
  <c r="AM6" i="10"/>
  <c r="AM10" i="10"/>
  <c r="AM9" i="10"/>
  <c r="AM8" i="10"/>
  <c r="AM4" i="10"/>
  <c r="AK30" i="10" l="1"/>
  <c r="AK29" i="10"/>
  <c r="AK28" i="10"/>
  <c r="AK34" i="10"/>
  <c r="AK33" i="10"/>
  <c r="AK32" i="10"/>
  <c r="AK35" i="10"/>
  <c r="AK31" i="10"/>
  <c r="AN15" i="10"/>
  <c r="AN18" i="10"/>
  <c r="AN16" i="10"/>
  <c r="AN17" i="10"/>
  <c r="AM43" i="10"/>
  <c r="AM46" i="10"/>
  <c r="AM45" i="10"/>
  <c r="AN20" i="10"/>
  <c r="AN45" i="10" s="1"/>
  <c r="AN12" i="10"/>
  <c r="AN11" i="10"/>
  <c r="AN14" i="10"/>
  <c r="AN13" i="10"/>
  <c r="B51" i="23"/>
  <c r="N54" i="23"/>
  <c r="AK23" i="10"/>
  <c r="AK26" i="10"/>
  <c r="AK24" i="10"/>
  <c r="AK27" i="10"/>
  <c r="AK25" i="10"/>
  <c r="AJ36" i="10"/>
  <c r="AJ38" i="10" s="1"/>
  <c r="AM19" i="10"/>
  <c r="AO5" i="10"/>
  <c r="AN8" i="10"/>
  <c r="AN7" i="10"/>
  <c r="AN6" i="10"/>
  <c r="AN4" i="10"/>
  <c r="AN10" i="10"/>
  <c r="AN9" i="10"/>
  <c r="AL47" i="10"/>
  <c r="AL29" i="10" l="1"/>
  <c r="AL34" i="10"/>
  <c r="AL30" i="10"/>
  <c r="AL28" i="10"/>
  <c r="AL33" i="10"/>
  <c r="AL32" i="10"/>
  <c r="AL35" i="10"/>
  <c r="AL31" i="10"/>
  <c r="AO16" i="10"/>
  <c r="AO15" i="10"/>
  <c r="AO18" i="10"/>
  <c r="AO17" i="10"/>
  <c r="AN43" i="10"/>
  <c r="AN46" i="10"/>
  <c r="AN44" i="10"/>
  <c r="AO20" i="10"/>
  <c r="AO43" i="10" s="1"/>
  <c r="AO13" i="10"/>
  <c r="AO12" i="10"/>
  <c r="AO11" i="10"/>
  <c r="AO14" i="10"/>
  <c r="B52" i="23"/>
  <c r="N55" i="23"/>
  <c r="AL23" i="10"/>
  <c r="AL26" i="10"/>
  <c r="AL27" i="10"/>
  <c r="AL24" i="10"/>
  <c r="AL25" i="10"/>
  <c r="AJ39" i="10"/>
  <c r="AJ40" i="10" s="1"/>
  <c r="AJ49" i="10" s="1"/>
  <c r="AK36" i="10"/>
  <c r="AK38" i="10" s="1"/>
  <c r="AM47" i="10"/>
  <c r="AN19" i="10"/>
  <c r="AP5" i="10"/>
  <c r="AO9" i="10"/>
  <c r="AO8" i="10"/>
  <c r="AO4" i="10"/>
  <c r="AO6" i="10"/>
  <c r="AO7" i="10"/>
  <c r="AO10" i="10"/>
  <c r="AM29" i="10" l="1"/>
  <c r="AM34" i="10"/>
  <c r="AM30" i="10"/>
  <c r="AM32" i="10"/>
  <c r="AM31" i="10"/>
  <c r="AM33" i="10"/>
  <c r="AM35" i="10"/>
  <c r="AM28" i="10"/>
  <c r="AP17" i="10"/>
  <c r="AP16" i="10"/>
  <c r="AP15" i="10"/>
  <c r="AP18" i="10"/>
  <c r="AO45" i="10"/>
  <c r="AO44" i="10"/>
  <c r="AO46" i="10"/>
  <c r="AP20" i="10"/>
  <c r="AP44" i="10" s="1"/>
  <c r="AP14" i="10"/>
  <c r="AP13" i="10"/>
  <c r="AP12" i="10"/>
  <c r="AP11" i="10"/>
  <c r="B53" i="23"/>
  <c r="N56" i="23"/>
  <c r="AM24" i="10"/>
  <c r="AM27" i="10"/>
  <c r="AM25" i="10"/>
  <c r="AM23" i="10"/>
  <c r="AM26" i="10"/>
  <c r="AO19" i="10"/>
  <c r="AL36" i="10"/>
  <c r="AL38" i="10" s="1"/>
  <c r="AK39" i="10"/>
  <c r="AK40" i="10" s="1"/>
  <c r="AK49" i="10" s="1"/>
  <c r="AQ5" i="10"/>
  <c r="AP6" i="10"/>
  <c r="AP10" i="10"/>
  <c r="AP9" i="10"/>
  <c r="AP8" i="10"/>
  <c r="AP4" i="10"/>
  <c r="AP7" i="10"/>
  <c r="AN47" i="10"/>
  <c r="AN33" i="10" l="1"/>
  <c r="AN32" i="10"/>
  <c r="AN29" i="10"/>
  <c r="AN28" i="10"/>
  <c r="AN34" i="10"/>
  <c r="AN30" i="10"/>
  <c r="AN31" i="10"/>
  <c r="AN35" i="10"/>
  <c r="AQ15" i="10"/>
  <c r="AQ18" i="10"/>
  <c r="AQ17" i="10"/>
  <c r="AQ16" i="10"/>
  <c r="AP46" i="10"/>
  <c r="AP45" i="10"/>
  <c r="AP43" i="10"/>
  <c r="AQ20" i="10"/>
  <c r="AQ44" i="10" s="1"/>
  <c r="AQ11" i="10"/>
  <c r="AQ13" i="10"/>
  <c r="AQ12" i="10"/>
  <c r="AQ14" i="10"/>
  <c r="B54" i="23"/>
  <c r="N57" i="23"/>
  <c r="AN25" i="10"/>
  <c r="AN23" i="10"/>
  <c r="AN27" i="10"/>
  <c r="AN26" i="10"/>
  <c r="AN24" i="10"/>
  <c r="AL39" i="10"/>
  <c r="AL40" i="10" s="1"/>
  <c r="AL49" i="10" s="1"/>
  <c r="AO47" i="10"/>
  <c r="AM36" i="10"/>
  <c r="AM38" i="10" s="1"/>
  <c r="AP19" i="10"/>
  <c r="AR5" i="10"/>
  <c r="AQ7" i="10"/>
  <c r="AQ6" i="10"/>
  <c r="AQ10" i="10"/>
  <c r="AQ9" i="10"/>
  <c r="AQ8" i="10"/>
  <c r="AQ4" i="10"/>
  <c r="AO30" i="10" l="1"/>
  <c r="AO28" i="10"/>
  <c r="AO33" i="10"/>
  <c r="AO35" i="10"/>
  <c r="AO29" i="10"/>
  <c r="AO31" i="10"/>
  <c r="AO34" i="10"/>
  <c r="AO32" i="10"/>
  <c r="AR15" i="10"/>
  <c r="AR18" i="10"/>
  <c r="AR17" i="10"/>
  <c r="AR16" i="10"/>
  <c r="AQ45" i="10"/>
  <c r="AQ46" i="10"/>
  <c r="AQ43" i="10"/>
  <c r="AR20" i="10"/>
  <c r="AR44" i="10" s="1"/>
  <c r="AR12" i="10"/>
  <c r="AR11" i="10"/>
  <c r="AR13" i="10"/>
  <c r="AR14" i="10"/>
  <c r="B55" i="23"/>
  <c r="N58" i="23"/>
  <c r="AO24" i="10"/>
  <c r="AO25" i="10"/>
  <c r="AO26" i="10"/>
  <c r="AO23" i="10"/>
  <c r="AO27" i="10"/>
  <c r="AM39" i="10"/>
  <c r="AM40" i="10" s="1"/>
  <c r="AM49" i="10" s="1"/>
  <c r="AN36" i="10"/>
  <c r="AN38" i="10" s="1"/>
  <c r="AP47" i="10"/>
  <c r="AQ19" i="10"/>
  <c r="AS5" i="10"/>
  <c r="AR8" i="10"/>
  <c r="AR7" i="10"/>
  <c r="AR10" i="10"/>
  <c r="AR9" i="10"/>
  <c r="AR6" i="10"/>
  <c r="AR4" i="10"/>
  <c r="AP28" i="10" l="1"/>
  <c r="AP35" i="10"/>
  <c r="AP30" i="10"/>
  <c r="AP34" i="10"/>
  <c r="AP33" i="10"/>
  <c r="AP31" i="10"/>
  <c r="AP29" i="10"/>
  <c r="AP32" i="10"/>
  <c r="AS16" i="10"/>
  <c r="AS15" i="10"/>
  <c r="AS17" i="10"/>
  <c r="AS18" i="10"/>
  <c r="AR45" i="10"/>
  <c r="AR46" i="10"/>
  <c r="AR43" i="10"/>
  <c r="AS20" i="10"/>
  <c r="AS44" i="10" s="1"/>
  <c r="AS13" i="10"/>
  <c r="AS12" i="10"/>
  <c r="AS11" i="10"/>
  <c r="AS14" i="10"/>
  <c r="B56" i="23"/>
  <c r="N59" i="23"/>
  <c r="AP27" i="10"/>
  <c r="AP23" i="10"/>
  <c r="AP24" i="10"/>
  <c r="AP26" i="10"/>
  <c r="AP25" i="10"/>
  <c r="AN39" i="10"/>
  <c r="AN40" i="10" s="1"/>
  <c r="AN49" i="10" s="1"/>
  <c r="AO36" i="10"/>
  <c r="AO38" i="10" s="1"/>
  <c r="AT5" i="10"/>
  <c r="AS9" i="10"/>
  <c r="AS8" i="10"/>
  <c r="AS7" i="10"/>
  <c r="AS4" i="10"/>
  <c r="AS10" i="10"/>
  <c r="AS6" i="10"/>
  <c r="AR19" i="10"/>
  <c r="AQ47" i="10"/>
  <c r="AQ29" i="10" l="1"/>
  <c r="AQ32" i="10"/>
  <c r="AQ30" i="10"/>
  <c r="AQ33" i="10"/>
  <c r="AQ35" i="10"/>
  <c r="AQ31" i="10"/>
  <c r="AQ34" i="10"/>
  <c r="AQ28" i="10"/>
  <c r="AT17" i="10"/>
  <c r="AT16" i="10"/>
  <c r="AT18" i="10"/>
  <c r="AT15" i="10"/>
  <c r="AS43" i="10"/>
  <c r="AS45" i="10"/>
  <c r="AS46" i="10"/>
  <c r="AT20" i="10"/>
  <c r="AT45" i="10" s="1"/>
  <c r="AT14" i="10"/>
  <c r="AT13" i="10"/>
  <c r="AT12" i="10"/>
  <c r="AT11" i="10"/>
  <c r="B57" i="23"/>
  <c r="N60" i="23"/>
  <c r="AQ27" i="10"/>
  <c r="AQ24" i="10"/>
  <c r="AQ26" i="10"/>
  <c r="AQ25" i="10"/>
  <c r="AQ23" i="10"/>
  <c r="AP36" i="10"/>
  <c r="AP38" i="10" s="1"/>
  <c r="AO39" i="10"/>
  <c r="AO40" i="10" s="1"/>
  <c r="AO49" i="10" s="1"/>
  <c r="AR47" i="10"/>
  <c r="AS19" i="10"/>
  <c r="AU5" i="10"/>
  <c r="AT6" i="10"/>
  <c r="AT10" i="10"/>
  <c r="AT9" i="10"/>
  <c r="AT4" i="10"/>
  <c r="AT7" i="10"/>
  <c r="AT8" i="10"/>
  <c r="AR31" i="10" l="1"/>
  <c r="AR29" i="10"/>
  <c r="AR35" i="10"/>
  <c r="AR34" i="10"/>
  <c r="AR30" i="10"/>
  <c r="AR32" i="10"/>
  <c r="AR33" i="10"/>
  <c r="AR28" i="10"/>
  <c r="AU15" i="10"/>
  <c r="AU18" i="10"/>
  <c r="AU17" i="10"/>
  <c r="AU16" i="10"/>
  <c r="AT44" i="10"/>
  <c r="AT43" i="10"/>
  <c r="AT46" i="10"/>
  <c r="AU20" i="10"/>
  <c r="AU43" i="10" s="1"/>
  <c r="AU11" i="10"/>
  <c r="AU13" i="10"/>
  <c r="AU14" i="10"/>
  <c r="AU12" i="10"/>
  <c r="B58" i="23"/>
  <c r="N61" i="23"/>
  <c r="AR24" i="10"/>
  <c r="AR27" i="10"/>
  <c r="AR25" i="10"/>
  <c r="AR26" i="10"/>
  <c r="AR23" i="10"/>
  <c r="AS47" i="10"/>
  <c r="AP39" i="10"/>
  <c r="AP40" i="10" s="1"/>
  <c r="AP49" i="10" s="1"/>
  <c r="AQ36" i="10"/>
  <c r="AQ38" i="10" s="1"/>
  <c r="AT19" i="10"/>
  <c r="AV5" i="10"/>
  <c r="AU7" i="10"/>
  <c r="AU6" i="10"/>
  <c r="AU10" i="10"/>
  <c r="AU9" i="10"/>
  <c r="AU8" i="10"/>
  <c r="AU4" i="10"/>
  <c r="AS30" i="10" l="1"/>
  <c r="AS35" i="10"/>
  <c r="AS33" i="10"/>
  <c r="AS34" i="10"/>
  <c r="AS28" i="10"/>
  <c r="AS31" i="10"/>
  <c r="AS29" i="10"/>
  <c r="AS32" i="10"/>
  <c r="AV15" i="10"/>
  <c r="AV16" i="10"/>
  <c r="AV18" i="10"/>
  <c r="AV17" i="10"/>
  <c r="AU45" i="10"/>
  <c r="AU46" i="10"/>
  <c r="AU44" i="10"/>
  <c r="AV20" i="10"/>
  <c r="AV45" i="10" s="1"/>
  <c r="AV12" i="10"/>
  <c r="AV11" i="10"/>
  <c r="AV13" i="10"/>
  <c r="AV14" i="10"/>
  <c r="B59" i="23"/>
  <c r="N62" i="23"/>
  <c r="AS25" i="10"/>
  <c r="AS24" i="10"/>
  <c r="AS27" i="10"/>
  <c r="AS23" i="10"/>
  <c r="AS26" i="10"/>
  <c r="AR36" i="10"/>
  <c r="AR38" i="10" s="1"/>
  <c r="AQ39" i="10"/>
  <c r="AQ40" i="10" s="1"/>
  <c r="AQ49" i="10" s="1"/>
  <c r="AU19" i="10"/>
  <c r="AW5" i="10"/>
  <c r="AV8" i="10"/>
  <c r="AV7" i="10"/>
  <c r="AV6" i="10"/>
  <c r="AV10" i="10"/>
  <c r="AV9" i="10"/>
  <c r="AV4" i="10"/>
  <c r="AT47" i="10"/>
  <c r="AT32" i="10" l="1"/>
  <c r="AT29" i="10"/>
  <c r="AT28" i="10"/>
  <c r="AT30" i="10"/>
  <c r="AT35" i="10"/>
  <c r="AT33" i="10"/>
  <c r="AT31" i="10"/>
  <c r="AT34" i="10"/>
  <c r="AW16" i="10"/>
  <c r="AW15" i="10"/>
  <c r="AW18" i="10"/>
  <c r="AW17" i="10"/>
  <c r="AV44" i="10"/>
  <c r="AV43" i="10"/>
  <c r="AV46" i="10"/>
  <c r="AW20" i="10"/>
  <c r="AW46" i="10" s="1"/>
  <c r="AW13" i="10"/>
  <c r="AW12" i="10"/>
  <c r="AW11" i="10"/>
  <c r="AW14" i="10"/>
  <c r="B60" i="23"/>
  <c r="N63" i="23"/>
  <c r="AT27" i="10"/>
  <c r="AT25" i="10"/>
  <c r="AT23" i="10"/>
  <c r="AT24" i="10"/>
  <c r="AT26" i="10"/>
  <c r="AS36" i="10"/>
  <c r="AS38" i="10" s="1"/>
  <c r="AS39" i="10" s="1"/>
  <c r="AS40" i="10" s="1"/>
  <c r="AS49" i="10" s="1"/>
  <c r="AU47" i="10"/>
  <c r="AR39" i="10"/>
  <c r="AR40" i="10" s="1"/>
  <c r="AR49" i="10" s="1"/>
  <c r="AV19" i="10"/>
  <c r="AX5" i="10"/>
  <c r="AW9" i="10"/>
  <c r="AW8" i="10"/>
  <c r="AW4" i="10"/>
  <c r="AW6" i="10"/>
  <c r="AW10" i="10"/>
  <c r="AW7" i="10"/>
  <c r="AU31" i="10" l="1"/>
  <c r="AU35" i="10"/>
  <c r="AU30" i="10"/>
  <c r="AU33" i="10"/>
  <c r="AU29" i="10"/>
  <c r="AU28" i="10"/>
  <c r="AU34" i="10"/>
  <c r="AU32" i="10"/>
  <c r="AX17" i="10"/>
  <c r="AX16" i="10"/>
  <c r="AX15" i="10"/>
  <c r="AX18" i="10"/>
  <c r="AW45" i="10"/>
  <c r="AW43" i="10"/>
  <c r="AW44" i="10"/>
  <c r="AX20" i="10"/>
  <c r="AX45" i="10" s="1"/>
  <c r="AX14" i="10"/>
  <c r="AX13" i="10"/>
  <c r="AX12" i="10"/>
  <c r="AX11" i="10"/>
  <c r="B61" i="23"/>
  <c r="N64" i="23"/>
  <c r="AU27" i="10"/>
  <c r="AU25" i="10"/>
  <c r="AU24" i="10"/>
  <c r="AU23" i="10"/>
  <c r="AU26" i="10"/>
  <c r="AT36" i="10"/>
  <c r="AT38" i="10" s="1"/>
  <c r="AW19" i="10"/>
  <c r="AY5" i="10"/>
  <c r="AX6" i="10"/>
  <c r="AX10" i="10"/>
  <c r="AX9" i="10"/>
  <c r="AX8" i="10"/>
  <c r="AX7" i="10"/>
  <c r="AX4" i="10"/>
  <c r="AV47" i="10"/>
  <c r="AV33" i="10" l="1"/>
  <c r="AV32" i="10"/>
  <c r="AV35" i="10"/>
  <c r="AV31" i="10"/>
  <c r="AV28" i="10"/>
  <c r="AV29" i="10"/>
  <c r="AV30" i="10"/>
  <c r="AV34" i="10"/>
  <c r="AY15" i="10"/>
  <c r="AY18" i="10"/>
  <c r="AY17" i="10"/>
  <c r="AY16" i="10"/>
  <c r="AX44" i="10"/>
  <c r="AX46" i="10"/>
  <c r="AX43" i="10"/>
  <c r="AY20" i="10"/>
  <c r="AY45" i="10" s="1"/>
  <c r="AY11" i="10"/>
  <c r="AY13" i="10"/>
  <c r="AY14" i="10"/>
  <c r="AY12" i="10"/>
  <c r="B62" i="23"/>
  <c r="N65" i="23"/>
  <c r="AV24" i="10"/>
  <c r="AV27" i="10"/>
  <c r="AV25" i="10"/>
  <c r="AV23" i="10"/>
  <c r="AV26" i="10"/>
  <c r="AU36" i="10"/>
  <c r="AU38" i="10" s="1"/>
  <c r="AU39" i="10" s="1"/>
  <c r="AU40" i="10" s="1"/>
  <c r="AU49" i="10" s="1"/>
  <c r="AT39" i="10"/>
  <c r="AT40" i="10" s="1"/>
  <c r="AT49" i="10" s="1"/>
  <c r="AX19" i="10"/>
  <c r="AW47" i="10"/>
  <c r="AZ5" i="10"/>
  <c r="AY7" i="10"/>
  <c r="AY6" i="10"/>
  <c r="AY10" i="10"/>
  <c r="AY4" i="10"/>
  <c r="AY9" i="10"/>
  <c r="AY8" i="10"/>
  <c r="AW29" i="10" l="1"/>
  <c r="AW33" i="10"/>
  <c r="AW30" i="10"/>
  <c r="AW35" i="10"/>
  <c r="AW31" i="10"/>
  <c r="AW28" i="10"/>
  <c r="AW34" i="10"/>
  <c r="AW32" i="10"/>
  <c r="AZ15" i="10"/>
  <c r="AZ17" i="10"/>
  <c r="AZ18" i="10"/>
  <c r="AZ16" i="10"/>
  <c r="AY46" i="10"/>
  <c r="AY44" i="10"/>
  <c r="AY43" i="10"/>
  <c r="AZ20" i="10"/>
  <c r="AZ45" i="10" s="1"/>
  <c r="AZ12" i="10"/>
  <c r="AZ11" i="10"/>
  <c r="AZ13" i="10"/>
  <c r="AZ14" i="10"/>
  <c r="B63" i="23"/>
  <c r="N66" i="23"/>
  <c r="AW26" i="10"/>
  <c r="AW25" i="10"/>
  <c r="AW24" i="10"/>
  <c r="AW27" i="10"/>
  <c r="AW23" i="10"/>
  <c r="AX47" i="10"/>
  <c r="AV36" i="10"/>
  <c r="AV38" i="10" s="1"/>
  <c r="AY19" i="10"/>
  <c r="BA5" i="10"/>
  <c r="AZ8" i="10"/>
  <c r="AZ7" i="10"/>
  <c r="AZ10" i="10"/>
  <c r="AZ6" i="10"/>
  <c r="AZ4" i="10"/>
  <c r="AZ9" i="10"/>
  <c r="AX28" i="10" l="1"/>
  <c r="AX35" i="10"/>
  <c r="AX30" i="10"/>
  <c r="AX32" i="10"/>
  <c r="AX33" i="10"/>
  <c r="AX34" i="10"/>
  <c r="AX29" i="10"/>
  <c r="AX31" i="10"/>
  <c r="BA16" i="10"/>
  <c r="BA15" i="10"/>
  <c r="BA17" i="10"/>
  <c r="BA18" i="10"/>
  <c r="AZ43" i="10"/>
  <c r="AZ46" i="10"/>
  <c r="AZ44" i="10"/>
  <c r="BA20" i="10"/>
  <c r="BA45" i="10" s="1"/>
  <c r="BA13" i="10"/>
  <c r="BA12" i="10"/>
  <c r="BA11" i="10"/>
  <c r="BA14" i="10"/>
  <c r="B64" i="23"/>
  <c r="N67" i="23"/>
  <c r="AX23" i="10"/>
  <c r="AX26" i="10"/>
  <c r="AX25" i="10"/>
  <c r="AX27" i="10"/>
  <c r="AX24" i="10"/>
  <c r="AZ19" i="10"/>
  <c r="AV39" i="10"/>
  <c r="AV40" i="10" s="1"/>
  <c r="AV49" i="10" s="1"/>
  <c r="AW36" i="10"/>
  <c r="AW38" i="10" s="1"/>
  <c r="BB5" i="10"/>
  <c r="BA9" i="10"/>
  <c r="BA8" i="10"/>
  <c r="BA7" i="10"/>
  <c r="BA4" i="10"/>
  <c r="BA10" i="10"/>
  <c r="BA6" i="10"/>
  <c r="AY47" i="10"/>
  <c r="AY32" i="10" l="1"/>
  <c r="AY35" i="10"/>
  <c r="AY29" i="10"/>
  <c r="AY31" i="10"/>
  <c r="AY30" i="10"/>
  <c r="AY28" i="10"/>
  <c r="AY34" i="10"/>
  <c r="AY33" i="10"/>
  <c r="BB17" i="10"/>
  <c r="BB16" i="10"/>
  <c r="BB15" i="10"/>
  <c r="BB18" i="10"/>
  <c r="BA46" i="10"/>
  <c r="BA44" i="10"/>
  <c r="BA43" i="10"/>
  <c r="BB20" i="10"/>
  <c r="BB44" i="10" s="1"/>
  <c r="BB14" i="10"/>
  <c r="BB13" i="10"/>
  <c r="BB12" i="10"/>
  <c r="BB11" i="10"/>
  <c r="B65" i="23"/>
  <c r="N68" i="23"/>
  <c r="AY26" i="10"/>
  <c r="AY24" i="10"/>
  <c r="AY27" i="10"/>
  <c r="AY25" i="10"/>
  <c r="AY23" i="10"/>
  <c r="BA19" i="10"/>
  <c r="AX36" i="10"/>
  <c r="AX38" i="10" s="1"/>
  <c r="AW39" i="10"/>
  <c r="AW40" i="10" s="1"/>
  <c r="AW49" i="10" s="1"/>
  <c r="BC5" i="10"/>
  <c r="BB6" i="10"/>
  <c r="BB10" i="10"/>
  <c r="BB9" i="10"/>
  <c r="BB8" i="10"/>
  <c r="BB7" i="10"/>
  <c r="BB4" i="10"/>
  <c r="AZ47" i="10"/>
  <c r="AZ28" i="10" l="1"/>
  <c r="AZ31" i="10"/>
  <c r="AZ30" i="10"/>
  <c r="AZ33" i="10"/>
  <c r="AZ34" i="10"/>
  <c r="AZ35" i="10"/>
  <c r="AZ32" i="10"/>
  <c r="AZ29" i="10"/>
  <c r="BC15" i="10"/>
  <c r="BC18" i="10"/>
  <c r="BC17" i="10"/>
  <c r="BC16" i="10"/>
  <c r="BB43" i="10"/>
  <c r="BB46" i="10"/>
  <c r="BB45" i="10"/>
  <c r="BC20" i="10"/>
  <c r="BC46" i="10" s="1"/>
  <c r="BC11" i="10"/>
  <c r="BC13" i="10"/>
  <c r="BC12" i="10"/>
  <c r="BC14" i="10"/>
  <c r="B66" i="23"/>
  <c r="N69" i="23"/>
  <c r="AZ26" i="10"/>
  <c r="AZ27" i="10"/>
  <c r="AZ24" i="10"/>
  <c r="AZ25" i="10"/>
  <c r="AZ23" i="10"/>
  <c r="AX39" i="10"/>
  <c r="AX40" i="10" s="1"/>
  <c r="AX49" i="10" s="1"/>
  <c r="AY36" i="10"/>
  <c r="AY38" i="10" s="1"/>
  <c r="BB19" i="10"/>
  <c r="BA47" i="10"/>
  <c r="BD5" i="10"/>
  <c r="BC7" i="10"/>
  <c r="BC6" i="10"/>
  <c r="BC10" i="10"/>
  <c r="BC9" i="10"/>
  <c r="BC8" i="10"/>
  <c r="BC4" i="10"/>
  <c r="BA30" i="10" l="1"/>
  <c r="BA35" i="10"/>
  <c r="BA28" i="10"/>
  <c r="BA34" i="10"/>
  <c r="BA31" i="10"/>
  <c r="BA33" i="10"/>
  <c r="BA32" i="10"/>
  <c r="BA29" i="10"/>
  <c r="BD15" i="10"/>
  <c r="BD16" i="10"/>
  <c r="BD18" i="10"/>
  <c r="BD17" i="10"/>
  <c r="BC44" i="10"/>
  <c r="BC43" i="10"/>
  <c r="BC45" i="10"/>
  <c r="BD20" i="10"/>
  <c r="BD44" i="10" s="1"/>
  <c r="BD12" i="10"/>
  <c r="BD11" i="10"/>
  <c r="BD14" i="10"/>
  <c r="BD13" i="10"/>
  <c r="B67" i="23"/>
  <c r="N70" i="23"/>
  <c r="BA23" i="10"/>
  <c r="BA24" i="10"/>
  <c r="BA25" i="10"/>
  <c r="BA26" i="10"/>
  <c r="BA27" i="10"/>
  <c r="AY39" i="10"/>
  <c r="AY40" i="10" s="1"/>
  <c r="AY49" i="10" s="1"/>
  <c r="AZ36" i="10"/>
  <c r="AZ38" i="10" s="1"/>
  <c r="BC19" i="10"/>
  <c r="BE5" i="10"/>
  <c r="BD8" i="10"/>
  <c r="BD7" i="10"/>
  <c r="BD6" i="10"/>
  <c r="BD9" i="10"/>
  <c r="BD4" i="10"/>
  <c r="BD10" i="10"/>
  <c r="BB47" i="10"/>
  <c r="BB29" i="10" l="1"/>
  <c r="BB34" i="10"/>
  <c r="BB30" i="10"/>
  <c r="BB28" i="10"/>
  <c r="BB33" i="10"/>
  <c r="BB32" i="10"/>
  <c r="BB35" i="10"/>
  <c r="BB31" i="10"/>
  <c r="BE16" i="10"/>
  <c r="BE15" i="10"/>
  <c r="BE18" i="10"/>
  <c r="BE17" i="10"/>
  <c r="BD45" i="10"/>
  <c r="BD46" i="10"/>
  <c r="BD43" i="10"/>
  <c r="BE20" i="10"/>
  <c r="BE43" i="10" s="1"/>
  <c r="BE13" i="10"/>
  <c r="BE12" i="10"/>
  <c r="BE11" i="10"/>
  <c r="BE14" i="10"/>
  <c r="B68" i="23"/>
  <c r="N71" i="23"/>
  <c r="BB24" i="10"/>
  <c r="BB23" i="10"/>
  <c r="BB26" i="10"/>
  <c r="BB27" i="10"/>
  <c r="BB25" i="10"/>
  <c r="BC47" i="10"/>
  <c r="AZ39" i="10"/>
  <c r="AZ40" i="10" s="1"/>
  <c r="AZ49" i="10" s="1"/>
  <c r="BA36" i="10"/>
  <c r="BA38" i="10" s="1"/>
  <c r="BD19" i="10"/>
  <c r="BF5" i="10"/>
  <c r="BE9" i="10"/>
  <c r="BE8" i="10"/>
  <c r="BE4" i="10"/>
  <c r="BE6" i="10"/>
  <c r="BE7" i="10"/>
  <c r="BE10" i="10"/>
  <c r="BC31" i="10" l="1"/>
  <c r="BC35" i="10"/>
  <c r="BC29" i="10"/>
  <c r="BC34" i="10"/>
  <c r="BC32" i="10"/>
  <c r="BC28" i="10"/>
  <c r="BC30" i="10"/>
  <c r="BC33" i="10"/>
  <c r="BF17" i="10"/>
  <c r="BF16" i="10"/>
  <c r="BF15" i="10"/>
  <c r="BF18" i="10"/>
  <c r="BE44" i="10"/>
  <c r="BE45" i="10"/>
  <c r="BE46" i="10"/>
  <c r="BF20" i="10"/>
  <c r="BF44" i="10" s="1"/>
  <c r="BF13" i="10"/>
  <c r="BF12" i="10"/>
  <c r="BF11" i="10"/>
  <c r="BF14" i="10"/>
  <c r="B69" i="23"/>
  <c r="N72" i="23"/>
  <c r="BC24" i="10"/>
  <c r="BC26" i="10"/>
  <c r="BC27" i="10"/>
  <c r="BC25" i="10"/>
  <c r="BC23" i="10"/>
  <c r="BA39" i="10"/>
  <c r="BA40" i="10" s="1"/>
  <c r="BA49" i="10" s="1"/>
  <c r="BB36" i="10"/>
  <c r="BB38" i="10" s="1"/>
  <c r="BE19" i="10"/>
  <c r="BD47" i="10"/>
  <c r="BG5" i="10"/>
  <c r="BF6" i="10"/>
  <c r="BF10" i="10"/>
  <c r="BF9" i="10"/>
  <c r="BF8" i="10"/>
  <c r="BF7" i="10"/>
  <c r="BF4" i="10"/>
  <c r="BD33" i="10" l="1"/>
  <c r="BD34" i="10"/>
  <c r="BD30" i="10"/>
  <c r="BD32" i="10"/>
  <c r="BD35" i="10"/>
  <c r="BD31" i="10"/>
  <c r="BD28" i="10"/>
  <c r="BD29" i="10"/>
  <c r="BG15" i="10"/>
  <c r="BG17" i="10"/>
  <c r="BG16" i="10"/>
  <c r="BG18" i="10"/>
  <c r="BF45" i="10"/>
  <c r="BF46" i="10"/>
  <c r="BF43" i="10"/>
  <c r="BG20" i="10"/>
  <c r="BG45" i="10" s="1"/>
  <c r="BG11" i="10"/>
  <c r="BG13" i="10"/>
  <c r="BG12" i="10"/>
  <c r="BG14" i="10"/>
  <c r="B70" i="23"/>
  <c r="N73" i="23"/>
  <c r="BD26" i="10"/>
  <c r="BD25" i="10"/>
  <c r="BD24" i="10"/>
  <c r="BD27" i="10"/>
  <c r="BD23" i="10"/>
  <c r="BC36" i="10"/>
  <c r="BC38" i="10" s="1"/>
  <c r="BC39" i="10" s="1"/>
  <c r="BC40" i="10" s="1"/>
  <c r="BC49" i="10" s="1"/>
  <c r="BB39" i="10"/>
  <c r="BB40" i="10" s="1"/>
  <c r="BB49" i="10" s="1"/>
  <c r="BH5" i="10"/>
  <c r="BG7" i="10"/>
  <c r="BG6" i="10"/>
  <c r="BG10" i="10"/>
  <c r="BG8" i="10"/>
  <c r="BG9" i="10"/>
  <c r="BG4" i="10"/>
  <c r="BE47" i="10"/>
  <c r="BF19" i="10"/>
  <c r="BE28" i="10" l="1"/>
  <c r="BE29" i="10"/>
  <c r="BE30" i="10"/>
  <c r="BE34" i="10"/>
  <c r="BE31" i="10"/>
  <c r="BE35" i="10"/>
  <c r="BE33" i="10"/>
  <c r="BE32" i="10"/>
  <c r="BH15" i="10"/>
  <c r="BH17" i="10"/>
  <c r="BH16" i="10"/>
  <c r="BH18" i="10"/>
  <c r="BG43" i="10"/>
  <c r="BG46" i="10"/>
  <c r="BG44" i="10"/>
  <c r="BH20" i="10"/>
  <c r="BH44" i="10" s="1"/>
  <c r="BH12" i="10"/>
  <c r="BH11" i="10"/>
  <c r="BH14" i="10"/>
  <c r="BH13" i="10"/>
  <c r="B71" i="23"/>
  <c r="N74" i="23"/>
  <c r="BE24" i="10"/>
  <c r="BE23" i="10"/>
  <c r="BE27" i="10"/>
  <c r="BE25" i="10"/>
  <c r="BE26" i="10"/>
  <c r="BD36" i="10"/>
  <c r="BD38" i="10" s="1"/>
  <c r="BF47" i="10"/>
  <c r="BG19" i="10"/>
  <c r="BI5" i="10"/>
  <c r="BH8" i="10"/>
  <c r="BH7" i="10"/>
  <c r="BH10" i="10"/>
  <c r="BH6" i="10"/>
  <c r="BH9" i="10"/>
  <c r="BH4" i="10"/>
  <c r="BF28" i="10" l="1"/>
  <c r="BF35" i="10"/>
  <c r="BF30" i="10"/>
  <c r="BF32" i="10"/>
  <c r="BF29" i="10"/>
  <c r="BF31" i="10"/>
  <c r="BF33" i="10"/>
  <c r="BF34" i="10"/>
  <c r="BI16" i="10"/>
  <c r="BI15" i="10"/>
  <c r="BI18" i="10"/>
  <c r="BI17" i="10"/>
  <c r="BH45" i="10"/>
  <c r="BH46" i="10"/>
  <c r="BH43" i="10"/>
  <c r="BI20" i="10"/>
  <c r="BI44" i="10" s="1"/>
  <c r="BI13" i="10"/>
  <c r="BI12" i="10"/>
  <c r="BI11" i="10"/>
  <c r="BI14" i="10"/>
  <c r="B72" i="23"/>
  <c r="N75" i="23"/>
  <c r="BF24" i="10"/>
  <c r="BF27" i="10"/>
  <c r="BF23" i="10"/>
  <c r="BF26" i="10"/>
  <c r="BF25" i="10"/>
  <c r="BD39" i="10"/>
  <c r="BD40" i="10" s="1"/>
  <c r="BD49" i="10" s="1"/>
  <c r="BE36" i="10"/>
  <c r="BE38" i="10" s="1"/>
  <c r="BJ5" i="10"/>
  <c r="BI9" i="10"/>
  <c r="BI8" i="10"/>
  <c r="BI7" i="10"/>
  <c r="BI4" i="10"/>
  <c r="BI6" i="10"/>
  <c r="BI10" i="10"/>
  <c r="BH19" i="10"/>
  <c r="BG47" i="10"/>
  <c r="BG29" i="10" l="1"/>
  <c r="BG33" i="10"/>
  <c r="BG34" i="10"/>
  <c r="BG30" i="10"/>
  <c r="BG28" i="10"/>
  <c r="BG31" i="10"/>
  <c r="BG35" i="10"/>
  <c r="BG32" i="10"/>
  <c r="BJ17" i="10"/>
  <c r="BJ16" i="10"/>
  <c r="BJ15" i="10"/>
  <c r="BJ18" i="10"/>
  <c r="BI46" i="10"/>
  <c r="BI43" i="10"/>
  <c r="BI45" i="10"/>
  <c r="BJ20" i="10"/>
  <c r="BJ44" i="10" s="1"/>
  <c r="BJ13" i="10"/>
  <c r="BJ12" i="10"/>
  <c r="BJ11" i="10"/>
  <c r="BJ14" i="10"/>
  <c r="B73" i="23"/>
  <c r="N76" i="23"/>
  <c r="BG24" i="10"/>
  <c r="BG27" i="10"/>
  <c r="BG26" i="10"/>
  <c r="BG23" i="10"/>
  <c r="BG25" i="10"/>
  <c r="BH47" i="10"/>
  <c r="BE39" i="10"/>
  <c r="BE40" i="10" s="1"/>
  <c r="BE49" i="10" s="1"/>
  <c r="BF36" i="10"/>
  <c r="BF38" i="10" s="1"/>
  <c r="BI19" i="10"/>
  <c r="BK5" i="10"/>
  <c r="BJ6" i="10"/>
  <c r="BJ10" i="10"/>
  <c r="BJ9" i="10"/>
  <c r="BJ7" i="10"/>
  <c r="BJ4" i="10"/>
  <c r="BJ8" i="10"/>
  <c r="G73" i="23" l="1"/>
  <c r="BH31" i="10"/>
  <c r="BH32" i="10"/>
  <c r="BH35" i="10"/>
  <c r="BH34" i="10"/>
  <c r="BH30" i="10"/>
  <c r="BH29" i="10"/>
  <c r="BH33" i="10"/>
  <c r="BH28" i="10"/>
  <c r="BK15" i="10"/>
  <c r="BK17" i="10"/>
  <c r="BK18" i="10"/>
  <c r="BK16" i="10"/>
  <c r="BJ43" i="10"/>
  <c r="BJ46" i="10"/>
  <c r="BJ45" i="10"/>
  <c r="BK20" i="10"/>
  <c r="BK44" i="10" s="1"/>
  <c r="BK11" i="10"/>
  <c r="BK13" i="10"/>
  <c r="BK14" i="10"/>
  <c r="BK12" i="10"/>
  <c r="B74" i="23"/>
  <c r="N77" i="23"/>
  <c r="BH24" i="10"/>
  <c r="BH25" i="10"/>
  <c r="BH23" i="10"/>
  <c r="BH26" i="10"/>
  <c r="BH27" i="10"/>
  <c r="BF39" i="10"/>
  <c r="BF40" i="10" s="1"/>
  <c r="BF49" i="10" s="1"/>
  <c r="BG36" i="10"/>
  <c r="BG38" i="10" s="1"/>
  <c r="BJ19" i="10"/>
  <c r="BI47" i="10"/>
  <c r="BL5" i="10"/>
  <c r="BK7" i="10"/>
  <c r="BK6" i="10"/>
  <c r="BK10" i="10"/>
  <c r="BK9" i="10"/>
  <c r="BK4" i="10"/>
  <c r="BK8" i="10"/>
  <c r="G74" i="23" l="1"/>
  <c r="BI30" i="10"/>
  <c r="BI33" i="10"/>
  <c r="BI32" i="10"/>
  <c r="BI29" i="10"/>
  <c r="BI34" i="10"/>
  <c r="BI28" i="10"/>
  <c r="BI31" i="10"/>
  <c r="BI35" i="10"/>
  <c r="BL15" i="10"/>
  <c r="BL16" i="10"/>
  <c r="BL18" i="10"/>
  <c r="BL17" i="10"/>
  <c r="BK45" i="10"/>
  <c r="BK43" i="10"/>
  <c r="BK46" i="10"/>
  <c r="BL20" i="10"/>
  <c r="BL44" i="10" s="1"/>
  <c r="BL12" i="10"/>
  <c r="BL11" i="10"/>
  <c r="BL13" i="10"/>
  <c r="BL14" i="10"/>
  <c r="B75" i="23"/>
  <c r="N78" i="23"/>
  <c r="BI27" i="10"/>
  <c r="BI24" i="10"/>
  <c r="BI25" i="10"/>
  <c r="BI23" i="10"/>
  <c r="BI26" i="10"/>
  <c r="BH36" i="10"/>
  <c r="BH38" i="10" s="1"/>
  <c r="BH39" i="10" s="1"/>
  <c r="BH40" i="10" s="1"/>
  <c r="BH49" i="10" s="1"/>
  <c r="BG39" i="10"/>
  <c r="BG40" i="10" s="1"/>
  <c r="BG49" i="10" s="1"/>
  <c r="BK19" i="10"/>
  <c r="BM5" i="10"/>
  <c r="BL8" i="10"/>
  <c r="BL7" i="10"/>
  <c r="BL6" i="10"/>
  <c r="BL10" i="10"/>
  <c r="BL4" i="10"/>
  <c r="BL9" i="10"/>
  <c r="BJ47" i="10"/>
  <c r="G75" i="23" l="1"/>
  <c r="BJ30" i="10"/>
  <c r="BJ35" i="10"/>
  <c r="BJ33" i="10"/>
  <c r="BJ31" i="10"/>
  <c r="BJ29" i="10"/>
  <c r="BJ32" i="10"/>
  <c r="BJ28" i="10"/>
  <c r="BJ34" i="10"/>
  <c r="BM16" i="10"/>
  <c r="BM15" i="10"/>
  <c r="BM18" i="10"/>
  <c r="BM17" i="10"/>
  <c r="BL45" i="10"/>
  <c r="BL43" i="10"/>
  <c r="BL46" i="10"/>
  <c r="BM20" i="10"/>
  <c r="BM43" i="10" s="1"/>
  <c r="BM13" i="10"/>
  <c r="BM12" i="10"/>
  <c r="BM11" i="10"/>
  <c r="BM14" i="10"/>
  <c r="B76" i="23"/>
  <c r="N79" i="23"/>
  <c r="BJ27" i="10"/>
  <c r="BJ25" i="10"/>
  <c r="BJ23" i="10"/>
  <c r="BJ24" i="10"/>
  <c r="BJ26" i="10"/>
  <c r="BI36" i="10"/>
  <c r="BI38" i="10" s="1"/>
  <c r="BL19" i="10"/>
  <c r="BN5" i="10"/>
  <c r="BM9" i="10"/>
  <c r="BM8" i="10"/>
  <c r="BM4" i="10"/>
  <c r="BM6" i="10"/>
  <c r="BM7" i="10"/>
  <c r="BM10" i="10"/>
  <c r="BK47" i="10"/>
  <c r="G76" i="23" l="1"/>
  <c r="BK30" i="10"/>
  <c r="BK29" i="10"/>
  <c r="BK33" i="10"/>
  <c r="BK34" i="10"/>
  <c r="BK31" i="10"/>
  <c r="BK35" i="10"/>
  <c r="BK32" i="10"/>
  <c r="BK28" i="10"/>
  <c r="BN17" i="10"/>
  <c r="BN16" i="10"/>
  <c r="BN18" i="10"/>
  <c r="BN15" i="10"/>
  <c r="BM46" i="10"/>
  <c r="BM45" i="10"/>
  <c r="BM44" i="10"/>
  <c r="BN20" i="10"/>
  <c r="BN43" i="10" s="1"/>
  <c r="BN13" i="10"/>
  <c r="BN12" i="10"/>
  <c r="BN11" i="10"/>
  <c r="BN14" i="10"/>
  <c r="B77" i="23"/>
  <c r="N80" i="23"/>
  <c r="BK25" i="10"/>
  <c r="BK23" i="10"/>
  <c r="BK24" i="10"/>
  <c r="BK26" i="10"/>
  <c r="BK27" i="10"/>
  <c r="BI39" i="10"/>
  <c r="BI40" i="10" s="1"/>
  <c r="BI49" i="10" s="1"/>
  <c r="BJ36" i="10"/>
  <c r="BJ38" i="10" s="1"/>
  <c r="BM19" i="10"/>
  <c r="BO5" i="10"/>
  <c r="BN6" i="10"/>
  <c r="BN10" i="10"/>
  <c r="BN9" i="10"/>
  <c r="BN8" i="10"/>
  <c r="BN7" i="10"/>
  <c r="BN4" i="10"/>
  <c r="BL47" i="10"/>
  <c r="G77" i="23" l="1"/>
  <c r="BL28" i="10"/>
  <c r="BL32" i="10"/>
  <c r="BL35" i="10"/>
  <c r="BL29" i="10"/>
  <c r="BL33" i="10"/>
  <c r="BL31" i="10"/>
  <c r="BL30" i="10"/>
  <c r="BL34" i="10"/>
  <c r="BO15" i="10"/>
  <c r="BO17" i="10"/>
  <c r="BO16" i="10"/>
  <c r="BO18" i="10"/>
  <c r="BN44" i="10"/>
  <c r="BN46" i="10"/>
  <c r="BN45" i="10"/>
  <c r="BO20" i="10"/>
  <c r="BO44" i="10" s="1"/>
  <c r="BO11" i="10"/>
  <c r="BO13" i="10"/>
  <c r="BO12" i="10"/>
  <c r="BO14" i="10"/>
  <c r="B78" i="23"/>
  <c r="N81" i="23"/>
  <c r="BL24" i="10"/>
  <c r="BL27" i="10"/>
  <c r="BL23" i="10"/>
  <c r="BL25" i="10"/>
  <c r="BL26" i="10"/>
  <c r="BK36" i="10"/>
  <c r="BK38" i="10" s="1"/>
  <c r="BK39" i="10" s="1"/>
  <c r="BK40" i="10" s="1"/>
  <c r="BK49" i="10" s="1"/>
  <c r="BJ39" i="10"/>
  <c r="BJ40" i="10" s="1"/>
  <c r="BJ49" i="10" s="1"/>
  <c r="BN19" i="10"/>
  <c r="BP5" i="10"/>
  <c r="BO7" i="10"/>
  <c r="BO6" i="10"/>
  <c r="BO10" i="10"/>
  <c r="BO9" i="10"/>
  <c r="BO4" i="10"/>
  <c r="BO8" i="10"/>
  <c r="BM47" i="10"/>
  <c r="G78" i="23" l="1"/>
  <c r="BM29" i="10"/>
  <c r="BM34" i="10"/>
  <c r="BM30" i="10"/>
  <c r="BM35" i="10"/>
  <c r="BM33" i="10"/>
  <c r="BM31" i="10"/>
  <c r="BM32" i="10"/>
  <c r="BM28" i="10"/>
  <c r="BP15" i="10"/>
  <c r="BP17" i="10"/>
  <c r="BP16" i="10"/>
  <c r="BP18" i="10"/>
  <c r="BO46" i="10"/>
  <c r="BO45" i="10"/>
  <c r="BO43" i="10"/>
  <c r="BP20" i="10"/>
  <c r="BP44" i="10" s="1"/>
  <c r="BP12" i="10"/>
  <c r="BP11" i="10"/>
  <c r="BP14" i="10"/>
  <c r="BP13" i="10"/>
  <c r="B79" i="23"/>
  <c r="N82" i="23"/>
  <c r="N83" i="23" s="1"/>
  <c r="N84" i="23" s="1"/>
  <c r="N85" i="23" s="1"/>
  <c r="N86" i="23" s="1"/>
  <c r="N87" i="23" s="1"/>
  <c r="N88" i="23" s="1"/>
  <c r="N89" i="23" s="1"/>
  <c r="N90" i="23" s="1"/>
  <c r="N91" i="23" s="1"/>
  <c r="N92" i="23" s="1"/>
  <c r="N93" i="23" s="1"/>
  <c r="N94" i="23" s="1"/>
  <c r="N95" i="23" s="1"/>
  <c r="N96" i="23" s="1"/>
  <c r="N97" i="23" s="1"/>
  <c r="N98" i="23" s="1"/>
  <c r="N99" i="23" s="1"/>
  <c r="N100" i="23" s="1"/>
  <c r="N101" i="23" s="1"/>
  <c r="N102" i="23" s="1"/>
  <c r="N103" i="23" s="1"/>
  <c r="N104" i="23" s="1"/>
  <c r="N105" i="23" s="1"/>
  <c r="N106" i="23" s="1"/>
  <c r="N107" i="23" s="1"/>
  <c r="N108" i="23" s="1"/>
  <c r="BM27" i="10"/>
  <c r="BM26" i="10"/>
  <c r="BM24" i="10"/>
  <c r="BM25" i="10"/>
  <c r="BM23" i="10"/>
  <c r="BL36" i="10"/>
  <c r="BL38" i="10" s="1"/>
  <c r="BN47" i="10"/>
  <c r="BQ5" i="10"/>
  <c r="BP8" i="10"/>
  <c r="BP7" i="10"/>
  <c r="BP10" i="10"/>
  <c r="BP4" i="10"/>
  <c r="BP6" i="10"/>
  <c r="BP9" i="10"/>
  <c r="BO19" i="10"/>
  <c r="G79" i="23" l="1"/>
  <c r="BN28" i="10"/>
  <c r="BN35" i="10"/>
  <c r="BN29" i="10"/>
  <c r="BN31" i="10"/>
  <c r="BN30" i="10"/>
  <c r="BN34" i="10"/>
  <c r="BN33" i="10"/>
  <c r="BN32" i="10"/>
  <c r="BQ16" i="10"/>
  <c r="BQ15" i="10"/>
  <c r="BQ18" i="10"/>
  <c r="BQ17" i="10"/>
  <c r="BP45" i="10"/>
  <c r="BP46" i="10"/>
  <c r="BP43" i="10"/>
  <c r="BQ20" i="10"/>
  <c r="BQ43" i="10" s="1"/>
  <c r="BQ13" i="10"/>
  <c r="BQ12" i="10"/>
  <c r="BQ11" i="10"/>
  <c r="BQ14" i="10"/>
  <c r="B80" i="23"/>
  <c r="BN23" i="10"/>
  <c r="BN26" i="10"/>
  <c r="BN24" i="10"/>
  <c r="BN27" i="10"/>
  <c r="BN25" i="10"/>
  <c r="BO47" i="10"/>
  <c r="BL39" i="10"/>
  <c r="BL40" i="10" s="1"/>
  <c r="BL49" i="10" s="1"/>
  <c r="BM36" i="10"/>
  <c r="BM38" i="10" s="1"/>
  <c r="BR5" i="10"/>
  <c r="BQ9" i="10"/>
  <c r="BQ8" i="10"/>
  <c r="BQ7" i="10"/>
  <c r="BQ4" i="10"/>
  <c r="BQ6" i="10"/>
  <c r="BQ10" i="10"/>
  <c r="BP19" i="10"/>
  <c r="G80" i="23" l="1"/>
  <c r="BO32" i="10"/>
  <c r="BO34" i="10"/>
  <c r="BO29" i="10"/>
  <c r="BO35" i="10"/>
  <c r="BO30" i="10"/>
  <c r="BO31" i="10"/>
  <c r="BO33" i="10"/>
  <c r="BO28" i="10"/>
  <c r="BR17" i="10"/>
  <c r="BR16" i="10"/>
  <c r="BR18" i="10"/>
  <c r="BR15" i="10"/>
  <c r="BQ44" i="10"/>
  <c r="BQ45" i="10"/>
  <c r="BQ46" i="10"/>
  <c r="BR20" i="10"/>
  <c r="BR43" i="10" s="1"/>
  <c r="BR13" i="10"/>
  <c r="BR12" i="10"/>
  <c r="BR11" i="10"/>
  <c r="BR14" i="10"/>
  <c r="B81" i="23"/>
  <c r="BO27" i="10"/>
  <c r="BO24" i="10"/>
  <c r="BO25" i="10"/>
  <c r="BO23" i="10"/>
  <c r="BO26" i="10"/>
  <c r="BN36" i="10"/>
  <c r="BN38" i="10" s="1"/>
  <c r="BN39" i="10" s="1"/>
  <c r="BN40" i="10" s="1"/>
  <c r="BN49" i="10" s="1"/>
  <c r="BM39" i="10"/>
  <c r="BM40" i="10" s="1"/>
  <c r="BM49" i="10" s="1"/>
  <c r="BQ19" i="10"/>
  <c r="BP47" i="10"/>
  <c r="BS5" i="10"/>
  <c r="BR6" i="10"/>
  <c r="BR10" i="10"/>
  <c r="BR9" i="10"/>
  <c r="BR8" i="10"/>
  <c r="BR7" i="10"/>
  <c r="BR4" i="10"/>
  <c r="G81" i="23" l="1"/>
  <c r="BP31" i="10"/>
  <c r="BP30" i="10"/>
  <c r="BP29" i="10"/>
  <c r="BP28" i="10"/>
  <c r="BP34" i="10"/>
  <c r="BP33" i="10"/>
  <c r="BP35" i="10"/>
  <c r="BP32" i="10"/>
  <c r="BS15" i="10"/>
  <c r="BS17" i="10"/>
  <c r="BS16" i="10"/>
  <c r="BS18" i="10"/>
  <c r="BR45" i="10"/>
  <c r="BR46" i="10"/>
  <c r="BR44" i="10"/>
  <c r="BS20" i="10"/>
  <c r="BS43" i="10" s="1"/>
  <c r="BS11" i="10"/>
  <c r="BS13" i="10"/>
  <c r="BS12" i="10"/>
  <c r="BS14" i="10"/>
  <c r="B82" i="23"/>
  <c r="B83" i="23" s="1"/>
  <c r="BP27" i="10"/>
  <c r="BP26" i="10"/>
  <c r="BP24" i="10"/>
  <c r="BP23" i="10"/>
  <c r="BP25" i="10"/>
  <c r="BO36" i="10"/>
  <c r="BO38" i="10" s="1"/>
  <c r="BO39" i="10" s="1"/>
  <c r="BO40" i="10" s="1"/>
  <c r="BO49" i="10" s="1"/>
  <c r="BT5" i="10"/>
  <c r="BS7" i="10"/>
  <c r="BS6" i="10"/>
  <c r="BS10" i="10"/>
  <c r="BS9" i="10"/>
  <c r="BS8" i="10"/>
  <c r="BS4" i="10"/>
  <c r="BR19" i="10"/>
  <c r="BQ47" i="10"/>
  <c r="G83" i="23" l="1"/>
  <c r="B84" i="23"/>
  <c r="F83" i="23"/>
  <c r="G82" i="23"/>
  <c r="BQ30" i="10"/>
  <c r="BQ33" i="10"/>
  <c r="BQ29" i="10"/>
  <c r="BQ34" i="10"/>
  <c r="BQ31" i="10"/>
  <c r="BQ28" i="10"/>
  <c r="BQ32" i="10"/>
  <c r="BQ35" i="10"/>
  <c r="BT15" i="10"/>
  <c r="BT16" i="10"/>
  <c r="BT18" i="10"/>
  <c r="BT17" i="10"/>
  <c r="BS45" i="10"/>
  <c r="BS46" i="10"/>
  <c r="BS44" i="10"/>
  <c r="BT20" i="10"/>
  <c r="BT43" i="10" s="1"/>
  <c r="BT12" i="10"/>
  <c r="BT11" i="10"/>
  <c r="BT14" i="10"/>
  <c r="BT13" i="10"/>
  <c r="BQ23" i="10"/>
  <c r="BQ27" i="10"/>
  <c r="BQ26" i="10"/>
  <c r="BQ24" i="10"/>
  <c r="BQ25" i="10"/>
  <c r="BR47" i="10"/>
  <c r="BP36" i="10"/>
  <c r="BP38" i="10" s="1"/>
  <c r="BS19" i="10"/>
  <c r="BU5" i="10"/>
  <c r="BT8" i="10"/>
  <c r="BT7" i="10"/>
  <c r="BT6" i="10"/>
  <c r="BT4" i="10"/>
  <c r="BT10" i="10"/>
  <c r="BT9" i="10"/>
  <c r="G84" i="23" l="1"/>
  <c r="F84" i="23"/>
  <c r="B85" i="23"/>
  <c r="BR29" i="10"/>
  <c r="BR34" i="10"/>
  <c r="BR30" i="10"/>
  <c r="BR28" i="10"/>
  <c r="BR35" i="10"/>
  <c r="BR33" i="10"/>
  <c r="BR31" i="10"/>
  <c r="BR32" i="10"/>
  <c r="BU16" i="10"/>
  <c r="BU15" i="10"/>
  <c r="BU18" i="10"/>
  <c r="BU17" i="10"/>
  <c r="BT46" i="10"/>
  <c r="BT44" i="10"/>
  <c r="BT45" i="10"/>
  <c r="BU20" i="10"/>
  <c r="BU44" i="10" s="1"/>
  <c r="BU13" i="10"/>
  <c r="BU12" i="10"/>
  <c r="BU11" i="10"/>
  <c r="BU14" i="10"/>
  <c r="BR24" i="10"/>
  <c r="BR23" i="10"/>
  <c r="BR27" i="10"/>
  <c r="BR25" i="10"/>
  <c r="BR26" i="10"/>
  <c r="BS47" i="10"/>
  <c r="BP39" i="10"/>
  <c r="BP40" i="10" s="1"/>
  <c r="BP49" i="10" s="1"/>
  <c r="BQ36" i="10"/>
  <c r="BQ38" i="10" s="1"/>
  <c r="BT19" i="10"/>
  <c r="BV5" i="10"/>
  <c r="BU9" i="10"/>
  <c r="BU8" i="10"/>
  <c r="BU4" i="10"/>
  <c r="BU7" i="10"/>
  <c r="BU10" i="10"/>
  <c r="BU6" i="10"/>
  <c r="G85" i="23" l="1"/>
  <c r="F85" i="23"/>
  <c r="B86" i="23"/>
  <c r="BS29" i="10"/>
  <c r="BS34" i="10"/>
  <c r="BS28" i="10"/>
  <c r="BS32" i="10"/>
  <c r="BS33" i="10"/>
  <c r="BS30" i="10"/>
  <c r="BS35" i="10"/>
  <c r="BS31" i="10"/>
  <c r="BV17" i="10"/>
  <c r="BV16" i="10"/>
  <c r="BV15" i="10"/>
  <c r="BV18" i="10"/>
  <c r="BU43" i="10"/>
  <c r="BU46" i="10"/>
  <c r="BU45" i="10"/>
  <c r="BV20" i="10"/>
  <c r="BV43" i="10" s="1"/>
  <c r="BV13" i="10"/>
  <c r="BV12" i="10"/>
  <c r="BV11" i="10"/>
  <c r="BV14" i="10"/>
  <c r="BS26" i="10"/>
  <c r="BS27" i="10"/>
  <c r="BS24" i="10"/>
  <c r="BS25" i="10"/>
  <c r="BS23" i="10"/>
  <c r="BR36" i="10"/>
  <c r="BR38" i="10" s="1"/>
  <c r="BR39" i="10" s="1"/>
  <c r="BR40" i="10" s="1"/>
  <c r="BR49" i="10" s="1"/>
  <c r="BQ39" i="10"/>
  <c r="BQ40" i="10" s="1"/>
  <c r="BQ49" i="10" s="1"/>
  <c r="BT47" i="10"/>
  <c r="BU19" i="10"/>
  <c r="BW5" i="10"/>
  <c r="BV6" i="10"/>
  <c r="BV10" i="10"/>
  <c r="BV9" i="10"/>
  <c r="BV8" i="10"/>
  <c r="BV4" i="10"/>
  <c r="BV7" i="10"/>
  <c r="B87" i="23" l="1"/>
  <c r="F86" i="23"/>
  <c r="G86" i="23"/>
  <c r="BT28" i="10"/>
  <c r="BT34" i="10"/>
  <c r="BT31" i="10"/>
  <c r="BT30" i="10"/>
  <c r="BT32" i="10"/>
  <c r="BT35" i="10"/>
  <c r="BT33" i="10"/>
  <c r="BT29" i="10"/>
  <c r="BW15" i="10"/>
  <c r="BW17" i="10"/>
  <c r="BW16" i="10"/>
  <c r="BW18" i="10"/>
  <c r="BV46" i="10"/>
  <c r="BV45" i="10"/>
  <c r="BV44" i="10"/>
  <c r="BW20" i="10"/>
  <c r="BW44" i="10" s="1"/>
  <c r="BW11" i="10"/>
  <c r="BW13" i="10"/>
  <c r="BW12" i="10"/>
  <c r="BW14" i="10"/>
  <c r="BT27" i="10"/>
  <c r="BT25" i="10"/>
  <c r="BT26" i="10"/>
  <c r="BT23" i="10"/>
  <c r="BT24" i="10"/>
  <c r="BS36" i="10"/>
  <c r="BS38" i="10" s="1"/>
  <c r="BS39" i="10" s="1"/>
  <c r="BS40" i="10" s="1"/>
  <c r="BS49" i="10" s="1"/>
  <c r="BX5" i="10"/>
  <c r="BW7" i="10"/>
  <c r="BW6" i="10"/>
  <c r="BW10" i="10"/>
  <c r="BW9" i="10"/>
  <c r="BW4" i="10"/>
  <c r="BW8" i="10"/>
  <c r="BU47" i="10"/>
  <c r="BV19" i="10"/>
  <c r="G87" i="23" l="1"/>
  <c r="B88" i="23"/>
  <c r="F87" i="23"/>
  <c r="BU30" i="10"/>
  <c r="BU31" i="10"/>
  <c r="BU34" i="10"/>
  <c r="BU28" i="10"/>
  <c r="BU33" i="10"/>
  <c r="BU32" i="10"/>
  <c r="BU29" i="10"/>
  <c r="BU35" i="10"/>
  <c r="BX15" i="10"/>
  <c r="BX17" i="10"/>
  <c r="BX16" i="10"/>
  <c r="BX18" i="10"/>
  <c r="BW46" i="10"/>
  <c r="BW45" i="10"/>
  <c r="BW43" i="10"/>
  <c r="BX20" i="10"/>
  <c r="BX45" i="10" s="1"/>
  <c r="BX12" i="10"/>
  <c r="BX11" i="10"/>
  <c r="BX14" i="10"/>
  <c r="BX13" i="10"/>
  <c r="BU24" i="10"/>
  <c r="BU25" i="10"/>
  <c r="BU23" i="10"/>
  <c r="BU27" i="10"/>
  <c r="BU26" i="10"/>
  <c r="BW19" i="10"/>
  <c r="BT36" i="10"/>
  <c r="BT38" i="10" s="1"/>
  <c r="BV47" i="10"/>
  <c r="BY5" i="10"/>
  <c r="BX8" i="10"/>
  <c r="BX7" i="10"/>
  <c r="BX10" i="10"/>
  <c r="BX6" i="10"/>
  <c r="BX9" i="10"/>
  <c r="BX4" i="10"/>
  <c r="F88" i="23" l="1"/>
  <c r="G88" i="23"/>
  <c r="B89" i="23"/>
  <c r="BV30" i="10"/>
  <c r="BV35" i="10"/>
  <c r="BV28" i="10"/>
  <c r="BV32" i="10"/>
  <c r="BV29" i="10"/>
  <c r="BV31" i="10"/>
  <c r="BV33" i="10"/>
  <c r="BV34" i="10"/>
  <c r="BY16" i="10"/>
  <c r="BY15" i="10"/>
  <c r="BY18" i="10"/>
  <c r="BY17" i="10"/>
  <c r="BX43" i="10"/>
  <c r="BX44" i="10"/>
  <c r="BX46" i="10"/>
  <c r="BY20" i="10"/>
  <c r="BY43" i="10" s="1"/>
  <c r="BY13" i="10"/>
  <c r="BY12" i="10"/>
  <c r="BY11" i="10"/>
  <c r="BY14" i="10"/>
  <c r="BV23" i="10"/>
  <c r="BV24" i="10"/>
  <c r="BV26" i="10"/>
  <c r="BV27" i="10"/>
  <c r="BV25" i="10"/>
  <c r="BT39" i="10"/>
  <c r="BT40" i="10" s="1"/>
  <c r="BT49" i="10" s="1"/>
  <c r="BU36" i="10"/>
  <c r="BU38" i="10" s="1"/>
  <c r="BX19" i="10"/>
  <c r="BZ5" i="10"/>
  <c r="BY9" i="10"/>
  <c r="BY8" i="10"/>
  <c r="BY7" i="10"/>
  <c r="BY4" i="10"/>
  <c r="BY6" i="10"/>
  <c r="BY10" i="10"/>
  <c r="BW47" i="10"/>
  <c r="F89" i="23" l="1"/>
  <c r="G89" i="23"/>
  <c r="B90" i="23"/>
  <c r="BW29" i="10"/>
  <c r="BW34" i="10"/>
  <c r="BW35" i="10"/>
  <c r="BW30" i="10"/>
  <c r="BW32" i="10"/>
  <c r="BW28" i="10"/>
  <c r="BW33" i="10"/>
  <c r="BW31" i="10"/>
  <c r="BZ17" i="10"/>
  <c r="BZ16" i="10"/>
  <c r="BZ15" i="10"/>
  <c r="BZ18" i="10"/>
  <c r="BY44" i="10"/>
  <c r="BY46" i="10"/>
  <c r="BY45" i="10"/>
  <c r="BZ20" i="10"/>
  <c r="BZ45" i="10" s="1"/>
  <c r="BZ13" i="10"/>
  <c r="BZ12" i="10"/>
  <c r="BZ11" i="10"/>
  <c r="BZ14" i="10"/>
  <c r="BW27" i="10"/>
  <c r="BW26" i="10"/>
  <c r="BW24" i="10"/>
  <c r="BW25" i="10"/>
  <c r="BW23" i="10"/>
  <c r="BX47" i="10"/>
  <c r="BU39" i="10"/>
  <c r="BU40" i="10" s="1"/>
  <c r="BU49" i="10" s="1"/>
  <c r="BV36" i="10"/>
  <c r="BV38" i="10" s="1"/>
  <c r="CA5" i="10"/>
  <c r="BZ6" i="10"/>
  <c r="BZ10" i="10"/>
  <c r="BZ9" i="10"/>
  <c r="BZ4" i="10"/>
  <c r="BZ8" i="10"/>
  <c r="BZ7" i="10"/>
  <c r="BY19" i="10"/>
  <c r="B91" i="23" l="1"/>
  <c r="F90" i="23"/>
  <c r="G90" i="23"/>
  <c r="BX31" i="10"/>
  <c r="BX28" i="10"/>
  <c r="BX32" i="10"/>
  <c r="BX33" i="10"/>
  <c r="BX29" i="10"/>
  <c r="BX35" i="10"/>
  <c r="BX34" i="10"/>
  <c r="BX30" i="10"/>
  <c r="CA15" i="10"/>
  <c r="CA17" i="10"/>
  <c r="CA18" i="10"/>
  <c r="CA16" i="10"/>
  <c r="BZ44" i="10"/>
  <c r="BZ46" i="10"/>
  <c r="BZ43" i="10"/>
  <c r="CA20" i="10"/>
  <c r="CA46" i="10" s="1"/>
  <c r="CA11" i="10"/>
  <c r="CA13" i="10"/>
  <c r="CA12" i="10"/>
  <c r="CA14" i="10"/>
  <c r="BX24" i="10"/>
  <c r="BX27" i="10"/>
  <c r="BX25" i="10"/>
  <c r="BX23" i="10"/>
  <c r="BX26" i="10"/>
  <c r="BY47" i="10"/>
  <c r="BV39" i="10"/>
  <c r="BV40" i="10" s="1"/>
  <c r="BV49" i="10" s="1"/>
  <c r="BW36" i="10"/>
  <c r="BW38" i="10" s="1"/>
  <c r="BZ19" i="10"/>
  <c r="CB5" i="10"/>
  <c r="CA7" i="10"/>
  <c r="CA6" i="10"/>
  <c r="CA10" i="10"/>
  <c r="CA9" i="10"/>
  <c r="CA8" i="10"/>
  <c r="CA4" i="10"/>
  <c r="F91" i="23" l="1"/>
  <c r="G91" i="23"/>
  <c r="B92" i="23"/>
  <c r="BY30" i="10"/>
  <c r="BY28" i="10"/>
  <c r="BY29" i="10"/>
  <c r="BY34" i="10"/>
  <c r="BY33" i="10"/>
  <c r="BY32" i="10"/>
  <c r="BY35" i="10"/>
  <c r="BY31" i="10"/>
  <c r="CB15" i="10"/>
  <c r="CB16" i="10"/>
  <c r="CB18" i="10"/>
  <c r="CB17" i="10"/>
  <c r="CA44" i="10"/>
  <c r="CA45" i="10"/>
  <c r="CA43" i="10"/>
  <c r="CB20" i="10"/>
  <c r="CB46" i="10" s="1"/>
  <c r="CB12" i="10"/>
  <c r="CB11" i="10"/>
  <c r="CB13" i="10"/>
  <c r="CB14" i="10"/>
  <c r="BY25" i="10"/>
  <c r="BY24" i="10"/>
  <c r="BY23" i="10"/>
  <c r="BY27" i="10"/>
  <c r="BY26" i="10"/>
  <c r="BX36" i="10"/>
  <c r="BX38" i="10" s="1"/>
  <c r="BX39" i="10" s="1"/>
  <c r="BX40" i="10" s="1"/>
  <c r="BX49" i="10" s="1"/>
  <c r="BW39" i="10"/>
  <c r="BW40" i="10" s="1"/>
  <c r="BW49" i="10" s="1"/>
  <c r="CC5" i="10"/>
  <c r="CB8" i="10"/>
  <c r="CB7" i="10"/>
  <c r="CB6" i="10"/>
  <c r="CB10" i="10"/>
  <c r="CB9" i="10"/>
  <c r="CB4" i="10"/>
  <c r="BZ47" i="10"/>
  <c r="CA19" i="10"/>
  <c r="G92" i="23" l="1"/>
  <c r="B93" i="23"/>
  <c r="F92" i="23"/>
  <c r="BZ28" i="10"/>
  <c r="BZ35" i="10"/>
  <c r="BZ33" i="10"/>
  <c r="BZ30" i="10"/>
  <c r="BZ31" i="10"/>
  <c r="BZ29" i="10"/>
  <c r="BZ32" i="10"/>
  <c r="BZ34" i="10"/>
  <c r="CC16" i="10"/>
  <c r="CC15" i="10"/>
  <c r="CC18" i="10"/>
  <c r="CC17" i="10"/>
  <c r="CB44" i="10"/>
  <c r="CB43" i="10"/>
  <c r="CB45" i="10"/>
  <c r="CC20" i="10"/>
  <c r="CC43" i="10" s="1"/>
  <c r="CC13" i="10"/>
  <c r="CC12" i="10"/>
  <c r="CC11" i="10"/>
  <c r="CC14" i="10"/>
  <c r="BZ27" i="10"/>
  <c r="BZ25" i="10"/>
  <c r="BZ24" i="10"/>
  <c r="BZ23" i="10"/>
  <c r="BZ26" i="10"/>
  <c r="BY36" i="10"/>
  <c r="BY38" i="10" s="1"/>
  <c r="BY39" i="10" s="1"/>
  <c r="BY40" i="10" s="1"/>
  <c r="BY49" i="10" s="1"/>
  <c r="CA47" i="10"/>
  <c r="CB19" i="10"/>
  <c r="CD5" i="10"/>
  <c r="CC9" i="10"/>
  <c r="CC8" i="10"/>
  <c r="CC4" i="10"/>
  <c r="CC6" i="10"/>
  <c r="CC7" i="10"/>
  <c r="CC10" i="10"/>
  <c r="G93" i="23" l="1"/>
  <c r="F93" i="23"/>
  <c r="B94" i="23"/>
  <c r="CA31" i="10"/>
  <c r="CA29" i="10"/>
  <c r="CA30" i="10"/>
  <c r="CA33" i="10"/>
  <c r="CA35" i="10"/>
  <c r="CA32" i="10"/>
  <c r="CA34" i="10"/>
  <c r="CA28" i="10"/>
  <c r="CD17" i="10"/>
  <c r="CD16" i="10"/>
  <c r="CD18" i="10"/>
  <c r="CD15" i="10"/>
  <c r="CC45" i="10"/>
  <c r="CC44" i="10"/>
  <c r="CC46" i="10"/>
  <c r="CD20" i="10"/>
  <c r="CD43" i="10" s="1"/>
  <c r="CD13" i="10"/>
  <c r="CD12" i="10"/>
  <c r="CD11" i="10"/>
  <c r="CD14" i="10"/>
  <c r="CA27" i="10"/>
  <c r="CA25" i="10"/>
  <c r="CA23" i="10"/>
  <c r="CA24" i="10"/>
  <c r="CA26" i="10"/>
  <c r="BZ36" i="10"/>
  <c r="BZ38" i="10" s="1"/>
  <c r="CE5" i="10"/>
  <c r="CD6" i="10"/>
  <c r="CD10" i="10"/>
  <c r="CD9" i="10"/>
  <c r="CD8" i="10"/>
  <c r="CD7" i="10"/>
  <c r="CD4" i="10"/>
  <c r="CC19" i="10"/>
  <c r="CB47" i="10"/>
  <c r="B95" i="23" l="1"/>
  <c r="F94" i="23"/>
  <c r="G94" i="23"/>
  <c r="CB28" i="10"/>
  <c r="CB32" i="10"/>
  <c r="CB30" i="10"/>
  <c r="CB33" i="10"/>
  <c r="CB29" i="10"/>
  <c r="CB35" i="10"/>
  <c r="CB31" i="10"/>
  <c r="CB34" i="10"/>
  <c r="CE15" i="10"/>
  <c r="CE17" i="10"/>
  <c r="CE16" i="10"/>
  <c r="CE18" i="10"/>
  <c r="CD44" i="10"/>
  <c r="CD45" i="10"/>
  <c r="CD46" i="10"/>
  <c r="CE20" i="10"/>
  <c r="CE46" i="10" s="1"/>
  <c r="CE11" i="10"/>
  <c r="CE13" i="10"/>
  <c r="CE12" i="10"/>
  <c r="CE14" i="10"/>
  <c r="CB24" i="10"/>
  <c r="CB25" i="10"/>
  <c r="CB23" i="10"/>
  <c r="CB27" i="10"/>
  <c r="CB26" i="10"/>
  <c r="CA36" i="10"/>
  <c r="CA38" i="10" s="1"/>
  <c r="CA39" i="10" s="1"/>
  <c r="BZ39" i="10"/>
  <c r="BZ40" i="10" s="1"/>
  <c r="BZ49" i="10" s="1"/>
  <c r="CD19" i="10"/>
  <c r="CC47" i="10"/>
  <c r="CF5" i="10"/>
  <c r="CE7" i="10"/>
  <c r="CE6" i="10"/>
  <c r="CE10" i="10"/>
  <c r="CE4" i="10"/>
  <c r="CE9" i="10"/>
  <c r="CE8" i="10"/>
  <c r="B96" i="23" l="1"/>
  <c r="G95" i="23"/>
  <c r="F95" i="23"/>
  <c r="CC29" i="10"/>
  <c r="CC33" i="10"/>
  <c r="CC32" i="10"/>
  <c r="CC30" i="10"/>
  <c r="CC35" i="10"/>
  <c r="CC31" i="10"/>
  <c r="CC28" i="10"/>
  <c r="CC34" i="10"/>
  <c r="CF15" i="10"/>
  <c r="CF17" i="10"/>
  <c r="CF16" i="10"/>
  <c r="CF18" i="10"/>
  <c r="CE45" i="10"/>
  <c r="CE43" i="10"/>
  <c r="CE44" i="10"/>
  <c r="CF20" i="10"/>
  <c r="CF43" i="10" s="1"/>
  <c r="CF12" i="10"/>
  <c r="CF11" i="10"/>
  <c r="CF14" i="10"/>
  <c r="CF13" i="10"/>
  <c r="CC27" i="10"/>
  <c r="CC26" i="10"/>
  <c r="CC25" i="10"/>
  <c r="CC24" i="10"/>
  <c r="CC23" i="10"/>
  <c r="CA40" i="10"/>
  <c r="CA49" i="10" s="1"/>
  <c r="CB36" i="10"/>
  <c r="CB38" i="10" s="1"/>
  <c r="CG5" i="10"/>
  <c r="CF8" i="10"/>
  <c r="CF7" i="10"/>
  <c r="CF10" i="10"/>
  <c r="CF4" i="10"/>
  <c r="CF6" i="10"/>
  <c r="CF9" i="10"/>
  <c r="CE19" i="10"/>
  <c r="CD47" i="10"/>
  <c r="G96" i="23" l="1"/>
  <c r="B97" i="23"/>
  <c r="F96" i="23"/>
  <c r="CD29" i="10"/>
  <c r="CD35" i="10"/>
  <c r="CD32" i="10"/>
  <c r="CD30" i="10"/>
  <c r="CD31" i="10"/>
  <c r="CD28" i="10"/>
  <c r="CD33" i="10"/>
  <c r="CD34" i="10"/>
  <c r="CG16" i="10"/>
  <c r="CG15" i="10"/>
  <c r="CG18" i="10"/>
  <c r="CG17" i="10"/>
  <c r="CF46" i="10"/>
  <c r="CF44" i="10"/>
  <c r="CF45" i="10"/>
  <c r="CG20" i="10"/>
  <c r="CG43" i="10" s="1"/>
  <c r="CG13" i="10"/>
  <c r="CG12" i="10"/>
  <c r="CG11" i="10"/>
  <c r="CG14" i="10"/>
  <c r="CD23" i="10"/>
  <c r="CD26" i="10"/>
  <c r="CD24" i="10"/>
  <c r="CD27" i="10"/>
  <c r="CD25" i="10"/>
  <c r="CF19" i="10"/>
  <c r="CB39" i="10"/>
  <c r="CB40" i="10" s="1"/>
  <c r="CB49" i="10" s="1"/>
  <c r="CC36" i="10"/>
  <c r="CC38" i="10" s="1"/>
  <c r="CE47" i="10"/>
  <c r="CH5" i="10"/>
  <c r="CG9" i="10"/>
  <c r="CG8" i="10"/>
  <c r="CG7" i="10"/>
  <c r="CG4" i="10"/>
  <c r="CG6" i="10"/>
  <c r="CG10" i="10"/>
  <c r="G97" i="23" l="1"/>
  <c r="F97" i="23"/>
  <c r="B98" i="23"/>
  <c r="CE29" i="10"/>
  <c r="CE33" i="10"/>
  <c r="CE30" i="10"/>
  <c r="CE35" i="10"/>
  <c r="CE32" i="10"/>
  <c r="CE28" i="10"/>
  <c r="CE34" i="10"/>
  <c r="CE31" i="10"/>
  <c r="CH17" i="10"/>
  <c r="CH16" i="10"/>
  <c r="CH18" i="10"/>
  <c r="CH15" i="10"/>
  <c r="CG46" i="10"/>
  <c r="CG44" i="10"/>
  <c r="CG45" i="10"/>
  <c r="CH20" i="10"/>
  <c r="CH46" i="10" s="1"/>
  <c r="CH13" i="10"/>
  <c r="CH12" i="10"/>
  <c r="CH11" i="10"/>
  <c r="CH14" i="10"/>
  <c r="CE27" i="10"/>
  <c r="CE23" i="10"/>
  <c r="CE25" i="10"/>
  <c r="CE26" i="10"/>
  <c r="CE24" i="10"/>
  <c r="CG19" i="10"/>
  <c r="CF47" i="10"/>
  <c r="CC39" i="10"/>
  <c r="CC40" i="10" s="1"/>
  <c r="CC49" i="10" s="1"/>
  <c r="CD36" i="10"/>
  <c r="CD38" i="10" s="1"/>
  <c r="CI5" i="10"/>
  <c r="CH6" i="10"/>
  <c r="CH10" i="10"/>
  <c r="CH9" i="10"/>
  <c r="CH8" i="10"/>
  <c r="CH7" i="10"/>
  <c r="CH4" i="10"/>
  <c r="B99" i="23" l="1"/>
  <c r="F98" i="23"/>
  <c r="G98" i="23"/>
  <c r="CF33" i="10"/>
  <c r="CF31" i="10"/>
  <c r="CF28" i="10"/>
  <c r="CF32" i="10"/>
  <c r="CF30" i="10"/>
  <c r="CF35" i="10"/>
  <c r="CF34" i="10"/>
  <c r="CF29" i="10"/>
  <c r="CI15" i="10"/>
  <c r="CI17" i="10"/>
  <c r="CI16" i="10"/>
  <c r="CI18" i="10"/>
  <c r="CH44" i="10"/>
  <c r="CH45" i="10"/>
  <c r="CH43" i="10"/>
  <c r="CI20" i="10"/>
  <c r="CI43" i="10" s="1"/>
  <c r="CI11" i="10"/>
  <c r="CI13" i="10"/>
  <c r="CI12" i="10"/>
  <c r="CI14" i="10"/>
  <c r="CF26" i="10"/>
  <c r="CF24" i="10"/>
  <c r="CF27" i="10"/>
  <c r="CF25" i="10"/>
  <c r="CF23" i="10"/>
  <c r="CD39" i="10"/>
  <c r="CD40" i="10" s="1"/>
  <c r="CD49" i="10" s="1"/>
  <c r="CE36" i="10"/>
  <c r="CE38" i="10" s="1"/>
  <c r="CH19" i="10"/>
  <c r="CG47" i="10"/>
  <c r="CJ5" i="10"/>
  <c r="CI7" i="10"/>
  <c r="CI6" i="10"/>
  <c r="CI10" i="10"/>
  <c r="CI9" i="10"/>
  <c r="CI8" i="10"/>
  <c r="CI4" i="10"/>
  <c r="G99" i="23" l="1"/>
  <c r="F99" i="23"/>
  <c r="B100" i="23"/>
  <c r="CG28" i="10"/>
  <c r="CG34" i="10"/>
  <c r="CG30" i="10"/>
  <c r="CG29" i="10"/>
  <c r="CG35" i="10"/>
  <c r="CG33" i="10"/>
  <c r="CG32" i="10"/>
  <c r="CG31" i="10"/>
  <c r="CJ15" i="10"/>
  <c r="CJ16" i="10"/>
  <c r="CJ18" i="10"/>
  <c r="CJ17" i="10"/>
  <c r="CI46" i="10"/>
  <c r="CI45" i="10"/>
  <c r="CI44" i="10"/>
  <c r="CJ20" i="10"/>
  <c r="CJ43" i="10" s="1"/>
  <c r="CJ12" i="10"/>
  <c r="CJ11" i="10"/>
  <c r="CJ14" i="10"/>
  <c r="CJ13" i="10"/>
  <c r="CG23" i="10"/>
  <c r="CG27" i="10"/>
  <c r="CG25" i="10"/>
  <c r="CG26" i="10"/>
  <c r="CG24" i="10"/>
  <c r="CF36" i="10"/>
  <c r="CF38" i="10" s="1"/>
  <c r="CF39" i="10" s="1"/>
  <c r="CF40" i="10" s="1"/>
  <c r="CF49" i="10" s="1"/>
  <c r="CE39" i="10"/>
  <c r="CE40" i="10" s="1"/>
  <c r="CE49" i="10" s="1"/>
  <c r="CK5" i="10"/>
  <c r="CJ8" i="10"/>
  <c r="CJ7" i="10"/>
  <c r="CJ6" i="10"/>
  <c r="CJ9" i="10"/>
  <c r="CJ4" i="10"/>
  <c r="CJ10" i="10"/>
  <c r="CI19" i="10"/>
  <c r="CH47" i="10"/>
  <c r="F100" i="23" l="1"/>
  <c r="B101" i="23"/>
  <c r="G100" i="23"/>
  <c r="CH29" i="10"/>
  <c r="CH34" i="10"/>
  <c r="CH30" i="10"/>
  <c r="CH32" i="10"/>
  <c r="CH35" i="10"/>
  <c r="CH28" i="10"/>
  <c r="CH33" i="10"/>
  <c r="CH31" i="10"/>
  <c r="CK16" i="10"/>
  <c r="CK15" i="10"/>
  <c r="CK18" i="10"/>
  <c r="CK17" i="10"/>
  <c r="CJ44" i="10"/>
  <c r="CJ45" i="10"/>
  <c r="CJ46" i="10"/>
  <c r="CK20" i="10"/>
  <c r="CK45" i="10" s="1"/>
  <c r="CK13" i="10"/>
  <c r="CK12" i="10"/>
  <c r="CK11" i="10"/>
  <c r="CK14" i="10"/>
  <c r="CH26" i="10"/>
  <c r="CH24" i="10"/>
  <c r="CH23" i="10"/>
  <c r="CH27" i="10"/>
  <c r="CH25" i="10"/>
  <c r="CG36" i="10"/>
  <c r="CG38" i="10" s="1"/>
  <c r="CI47" i="10"/>
  <c r="CJ19" i="10"/>
  <c r="CL5" i="10"/>
  <c r="CK9" i="10"/>
  <c r="CK8" i="10"/>
  <c r="CK4" i="10"/>
  <c r="CK7" i="10"/>
  <c r="CK6" i="10"/>
  <c r="CK10" i="10"/>
  <c r="F101" i="23" l="1"/>
  <c r="G101" i="23"/>
  <c r="B102" i="23"/>
  <c r="CI31" i="10"/>
  <c r="CI33" i="10"/>
  <c r="CI32" i="10"/>
  <c r="CI35" i="10"/>
  <c r="CI30" i="10"/>
  <c r="CI29" i="10"/>
  <c r="CI34" i="10"/>
  <c r="CI28" i="10"/>
  <c r="CL17" i="10"/>
  <c r="CL16" i="10"/>
  <c r="CL15" i="10"/>
  <c r="CL18" i="10"/>
  <c r="CK46" i="10"/>
  <c r="CK43" i="10"/>
  <c r="CK44" i="10"/>
  <c r="CL20" i="10"/>
  <c r="CL44" i="10" s="1"/>
  <c r="CL13" i="10"/>
  <c r="CL12" i="10"/>
  <c r="CL11" i="10"/>
  <c r="CL14" i="10"/>
  <c r="CI24" i="10"/>
  <c r="CI26" i="10"/>
  <c r="CI27" i="10"/>
  <c r="CI25" i="10"/>
  <c r="CI23" i="10"/>
  <c r="CG39" i="10"/>
  <c r="CG40" i="10" s="1"/>
  <c r="CG49" i="10" s="1"/>
  <c r="CH36" i="10"/>
  <c r="CH38" i="10" s="1"/>
  <c r="CJ47" i="10"/>
  <c r="CM5" i="10"/>
  <c r="CL6" i="10"/>
  <c r="CL10" i="10"/>
  <c r="CL9" i="10"/>
  <c r="CL8" i="10"/>
  <c r="CL4" i="10"/>
  <c r="CL7" i="10"/>
  <c r="CK19" i="10"/>
  <c r="F102" i="23" l="1"/>
  <c r="B103" i="23"/>
  <c r="G102" i="23"/>
  <c r="CJ28" i="10"/>
  <c r="CJ31" i="10"/>
  <c r="CJ29" i="10"/>
  <c r="CJ30" i="10"/>
  <c r="CJ34" i="10"/>
  <c r="CJ35" i="10"/>
  <c r="CJ33" i="10"/>
  <c r="CJ32" i="10"/>
  <c r="CM15" i="10"/>
  <c r="CM17" i="10"/>
  <c r="CM16" i="10"/>
  <c r="CM18" i="10"/>
  <c r="CL46" i="10"/>
  <c r="CL43" i="10"/>
  <c r="CL45" i="10"/>
  <c r="CM20" i="10"/>
  <c r="CM46" i="10" s="1"/>
  <c r="CM11" i="10"/>
  <c r="CM13" i="10"/>
  <c r="CM12" i="10"/>
  <c r="CM14" i="10"/>
  <c r="CJ27" i="10"/>
  <c r="CJ23" i="10"/>
  <c r="CJ26" i="10"/>
  <c r="CJ25" i="10"/>
  <c r="CJ24" i="10"/>
  <c r="CH39" i="10"/>
  <c r="CH40" i="10" s="1"/>
  <c r="CH49" i="10" s="1"/>
  <c r="CI36" i="10"/>
  <c r="CI38" i="10" s="1"/>
  <c r="CK47" i="10"/>
  <c r="CL19" i="10"/>
  <c r="CN5" i="10"/>
  <c r="CM7" i="10"/>
  <c r="CM6" i="10"/>
  <c r="CM10" i="10"/>
  <c r="CM8" i="10"/>
  <c r="CM9" i="10"/>
  <c r="CM4" i="10"/>
  <c r="F103" i="23" l="1"/>
  <c r="G103" i="23"/>
  <c r="B104" i="23"/>
  <c r="CK30" i="10"/>
  <c r="CK34" i="10"/>
  <c r="CK31" i="10"/>
  <c r="CK33" i="10"/>
  <c r="CK28" i="10"/>
  <c r="CK35" i="10"/>
  <c r="CK29" i="10"/>
  <c r="CK32" i="10"/>
  <c r="CN15" i="10"/>
  <c r="CN17" i="10"/>
  <c r="CN18" i="10"/>
  <c r="CN16" i="10"/>
  <c r="CM43" i="10"/>
  <c r="CM45" i="10"/>
  <c r="CM44" i="10"/>
  <c r="CN20" i="10"/>
  <c r="CN43" i="10" s="1"/>
  <c r="CN12" i="10"/>
  <c r="CN11" i="10"/>
  <c r="CN14" i="10"/>
  <c r="CN13" i="10"/>
  <c r="CK24" i="10"/>
  <c r="CK23" i="10"/>
  <c r="CK27" i="10"/>
  <c r="CK25" i="10"/>
  <c r="CK26" i="10"/>
  <c r="CI39" i="10"/>
  <c r="CI40" i="10" s="1"/>
  <c r="CI49" i="10" s="1"/>
  <c r="CJ36" i="10"/>
  <c r="CJ38" i="10" s="1"/>
  <c r="CL47" i="10"/>
  <c r="CO5" i="10"/>
  <c r="CN8" i="10"/>
  <c r="CN7" i="10"/>
  <c r="CN10" i="10"/>
  <c r="CN6" i="10"/>
  <c r="CN9" i="10"/>
  <c r="CN4" i="10"/>
  <c r="CM19" i="10"/>
  <c r="F104" i="23" l="1"/>
  <c r="B105" i="23"/>
  <c r="G104" i="23"/>
  <c r="CL30" i="10"/>
  <c r="CL35" i="10"/>
  <c r="CL33" i="10"/>
  <c r="CL28" i="10"/>
  <c r="CL32" i="10"/>
  <c r="CL31" i="10"/>
  <c r="CL29" i="10"/>
  <c r="CL34" i="10"/>
  <c r="CO16" i="10"/>
  <c r="CO15" i="10"/>
  <c r="CO18" i="10"/>
  <c r="CO17" i="10"/>
  <c r="CN45" i="10"/>
  <c r="CN44" i="10"/>
  <c r="CN46" i="10"/>
  <c r="CO20" i="10"/>
  <c r="CO46" i="10" s="1"/>
  <c r="CO13" i="10"/>
  <c r="CO12" i="10"/>
  <c r="CO11" i="10"/>
  <c r="CO14" i="10"/>
  <c r="CL24" i="10"/>
  <c r="CL27" i="10"/>
  <c r="CL23" i="10"/>
  <c r="CL25" i="10"/>
  <c r="CL26" i="10"/>
  <c r="CN19" i="10"/>
  <c r="CJ39" i="10"/>
  <c r="CJ40" i="10" s="1"/>
  <c r="CJ49" i="10" s="1"/>
  <c r="CK36" i="10"/>
  <c r="CK38" i="10" s="1"/>
  <c r="CO9" i="10"/>
  <c r="CO8" i="10"/>
  <c r="CO7" i="10"/>
  <c r="CO4" i="10"/>
  <c r="CO10" i="10"/>
  <c r="CO6" i="10"/>
  <c r="CP5" i="10"/>
  <c r="CM47" i="10"/>
  <c r="B106" i="23" l="1"/>
  <c r="F105" i="23"/>
  <c r="G105" i="23"/>
  <c r="CM29" i="10"/>
  <c r="CM33" i="10"/>
  <c r="CM30" i="10"/>
  <c r="CM32" i="10"/>
  <c r="CM34" i="10"/>
  <c r="CM31" i="10"/>
  <c r="CM35" i="10"/>
  <c r="CM28" i="10"/>
  <c r="CP17" i="10"/>
  <c r="CP16" i="10"/>
  <c r="CP15" i="10"/>
  <c r="CP18" i="10"/>
  <c r="CO43" i="10"/>
  <c r="CO45" i="10"/>
  <c r="CO44" i="10"/>
  <c r="CP20" i="10"/>
  <c r="CP44" i="10" s="1"/>
  <c r="CP13" i="10"/>
  <c r="CP12" i="10"/>
  <c r="CP11" i="10"/>
  <c r="CP14" i="10"/>
  <c r="CM24" i="10"/>
  <c r="CM23" i="10"/>
  <c r="CM27" i="10"/>
  <c r="CM26" i="10"/>
  <c r="CM25" i="10"/>
  <c r="CO19" i="10"/>
  <c r="CN47" i="10"/>
  <c r="CK39" i="10"/>
  <c r="CK40" i="10" s="1"/>
  <c r="CK49" i="10" s="1"/>
  <c r="CL36" i="10"/>
  <c r="CL38" i="10" s="1"/>
  <c r="CP6" i="10"/>
  <c r="CP10" i="10"/>
  <c r="CP9" i="10"/>
  <c r="CQ5" i="10"/>
  <c r="CP7" i="10"/>
  <c r="CP4" i="10"/>
  <c r="CP8" i="10"/>
  <c r="B107" i="23" l="1"/>
  <c r="F106" i="23"/>
  <c r="G106" i="23"/>
  <c r="CN31" i="10"/>
  <c r="CN29" i="10"/>
  <c r="CN33" i="10"/>
  <c r="CN28" i="10"/>
  <c r="CN34" i="10"/>
  <c r="CN35" i="10"/>
  <c r="CN32" i="10"/>
  <c r="CN30" i="10"/>
  <c r="CQ15" i="10"/>
  <c r="CQ17" i="10"/>
  <c r="CQ18" i="10"/>
  <c r="CQ16" i="10"/>
  <c r="CP45" i="10"/>
  <c r="CP43" i="10"/>
  <c r="CP46" i="10"/>
  <c r="CQ20" i="10"/>
  <c r="CQ46" i="10" s="1"/>
  <c r="CQ11" i="10"/>
  <c r="CQ13" i="10"/>
  <c r="CQ14" i="10"/>
  <c r="CQ12" i="10"/>
  <c r="CN24" i="10"/>
  <c r="CN27" i="10"/>
  <c r="CN25" i="10"/>
  <c r="CN23" i="10"/>
  <c r="CN26" i="10"/>
  <c r="CR5" i="10"/>
  <c r="CL39" i="10"/>
  <c r="CL40" i="10" s="1"/>
  <c r="CL49" i="10" s="1"/>
  <c r="CM36" i="10"/>
  <c r="CM38" i="10" s="1"/>
  <c r="CO47" i="10"/>
  <c r="CP19" i="10"/>
  <c r="CQ7" i="10"/>
  <c r="CQ6" i="10"/>
  <c r="CQ10" i="10"/>
  <c r="CQ9" i="10"/>
  <c r="CQ4" i="10"/>
  <c r="CQ8" i="10"/>
  <c r="B108" i="23" l="1"/>
  <c r="F107" i="23"/>
  <c r="G107" i="23"/>
  <c r="CO28" i="10"/>
  <c r="CO35" i="10"/>
  <c r="CO32" i="10"/>
  <c r="CO30" i="10"/>
  <c r="CO34" i="10"/>
  <c r="CO29" i="10"/>
  <c r="CO31" i="10"/>
  <c r="CO33" i="10"/>
  <c r="CR15" i="10"/>
  <c r="CR16" i="10"/>
  <c r="CR17" i="10"/>
  <c r="CR18" i="10"/>
  <c r="CQ44" i="10"/>
  <c r="CQ45" i="10"/>
  <c r="CQ43" i="10"/>
  <c r="CR20" i="10"/>
  <c r="CR46" i="10" s="1"/>
  <c r="CR12" i="10"/>
  <c r="CR11" i="10"/>
  <c r="CR13" i="10"/>
  <c r="CR14" i="10"/>
  <c r="CO27" i="10"/>
  <c r="CO24" i="10"/>
  <c r="CO25" i="10"/>
  <c r="CO23" i="10"/>
  <c r="CO26" i="10"/>
  <c r="CR4" i="10"/>
  <c r="CS5" i="10"/>
  <c r="CR8" i="10"/>
  <c r="CR10" i="10"/>
  <c r="CR7" i="10"/>
  <c r="CR9" i="10"/>
  <c r="CR6" i="10"/>
  <c r="CN36" i="10"/>
  <c r="CN38" i="10" s="1"/>
  <c r="CN39" i="10" s="1"/>
  <c r="CN40" i="10" s="1"/>
  <c r="CN49" i="10" s="1"/>
  <c r="CM39" i="10"/>
  <c r="CM40" i="10" s="1"/>
  <c r="CM49" i="10" s="1"/>
  <c r="CP47" i="10"/>
  <c r="CQ19" i="10"/>
  <c r="F108" i="23" l="1"/>
  <c r="G108" i="23"/>
  <c r="CP28" i="10"/>
  <c r="CP35" i="10"/>
  <c r="CP34" i="10"/>
  <c r="CP30" i="10"/>
  <c r="CP31" i="10"/>
  <c r="CP29" i="10"/>
  <c r="CP32" i="10"/>
  <c r="CP33" i="10"/>
  <c r="CS16" i="10"/>
  <c r="CS15" i="10"/>
  <c r="CS18" i="10"/>
  <c r="CS17" i="10"/>
  <c r="CR43" i="10"/>
  <c r="CR44" i="10"/>
  <c r="CR45" i="10"/>
  <c r="CS20" i="10"/>
  <c r="CS43" i="10" s="1"/>
  <c r="CS13" i="10"/>
  <c r="CS12" i="10"/>
  <c r="CS11" i="10"/>
  <c r="CS14" i="10"/>
  <c r="CP24" i="10"/>
  <c r="CP27" i="10"/>
  <c r="CP25" i="10"/>
  <c r="CP26" i="10"/>
  <c r="CP23" i="10"/>
  <c r="CS4" i="10"/>
  <c r="CT5" i="10"/>
  <c r="CS7" i="10"/>
  <c r="CS9" i="10"/>
  <c r="CS6" i="10"/>
  <c r="CS8" i="10"/>
  <c r="CS10" i="10"/>
  <c r="CR19" i="10"/>
  <c r="CO36" i="10"/>
  <c r="CO38" i="10" s="1"/>
  <c r="CQ47" i="10"/>
  <c r="CQ32" i="10" l="1"/>
  <c r="CQ33" i="10"/>
  <c r="CQ29" i="10"/>
  <c r="CQ30" i="10"/>
  <c r="CQ34" i="10"/>
  <c r="CQ31" i="10"/>
  <c r="CQ35" i="10"/>
  <c r="CQ28" i="10"/>
  <c r="CT17" i="10"/>
  <c r="CT16" i="10"/>
  <c r="CT18" i="10"/>
  <c r="CT15" i="10"/>
  <c r="CS44" i="10"/>
  <c r="CS45" i="10"/>
  <c r="CS46" i="10"/>
  <c r="CT20" i="10"/>
  <c r="CT46" i="10" s="1"/>
  <c r="CT13" i="10"/>
  <c r="CT12" i="10"/>
  <c r="CT11" i="10"/>
  <c r="CT14" i="10"/>
  <c r="CQ25" i="10"/>
  <c r="CQ23" i="10"/>
  <c r="CQ24" i="10"/>
  <c r="CQ26" i="10"/>
  <c r="CQ27" i="10"/>
  <c r="CR47" i="10"/>
  <c r="CS19" i="10"/>
  <c r="CT4" i="10"/>
  <c r="CT10" i="10"/>
  <c r="CT9" i="10"/>
  <c r="CU5" i="10"/>
  <c r="CT6" i="10"/>
  <c r="CT8" i="10"/>
  <c r="CT7" i="10"/>
  <c r="CO39" i="10"/>
  <c r="CO40" i="10" s="1"/>
  <c r="CO49" i="10" s="1"/>
  <c r="CP36" i="10"/>
  <c r="CP38" i="10" s="1"/>
  <c r="CR28" i="10" l="1"/>
  <c r="CR32" i="10"/>
  <c r="CR33" i="10"/>
  <c r="CR29" i="10"/>
  <c r="CR35" i="10"/>
  <c r="CR31" i="10"/>
  <c r="CR30" i="10"/>
  <c r="CR34" i="10"/>
  <c r="CU15" i="10"/>
  <c r="CU17" i="10"/>
  <c r="CU16" i="10"/>
  <c r="CU18" i="10"/>
  <c r="CT43" i="10"/>
  <c r="CT44" i="10"/>
  <c r="CT45" i="10"/>
  <c r="CU20" i="10"/>
  <c r="CU45" i="10" s="1"/>
  <c r="CU11" i="10"/>
  <c r="CU13" i="10"/>
  <c r="CU12" i="10"/>
  <c r="CU14" i="10"/>
  <c r="CR27" i="10"/>
  <c r="CR24" i="10"/>
  <c r="CR23" i="10"/>
  <c r="CR26" i="10"/>
  <c r="CR25" i="10"/>
  <c r="CS47" i="10"/>
  <c r="CV5" i="10"/>
  <c r="CU7" i="10"/>
  <c r="CU4" i="10"/>
  <c r="CU10" i="10"/>
  <c r="CU8" i="10"/>
  <c r="CU9" i="10"/>
  <c r="CU6" i="10"/>
  <c r="CT19" i="10"/>
  <c r="CP39" i="10"/>
  <c r="CP40" i="10" s="1"/>
  <c r="CP49" i="10" s="1"/>
  <c r="CQ36" i="10"/>
  <c r="CQ38" i="10" s="1"/>
  <c r="CS29" i="10" l="1"/>
  <c r="CS33" i="10"/>
  <c r="CS30" i="10"/>
  <c r="CS35" i="10"/>
  <c r="CS34" i="10"/>
  <c r="CS31" i="10"/>
  <c r="CS28" i="10"/>
  <c r="CS32" i="10"/>
  <c r="CV15" i="10"/>
  <c r="CV17" i="10"/>
  <c r="CV18" i="10"/>
  <c r="CV16" i="10"/>
  <c r="CU43" i="10"/>
  <c r="CU44" i="10"/>
  <c r="CU46" i="10"/>
  <c r="CV20" i="10"/>
  <c r="CV46" i="10" s="1"/>
  <c r="CV12" i="10"/>
  <c r="CV11" i="10"/>
  <c r="CV14" i="10"/>
  <c r="CV13" i="10"/>
  <c r="CS27" i="10"/>
  <c r="CS26" i="10"/>
  <c r="CS24" i="10"/>
  <c r="CS23" i="10"/>
  <c r="CS25" i="10"/>
  <c r="CR36" i="10"/>
  <c r="CR38" i="10" s="1"/>
  <c r="CR39" i="10" s="1"/>
  <c r="CR40" i="10" s="1"/>
  <c r="CR49" i="10" s="1"/>
  <c r="CV7" i="10"/>
  <c r="CV6" i="10"/>
  <c r="CV8" i="10"/>
  <c r="CV9" i="10"/>
  <c r="CV10" i="10"/>
  <c r="CV4" i="10"/>
  <c r="CW5" i="10"/>
  <c r="CU19" i="10"/>
  <c r="CT47" i="10"/>
  <c r="CQ39" i="10"/>
  <c r="CQ40" i="10" s="1"/>
  <c r="CQ49" i="10" s="1"/>
  <c r="B52" i="9"/>
  <c r="C33" i="31" s="1"/>
  <c r="B37" i="9"/>
  <c r="C18" i="31" s="1"/>
  <c r="B38" i="9"/>
  <c r="C19" i="31" s="1"/>
  <c r="B39" i="9"/>
  <c r="C20" i="31" s="1"/>
  <c r="B40" i="9"/>
  <c r="C21" i="31" s="1"/>
  <c r="B42" i="9"/>
  <c r="C23" i="31" s="1"/>
  <c r="B45" i="9"/>
  <c r="C26" i="31" s="1"/>
  <c r="B48" i="9"/>
  <c r="C29" i="31" s="1"/>
  <c r="B49" i="9"/>
  <c r="C30" i="31" s="1"/>
  <c r="B50" i="9"/>
  <c r="C31" i="31" s="1"/>
  <c r="B51" i="9"/>
  <c r="C32" i="31" s="1"/>
  <c r="B6" i="9"/>
  <c r="B29" i="9" s="1"/>
  <c r="C6" i="9"/>
  <c r="I169" i="1"/>
  <c r="J168" i="1"/>
  <c r="I168" i="1" s="1"/>
  <c r="I151" i="1"/>
  <c r="J13" i="30" l="1"/>
  <c r="CT29" i="10"/>
  <c r="CT35" i="10"/>
  <c r="CT30" i="10"/>
  <c r="CT31" i="10"/>
  <c r="CT28" i="10"/>
  <c r="CT34" i="10"/>
  <c r="CT33" i="10"/>
  <c r="CT32" i="10"/>
  <c r="CW16" i="10"/>
  <c r="CW15" i="10"/>
  <c r="CW18" i="10"/>
  <c r="CW17" i="10"/>
  <c r="CV44" i="10"/>
  <c r="CV45" i="10"/>
  <c r="CV43" i="10"/>
  <c r="CW20" i="10"/>
  <c r="CW46" i="10" s="1"/>
  <c r="CW13" i="10"/>
  <c r="CW12" i="10"/>
  <c r="CW11" i="10"/>
  <c r="CW14" i="10"/>
  <c r="CT24" i="10"/>
  <c r="CT27" i="10"/>
  <c r="CT25" i="10"/>
  <c r="CT23" i="10"/>
  <c r="CT26" i="10"/>
  <c r="CS36" i="10"/>
  <c r="CS38" i="10" s="1"/>
  <c r="CS39" i="10" s="1"/>
  <c r="CS40" i="10" s="1"/>
  <c r="CS49" i="10" s="1"/>
  <c r="CV19" i="10"/>
  <c r="CW9" i="10"/>
  <c r="CW6" i="10"/>
  <c r="CW10" i="10"/>
  <c r="CW4" i="10"/>
  <c r="CW7" i="10"/>
  <c r="CW8" i="10"/>
  <c r="CX5" i="10"/>
  <c r="CU47" i="10"/>
  <c r="M3" i="9"/>
  <c r="M2" i="9"/>
  <c r="C7" i="9"/>
  <c r="C5" i="9"/>
  <c r="B7" i="9"/>
  <c r="B30" i="9" s="1"/>
  <c r="C12" i="31" s="1"/>
  <c r="B5" i="9"/>
  <c r="B28" i="9" s="1"/>
  <c r="C10" i="31" s="1"/>
  <c r="H5" i="9"/>
  <c r="H6" i="9"/>
  <c r="K6" i="9"/>
  <c r="H7" i="9"/>
  <c r="K7" i="9"/>
  <c r="O5" i="9"/>
  <c r="M5" i="9"/>
  <c r="M6" i="9"/>
  <c r="O6" i="9"/>
  <c r="O4" i="9"/>
  <c r="M4" i="9"/>
  <c r="P142" i="1"/>
  <c r="P144" i="1" s="1"/>
  <c r="L142" i="1"/>
  <c r="L143" i="1" s="1"/>
  <c r="O3" i="9" l="1"/>
  <c r="G7" i="30"/>
  <c r="I163" i="1"/>
  <c r="J22" i="30" s="1"/>
  <c r="CU29" i="10"/>
  <c r="CU35" i="10"/>
  <c r="CU30" i="10"/>
  <c r="CU34" i="10"/>
  <c r="CU32" i="10"/>
  <c r="CU28" i="10"/>
  <c r="CU33" i="10"/>
  <c r="CU31" i="10"/>
  <c r="CX17" i="10"/>
  <c r="CX16" i="10"/>
  <c r="CX18" i="10"/>
  <c r="CX15" i="10"/>
  <c r="CW45" i="10"/>
  <c r="CW43" i="10"/>
  <c r="CW44" i="10"/>
  <c r="CX20" i="10"/>
  <c r="CX46" i="10" s="1"/>
  <c r="CX13" i="10"/>
  <c r="CX12" i="10"/>
  <c r="CX11" i="10"/>
  <c r="CX14" i="10"/>
  <c r="CU24" i="10"/>
  <c r="CU27" i="10"/>
  <c r="CU25" i="10"/>
  <c r="CU26" i="10"/>
  <c r="CU23" i="10"/>
  <c r="CV47" i="10"/>
  <c r="CW19" i="10"/>
  <c r="CT36" i="10"/>
  <c r="CT38" i="10" s="1"/>
  <c r="CT39" i="10" s="1"/>
  <c r="CT40" i="10" s="1"/>
  <c r="CT49" i="10" s="1"/>
  <c r="CX10" i="10"/>
  <c r="CX9" i="10"/>
  <c r="CX6" i="10"/>
  <c r="CX7" i="10"/>
  <c r="CX4" i="10"/>
  <c r="CY5" i="10"/>
  <c r="CX8" i="10"/>
  <c r="H152" i="1"/>
  <c r="H157" i="1"/>
  <c r="G143" i="1"/>
  <c r="C2" i="9"/>
  <c r="N54" i="1"/>
  <c r="J152" i="1" l="1"/>
  <c r="I14" i="30"/>
  <c r="K7" i="30"/>
  <c r="J7" i="30"/>
  <c r="J157" i="1"/>
  <c r="I18" i="30"/>
  <c r="E17" i="6"/>
  <c r="H167" i="1"/>
  <c r="CV28" i="10"/>
  <c r="CV30" i="10"/>
  <c r="CV35" i="10"/>
  <c r="CV31" i="10"/>
  <c r="CV34" i="10"/>
  <c r="CV29" i="10"/>
  <c r="CV33" i="10"/>
  <c r="CV32" i="10"/>
  <c r="CY15" i="10"/>
  <c r="CY17" i="10"/>
  <c r="CY16" i="10"/>
  <c r="CY18" i="10"/>
  <c r="CX44" i="10"/>
  <c r="CX45" i="10"/>
  <c r="CX43" i="10"/>
  <c r="CY20" i="10"/>
  <c r="CY45" i="10" s="1"/>
  <c r="CY11" i="10"/>
  <c r="CY13" i="10"/>
  <c r="CY12" i="10"/>
  <c r="CY14" i="10"/>
  <c r="G128" i="1"/>
  <c r="I128" i="1" s="1"/>
  <c r="G127" i="1"/>
  <c r="I127" i="1" s="1"/>
  <c r="CV27" i="10"/>
  <c r="CV26" i="10"/>
  <c r="CV24" i="10"/>
  <c r="CV23" i="10"/>
  <c r="CV25" i="10"/>
  <c r="I129" i="1"/>
  <c r="CW47" i="10"/>
  <c r="CX19" i="10"/>
  <c r="CY4" i="10"/>
  <c r="CY6" i="10"/>
  <c r="CY9" i="10"/>
  <c r="CY10" i="10"/>
  <c r="CZ5" i="10"/>
  <c r="CY8" i="10"/>
  <c r="CY7" i="10"/>
  <c r="CU36" i="10"/>
  <c r="CU38" i="10" s="1"/>
  <c r="CU39" i="10" s="1"/>
  <c r="CU40" i="10" s="1"/>
  <c r="CU49" i="10" s="1"/>
  <c r="J127" i="1" l="1"/>
  <c r="J128" i="1"/>
  <c r="J129" i="1"/>
  <c r="I157" i="1"/>
  <c r="K18" i="30"/>
  <c r="I152" i="1"/>
  <c r="K14" i="30"/>
  <c r="CW30" i="10"/>
  <c r="CW29" i="10"/>
  <c r="CW35" i="10"/>
  <c r="CW28" i="10"/>
  <c r="CW34" i="10"/>
  <c r="CW33" i="10"/>
  <c r="CW32" i="10"/>
  <c r="CW31" i="10"/>
  <c r="CZ15" i="10"/>
  <c r="CZ16" i="10"/>
  <c r="CZ17" i="10"/>
  <c r="CZ18" i="10"/>
  <c r="CY44" i="10"/>
  <c r="CY46" i="10"/>
  <c r="CY43" i="10"/>
  <c r="CZ20" i="10"/>
  <c r="CZ46" i="10" s="1"/>
  <c r="CZ12" i="10"/>
  <c r="CZ11" i="10"/>
  <c r="CZ14" i="10"/>
  <c r="CZ13" i="10"/>
  <c r="CW23" i="10"/>
  <c r="CW24" i="10"/>
  <c r="CW27" i="10"/>
  <c r="CW26" i="10"/>
  <c r="CW25" i="10"/>
  <c r="CV36" i="10"/>
  <c r="CV38" i="10" s="1"/>
  <c r="CV39" i="10" s="1"/>
  <c r="CV40" i="10" s="1"/>
  <c r="CV49" i="10" s="1"/>
  <c r="CY19" i="10"/>
  <c r="CZ7" i="10"/>
  <c r="CZ4" i="10"/>
  <c r="CZ6" i="10"/>
  <c r="CZ8" i="10"/>
  <c r="CZ10" i="10"/>
  <c r="CZ9" i="10"/>
  <c r="DA5" i="10"/>
  <c r="CX47" i="10"/>
  <c r="I149" i="1"/>
  <c r="J167" i="1"/>
  <c r="J170" i="1" s="1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2" i="8"/>
  <c r="K4" i="1"/>
  <c r="G5" i="3"/>
  <c r="D9" i="3"/>
  <c r="J4" i="7"/>
  <c r="J9" i="7" s="1"/>
  <c r="E5" i="6"/>
  <c r="D6" i="3"/>
  <c r="D7" i="3"/>
  <c r="H18" i="6"/>
  <c r="G18" i="6" s="1"/>
  <c r="J4" i="6"/>
  <c r="J8" i="6" s="1"/>
  <c r="G11" i="2"/>
  <c r="J4" i="2"/>
  <c r="J9" i="2" s="1"/>
  <c r="G2" i="3"/>
  <c r="G3" i="3"/>
  <c r="H4" i="3"/>
  <c r="H65" i="3" s="1"/>
  <c r="F11" i="1"/>
  <c r="J131" i="1" l="1"/>
  <c r="J14" i="30"/>
  <c r="J11" i="30"/>
  <c r="J18" i="30"/>
  <c r="J17" i="6"/>
  <c r="G76" i="3"/>
  <c r="CX29" i="10"/>
  <c r="CX35" i="10"/>
  <c r="CX30" i="10"/>
  <c r="CX34" i="10"/>
  <c r="CX28" i="10"/>
  <c r="CX31" i="10"/>
  <c r="CX33" i="10"/>
  <c r="CX32" i="10"/>
  <c r="DA16" i="10"/>
  <c r="DA15" i="10"/>
  <c r="DA18" i="10"/>
  <c r="DA17" i="10"/>
  <c r="CZ44" i="10"/>
  <c r="CZ43" i="10"/>
  <c r="CZ45" i="10"/>
  <c r="DA20" i="10"/>
  <c r="DA45" i="10" s="1"/>
  <c r="DA13" i="10"/>
  <c r="DA12" i="10"/>
  <c r="DA11" i="10"/>
  <c r="DA14" i="10"/>
  <c r="J8" i="7"/>
  <c r="F90" i="3"/>
  <c r="J89" i="3" s="1"/>
  <c r="K5" i="1"/>
  <c r="J11" i="7"/>
  <c r="J12" i="7"/>
  <c r="J13" i="7"/>
  <c r="CX23" i="10"/>
  <c r="CX24" i="10"/>
  <c r="CX27" i="10"/>
  <c r="CX25" i="10"/>
  <c r="CX26" i="10"/>
  <c r="D4" i="7"/>
  <c r="J11" i="2"/>
  <c r="J14" i="6"/>
  <c r="J15" i="6"/>
  <c r="F13" i="1"/>
  <c r="J14" i="7"/>
  <c r="CZ19" i="10"/>
  <c r="CW36" i="10"/>
  <c r="CW38" i="10" s="1"/>
  <c r="CW39" i="10" s="1"/>
  <c r="CW40" i="10" s="1"/>
  <c r="CW49" i="10" s="1"/>
  <c r="DA6" i="10"/>
  <c r="DA7" i="10"/>
  <c r="DA9" i="10"/>
  <c r="DB5" i="10"/>
  <c r="DA8" i="10"/>
  <c r="DA10" i="10"/>
  <c r="DA4" i="10"/>
  <c r="CY47" i="10"/>
  <c r="H16" i="3"/>
  <c r="H17" i="3"/>
  <c r="H20" i="3"/>
  <c r="H21" i="3"/>
  <c r="H18" i="3"/>
  <c r="H22" i="3"/>
  <c r="J7" i="6"/>
  <c r="J12" i="6"/>
  <c r="J7" i="2"/>
  <c r="J6" i="2"/>
  <c r="J5" i="2"/>
  <c r="J10" i="2"/>
  <c r="K4" i="11"/>
  <c r="H5" i="3"/>
  <c r="G15" i="7"/>
  <c r="J15" i="7" s="1"/>
  <c r="I167" i="1"/>
  <c r="I170" i="1" s="1"/>
  <c r="A170" i="1" s="1"/>
  <c r="K4" i="6"/>
  <c r="K8" i="6" s="1"/>
  <c r="K4" i="7"/>
  <c r="K9" i="7" s="1"/>
  <c r="J10" i="7"/>
  <c r="J6" i="7"/>
  <c r="J5" i="7"/>
  <c r="J7" i="7"/>
  <c r="J5" i="6"/>
  <c r="J11" i="6"/>
  <c r="J10" i="6"/>
  <c r="J9" i="6"/>
  <c r="I4" i="3"/>
  <c r="I65" i="3" s="1"/>
  <c r="K4" i="2"/>
  <c r="K9" i="2" s="1"/>
  <c r="J8" i="2"/>
  <c r="H3" i="3"/>
  <c r="H2" i="3"/>
  <c r="K6" i="30" l="1"/>
  <c r="H162" i="1"/>
  <c r="H14" i="9"/>
  <c r="H124" i="3"/>
  <c r="J150" i="1"/>
  <c r="CY29" i="10"/>
  <c r="CY35" i="10"/>
  <c r="CY34" i="10"/>
  <c r="CY30" i="10"/>
  <c r="CY32" i="10"/>
  <c r="CY31" i="10"/>
  <c r="CY33" i="10"/>
  <c r="CY28" i="10"/>
  <c r="DB17" i="10"/>
  <c r="DB16" i="10"/>
  <c r="DB15" i="10"/>
  <c r="DB18" i="10"/>
  <c r="DA46" i="10"/>
  <c r="DA43" i="10"/>
  <c r="DA44" i="10"/>
  <c r="DB20" i="10"/>
  <c r="DB43" i="10" s="1"/>
  <c r="DB13" i="10"/>
  <c r="DB12" i="10"/>
  <c r="DB11" i="10"/>
  <c r="DB14" i="10"/>
  <c r="K8" i="7"/>
  <c r="K8" i="11"/>
  <c r="K16" i="6"/>
  <c r="K17" i="6"/>
  <c r="K18" i="6"/>
  <c r="K15" i="7"/>
  <c r="K11" i="7"/>
  <c r="K13" i="7"/>
  <c r="K12" i="7"/>
  <c r="CY24" i="10"/>
  <c r="CY25" i="10"/>
  <c r="CY26" i="10"/>
  <c r="CY27" i="10"/>
  <c r="CY23" i="10"/>
  <c r="K11" i="2"/>
  <c r="K12" i="6"/>
  <c r="K14" i="6"/>
  <c r="K15" i="6"/>
  <c r="J16" i="7"/>
  <c r="K14" i="7"/>
  <c r="K10" i="7"/>
  <c r="CX36" i="10"/>
  <c r="CX38" i="10" s="1"/>
  <c r="CX39" i="10" s="1"/>
  <c r="CX40" i="10" s="1"/>
  <c r="CX49" i="10" s="1"/>
  <c r="CZ47" i="10"/>
  <c r="DB8" i="10"/>
  <c r="DC5" i="10"/>
  <c r="DB10" i="10"/>
  <c r="DB9" i="10"/>
  <c r="DB4" i="10"/>
  <c r="DB7" i="10"/>
  <c r="DB6" i="10"/>
  <c r="DA19" i="10"/>
  <c r="H76" i="3"/>
  <c r="J12" i="2"/>
  <c r="I16" i="3"/>
  <c r="I20" i="3"/>
  <c r="I21" i="3"/>
  <c r="I17" i="3"/>
  <c r="I18" i="3"/>
  <c r="I22" i="3"/>
  <c r="K7" i="2"/>
  <c r="K6" i="2"/>
  <c r="K5" i="6"/>
  <c r="K7" i="6"/>
  <c r="K10" i="2"/>
  <c r="K5" i="2"/>
  <c r="K11" i="6"/>
  <c r="K5" i="11"/>
  <c r="I5" i="3"/>
  <c r="L4" i="11"/>
  <c r="K7" i="11"/>
  <c r="K9" i="11"/>
  <c r="K13" i="6"/>
  <c r="K9" i="6"/>
  <c r="K5" i="7"/>
  <c r="K10" i="6"/>
  <c r="K6" i="6"/>
  <c r="K7" i="7"/>
  <c r="L4" i="7"/>
  <c r="L9" i="7" s="1"/>
  <c r="L4" i="6"/>
  <c r="L8" i="6" s="1"/>
  <c r="I3" i="3"/>
  <c r="K6" i="7"/>
  <c r="J4" i="3"/>
  <c r="J65" i="3" s="1"/>
  <c r="L4" i="2"/>
  <c r="L9" i="2" s="1"/>
  <c r="K8" i="2"/>
  <c r="I2" i="3"/>
  <c r="J6" i="30" l="1"/>
  <c r="J8" i="30" s="1"/>
  <c r="K8" i="30"/>
  <c r="K12" i="30"/>
  <c r="H104" i="3"/>
  <c r="H97" i="3"/>
  <c r="I14" i="9"/>
  <c r="I124" i="3"/>
  <c r="E16" i="6"/>
  <c r="J16" i="6" s="1"/>
  <c r="CZ30" i="10"/>
  <c r="CZ34" i="10"/>
  <c r="CZ33" i="10"/>
  <c r="CZ31" i="10"/>
  <c r="CZ35" i="10"/>
  <c r="CZ32" i="10"/>
  <c r="CZ28" i="10"/>
  <c r="CZ29" i="10"/>
  <c r="DC15" i="10"/>
  <c r="DC17" i="10"/>
  <c r="DC16" i="10"/>
  <c r="DC18" i="10"/>
  <c r="DB44" i="10"/>
  <c r="DB45" i="10"/>
  <c r="DB46" i="10"/>
  <c r="DC20" i="10"/>
  <c r="DC45" i="10" s="1"/>
  <c r="DC11" i="10"/>
  <c r="DC13" i="10"/>
  <c r="DC14" i="10"/>
  <c r="DC12" i="10"/>
  <c r="L8" i="7"/>
  <c r="L8" i="11"/>
  <c r="L16" i="6"/>
  <c r="L17" i="6"/>
  <c r="L18" i="6"/>
  <c r="L15" i="7"/>
  <c r="L11" i="7"/>
  <c r="L12" i="7"/>
  <c r="L13" i="7"/>
  <c r="CZ25" i="10"/>
  <c r="CZ23" i="10"/>
  <c r="CZ26" i="10"/>
  <c r="CZ27" i="10"/>
  <c r="CZ24" i="10"/>
  <c r="E16" i="7"/>
  <c r="I150" i="1"/>
  <c r="L11" i="2"/>
  <c r="L14" i="6"/>
  <c r="L15" i="6"/>
  <c r="L12" i="6"/>
  <c r="G7" i="3" a="1"/>
  <c r="G7" i="3" s="1"/>
  <c r="L14" i="7"/>
  <c r="G9" i="3" a="1"/>
  <c r="G9" i="3" s="1"/>
  <c r="G38" i="3" s="1"/>
  <c r="DC10" i="10"/>
  <c r="DC4" i="10"/>
  <c r="DD5" i="10"/>
  <c r="DC6" i="10"/>
  <c r="DC8" i="10"/>
  <c r="DC7" i="10"/>
  <c r="DC9" i="10"/>
  <c r="DA47" i="10"/>
  <c r="CY36" i="10"/>
  <c r="CY38" i="10" s="1"/>
  <c r="CY39" i="10" s="1"/>
  <c r="CY40" i="10" s="1"/>
  <c r="CY49" i="10" s="1"/>
  <c r="DB19" i="10"/>
  <c r="I76" i="3"/>
  <c r="K12" i="2"/>
  <c r="J16" i="3"/>
  <c r="J18" i="3"/>
  <c r="J17" i="3"/>
  <c r="J22" i="3"/>
  <c r="J20" i="3"/>
  <c r="J21" i="3"/>
  <c r="L6" i="2"/>
  <c r="L7" i="2"/>
  <c r="L7" i="6"/>
  <c r="L10" i="2"/>
  <c r="L5" i="2"/>
  <c r="L5" i="11"/>
  <c r="L9" i="11"/>
  <c r="L7" i="11"/>
  <c r="M4" i="11"/>
  <c r="J5" i="3"/>
  <c r="K5" i="9"/>
  <c r="H10" i="9"/>
  <c r="H12" i="9"/>
  <c r="H11" i="9"/>
  <c r="I16" i="9"/>
  <c r="K16" i="7"/>
  <c r="M4" i="7"/>
  <c r="M9" i="7" s="1"/>
  <c r="M4" i="6"/>
  <c r="M8" i="6" s="1"/>
  <c r="L11" i="6"/>
  <c r="L13" i="6"/>
  <c r="L9" i="6"/>
  <c r="L6" i="6"/>
  <c r="L5" i="6"/>
  <c r="L10" i="6"/>
  <c r="L6" i="7"/>
  <c r="L5" i="7"/>
  <c r="L7" i="7"/>
  <c r="L10" i="7"/>
  <c r="L8" i="2"/>
  <c r="K4" i="3"/>
  <c r="K65" i="3" s="1"/>
  <c r="M4" i="2"/>
  <c r="M9" i="2" s="1"/>
  <c r="J3" i="3"/>
  <c r="J2" i="3"/>
  <c r="H44" i="9" l="1"/>
  <c r="H43" i="9"/>
  <c r="I18" i="9"/>
  <c r="I19" i="9"/>
  <c r="H37" i="9"/>
  <c r="H41" i="9"/>
  <c r="H25" i="9"/>
  <c r="H23" i="9"/>
  <c r="H22" i="9"/>
  <c r="I32" i="9"/>
  <c r="H32" i="9"/>
  <c r="I15" i="9"/>
  <c r="J12" i="30"/>
  <c r="I104" i="3"/>
  <c r="I97" i="3"/>
  <c r="J14" i="9"/>
  <c r="J124" i="3"/>
  <c r="H47" i="9"/>
  <c r="F76" i="23"/>
  <c r="F80" i="23"/>
  <c r="F78" i="23"/>
  <c r="F79" i="23"/>
  <c r="F73" i="23"/>
  <c r="F77" i="23"/>
  <c r="F81" i="23"/>
  <c r="F74" i="23"/>
  <c r="F82" i="23"/>
  <c r="F75" i="23"/>
  <c r="H46" i="9"/>
  <c r="DA28" i="10"/>
  <c r="DA34" i="10"/>
  <c r="DA30" i="10"/>
  <c r="DA33" i="10"/>
  <c r="DA29" i="10"/>
  <c r="DA35" i="10"/>
  <c r="DA31" i="10"/>
  <c r="DA32" i="10"/>
  <c r="DD15" i="10"/>
  <c r="DD17" i="10"/>
  <c r="DD18" i="10"/>
  <c r="DD16" i="10"/>
  <c r="DC43" i="10"/>
  <c r="DC44" i="10"/>
  <c r="DC46" i="10"/>
  <c r="DD20" i="10"/>
  <c r="DD45" i="10" s="1"/>
  <c r="DD12" i="10"/>
  <c r="DD11" i="10"/>
  <c r="DD14" i="10"/>
  <c r="DD13" i="10"/>
  <c r="M8" i="7"/>
  <c r="G58" i="3"/>
  <c r="G40" i="3" s="1"/>
  <c r="J58" i="3"/>
  <c r="J40" i="3" s="1"/>
  <c r="M8" i="11"/>
  <c r="G63" i="3"/>
  <c r="J63" i="3"/>
  <c r="R4" i="23"/>
  <c r="M12" i="23" s="1"/>
  <c r="H11" i="11"/>
  <c r="G11" i="11" s="1"/>
  <c r="M11" i="11" s="1"/>
  <c r="M16" i="6"/>
  <c r="M17" i="6"/>
  <c r="M18" i="6"/>
  <c r="M15" i="7"/>
  <c r="M13" i="7"/>
  <c r="M12" i="7"/>
  <c r="M11" i="7"/>
  <c r="H24" i="9"/>
  <c r="H13" i="9"/>
  <c r="DA24" i="10"/>
  <c r="DA25" i="10"/>
  <c r="DA26" i="10"/>
  <c r="DA23" i="10"/>
  <c r="DA27" i="10"/>
  <c r="D16" i="7"/>
  <c r="F15" i="1"/>
  <c r="R31" i="1" s="1"/>
  <c r="M11" i="2"/>
  <c r="M15" i="6"/>
  <c r="M14" i="6"/>
  <c r="H7" i="3" a="1"/>
  <c r="H7" i="3" s="1"/>
  <c r="M14" i="7"/>
  <c r="H9" i="3" a="1"/>
  <c r="H9" i="3" s="1"/>
  <c r="H38" i="3" s="1"/>
  <c r="CZ36" i="10"/>
  <c r="CZ38" i="10" s="1"/>
  <c r="CZ39" i="10" s="1"/>
  <c r="CZ40" i="10" s="1"/>
  <c r="CZ49" i="10" s="1"/>
  <c r="DC19" i="10"/>
  <c r="DB47" i="10"/>
  <c r="DD9" i="10"/>
  <c r="DD8" i="10"/>
  <c r="DD6" i="10"/>
  <c r="DD7" i="10"/>
  <c r="DD4" i="10"/>
  <c r="DD10" i="10"/>
  <c r="L12" i="2"/>
  <c r="J76" i="3"/>
  <c r="K16" i="3"/>
  <c r="K17" i="3"/>
  <c r="K18" i="3"/>
  <c r="K20" i="3"/>
  <c r="K21" i="3"/>
  <c r="K22" i="3"/>
  <c r="M7" i="6"/>
  <c r="M12" i="6"/>
  <c r="I38" i="1"/>
  <c r="M7" i="2"/>
  <c r="M6" i="2"/>
  <c r="M5" i="2"/>
  <c r="M10" i="2"/>
  <c r="M5" i="11"/>
  <c r="N4" i="11"/>
  <c r="K5" i="3"/>
  <c r="M7" i="11"/>
  <c r="M9" i="11"/>
  <c r="I10" i="9"/>
  <c r="J16" i="9"/>
  <c r="I11" i="9"/>
  <c r="I12" i="9"/>
  <c r="I13" i="9"/>
  <c r="H42" i="9"/>
  <c r="H49" i="9"/>
  <c r="H38" i="9"/>
  <c r="H51" i="9"/>
  <c r="H45" i="9"/>
  <c r="L16" i="7"/>
  <c r="M5" i="6"/>
  <c r="M9" i="6"/>
  <c r="M13" i="6"/>
  <c r="M6" i="6"/>
  <c r="M10" i="6"/>
  <c r="M11" i="6"/>
  <c r="M5" i="7"/>
  <c r="M7" i="7"/>
  <c r="M6" i="7"/>
  <c r="M10" i="7"/>
  <c r="N4" i="6"/>
  <c r="N8" i="6" s="1"/>
  <c r="N4" i="7"/>
  <c r="N9" i="7" s="1"/>
  <c r="L4" i="3"/>
  <c r="L65" i="3" s="1"/>
  <c r="N4" i="2"/>
  <c r="N9" i="2" s="1"/>
  <c r="K3" i="3"/>
  <c r="M8" i="2"/>
  <c r="K2" i="3"/>
  <c r="I44" i="9" l="1"/>
  <c r="I43" i="9"/>
  <c r="J18" i="9"/>
  <c r="J19" i="9"/>
  <c r="I37" i="9"/>
  <c r="I41" i="9"/>
  <c r="J32" i="9"/>
  <c r="H26" i="9"/>
  <c r="H27" i="9" s="1"/>
  <c r="I25" i="9"/>
  <c r="I23" i="9"/>
  <c r="I22" i="9"/>
  <c r="I24" i="9"/>
  <c r="J15" i="9"/>
  <c r="J104" i="3"/>
  <c r="J97" i="3"/>
  <c r="K14" i="9"/>
  <c r="K124" i="3"/>
  <c r="I47" i="9"/>
  <c r="I46" i="9"/>
  <c r="DB28" i="10"/>
  <c r="DB35" i="10"/>
  <c r="DB33" i="10"/>
  <c r="DB30" i="10"/>
  <c r="DB32" i="10"/>
  <c r="DB29" i="10"/>
  <c r="DB34" i="10"/>
  <c r="DB31" i="10"/>
  <c r="DD44" i="10"/>
  <c r="DD43" i="10"/>
  <c r="DD46" i="10"/>
  <c r="I61" i="9" a="1"/>
  <c r="I61" i="9" s="1"/>
  <c r="I65" i="9" s="1"/>
  <c r="H61" i="9" a="1"/>
  <c r="H61" i="9" s="1"/>
  <c r="H65" i="9" s="1"/>
  <c r="N8" i="7"/>
  <c r="N8" i="11"/>
  <c r="M13" i="23"/>
  <c r="M14" i="23" s="1"/>
  <c r="M15" i="23" s="1"/>
  <c r="M16" i="23" s="1"/>
  <c r="M17" i="23" s="1"/>
  <c r="M18" i="23" s="1"/>
  <c r="M19" i="23" s="1"/>
  <c r="M20" i="23" s="1"/>
  <c r="M21" i="23" s="1"/>
  <c r="M22" i="23" s="1"/>
  <c r="M23" i="23" s="1"/>
  <c r="M24" i="23" s="1"/>
  <c r="M25" i="23" s="1"/>
  <c r="M26" i="23" s="1"/>
  <c r="M27" i="23" s="1"/>
  <c r="M28" i="23" s="1"/>
  <c r="M29" i="23" s="1"/>
  <c r="M30" i="23" s="1"/>
  <c r="M31" i="23" s="1"/>
  <c r="M32" i="23" s="1"/>
  <c r="M33" i="23" s="1"/>
  <c r="M34" i="23" s="1"/>
  <c r="M35" i="23" s="1"/>
  <c r="M36" i="23" s="1"/>
  <c r="M37" i="23" s="1"/>
  <c r="M38" i="23" s="1"/>
  <c r="M39" i="23" s="1"/>
  <c r="M40" i="23" s="1"/>
  <c r="M41" i="23" s="1"/>
  <c r="M42" i="23" s="1"/>
  <c r="M43" i="23" s="1"/>
  <c r="M44" i="23" s="1"/>
  <c r="M45" i="23" s="1"/>
  <c r="M46" i="23" s="1"/>
  <c r="M47" i="23" s="1"/>
  <c r="M48" i="23" s="1"/>
  <c r="M49" i="23" s="1"/>
  <c r="M50" i="23" s="1"/>
  <c r="M51" i="23" s="1"/>
  <c r="M52" i="23" s="1"/>
  <c r="M53" i="23" s="1"/>
  <c r="M54" i="23" s="1"/>
  <c r="M55" i="23" s="1"/>
  <c r="M56" i="23" s="1"/>
  <c r="M57" i="23" s="1"/>
  <c r="M58" i="23" s="1"/>
  <c r="M59" i="23" s="1"/>
  <c r="M60" i="23" s="1"/>
  <c r="M61" i="23" s="1"/>
  <c r="L11" i="11"/>
  <c r="N16" i="6"/>
  <c r="N17" i="6"/>
  <c r="N18" i="6"/>
  <c r="N15" i="7"/>
  <c r="N11" i="7"/>
  <c r="N12" i="7"/>
  <c r="N13" i="7"/>
  <c r="DB24" i="10"/>
  <c r="DB23" i="10"/>
  <c r="DB27" i="10"/>
  <c r="DB25" i="10"/>
  <c r="DB26" i="10"/>
  <c r="N11" i="2"/>
  <c r="N14" i="6"/>
  <c r="N15" i="6"/>
  <c r="I7" i="3" a="1"/>
  <c r="I7" i="3" s="1"/>
  <c r="N14" i="7"/>
  <c r="I9" i="3" a="1"/>
  <c r="I9" i="3" s="1"/>
  <c r="I38" i="3" s="1"/>
  <c r="J61" i="9" a="1"/>
  <c r="J61" i="9" s="1"/>
  <c r="DC47" i="10"/>
  <c r="DD19" i="10"/>
  <c r="G114" i="3" a="1"/>
  <c r="G114" i="3" s="1"/>
  <c r="J114" i="3" a="1"/>
  <c r="J114" i="3" s="1"/>
  <c r="I114" i="3" a="1"/>
  <c r="I114" i="3" s="1"/>
  <c r="H114" i="3" a="1"/>
  <c r="H114" i="3" s="1"/>
  <c r="DA36" i="10"/>
  <c r="DA38" i="10" s="1"/>
  <c r="DA39" i="10" s="1"/>
  <c r="DA40" i="10" s="1"/>
  <c r="DA49" i="10" s="1"/>
  <c r="L114" i="3" a="1"/>
  <c r="L114" i="3" s="1"/>
  <c r="K114" i="3" a="1"/>
  <c r="K114" i="3" s="1"/>
  <c r="K76" i="3"/>
  <c r="M12" i="2"/>
  <c r="L18" i="3"/>
  <c r="L20" i="3"/>
  <c r="L16" i="3"/>
  <c r="L17" i="3"/>
  <c r="L21" i="3"/>
  <c r="L22" i="3"/>
  <c r="N7" i="6"/>
  <c r="N12" i="6"/>
  <c r="N7" i="2"/>
  <c r="N6" i="2"/>
  <c r="N5" i="2"/>
  <c r="N10" i="2"/>
  <c r="N5" i="11"/>
  <c r="N9" i="11"/>
  <c r="N7" i="11"/>
  <c r="O4" i="11"/>
  <c r="L5" i="3"/>
  <c r="I38" i="9"/>
  <c r="I42" i="9"/>
  <c r="I51" i="9"/>
  <c r="I49" i="9"/>
  <c r="I45" i="9"/>
  <c r="J12" i="9"/>
  <c r="K16" i="9"/>
  <c r="J13" i="9"/>
  <c r="J10" i="9"/>
  <c r="J11" i="9"/>
  <c r="N5" i="7"/>
  <c r="N10" i="7"/>
  <c r="N6" i="7"/>
  <c r="N7" i="7"/>
  <c r="M16" i="7"/>
  <c r="O4" i="6"/>
  <c r="O8" i="6" s="1"/>
  <c r="O4" i="7"/>
  <c r="O9" i="7" s="1"/>
  <c r="N5" i="6"/>
  <c r="N11" i="6"/>
  <c r="N9" i="6"/>
  <c r="N10" i="6"/>
  <c r="N13" i="6"/>
  <c r="N8" i="2"/>
  <c r="M4" i="3"/>
  <c r="M58" i="3" s="1"/>
  <c r="O4" i="2"/>
  <c r="O9" i="2" s="1"/>
  <c r="L3" i="3"/>
  <c r="L2" i="3"/>
  <c r="J44" i="9" l="1"/>
  <c r="J43" i="9"/>
  <c r="K18" i="9"/>
  <c r="K19" i="9"/>
  <c r="I26" i="9"/>
  <c r="I33" i="9" s="1"/>
  <c r="J37" i="9"/>
  <c r="J41" i="9"/>
  <c r="K15" i="9"/>
  <c r="K32" i="9"/>
  <c r="J25" i="9"/>
  <c r="J24" i="9"/>
  <c r="J23" i="9"/>
  <c r="J22" i="9"/>
  <c r="K104" i="3"/>
  <c r="K97" i="3"/>
  <c r="L14" i="9"/>
  <c r="L124" i="3"/>
  <c r="J47" i="9"/>
  <c r="J46" i="9"/>
  <c r="DC29" i="10"/>
  <c r="DC35" i="10"/>
  <c r="DC33" i="10"/>
  <c r="DC30" i="10"/>
  <c r="DC28" i="10"/>
  <c r="DC34" i="10"/>
  <c r="DC31" i="10"/>
  <c r="DC32" i="10"/>
  <c r="O8" i="7"/>
  <c r="M65" i="3"/>
  <c r="M63" i="3"/>
  <c r="M40" i="3"/>
  <c r="O8" i="11"/>
  <c r="M62" i="23"/>
  <c r="O16" i="6"/>
  <c r="O17" i="6"/>
  <c r="O18" i="6"/>
  <c r="O15" i="7"/>
  <c r="O11" i="7"/>
  <c r="O13" i="7"/>
  <c r="O12" i="7"/>
  <c r="H20" i="9"/>
  <c r="H31" i="9" s="1"/>
  <c r="DC23" i="10"/>
  <c r="DC24" i="10"/>
  <c r="DC27" i="10"/>
  <c r="DC26" i="10"/>
  <c r="DC25" i="10"/>
  <c r="O11" i="2"/>
  <c r="O14" i="6"/>
  <c r="O15" i="6"/>
  <c r="J7" i="3" a="1"/>
  <c r="J7" i="3" s="1"/>
  <c r="O14" i="7"/>
  <c r="J9" i="3" a="1"/>
  <c r="J9" i="3" s="1"/>
  <c r="J38" i="3" s="1"/>
  <c r="DB36" i="10"/>
  <c r="DB38" i="10" s="1"/>
  <c r="DB39" i="10" s="1"/>
  <c r="DB40" i="10" s="1"/>
  <c r="DB49" i="10" s="1"/>
  <c r="DD47" i="10"/>
  <c r="M114" i="3" a="1"/>
  <c r="M114" i="3" s="1"/>
  <c r="K61" i="9" a="1"/>
  <c r="K61" i="9" s="1"/>
  <c r="N12" i="2"/>
  <c r="L76" i="3"/>
  <c r="M16" i="3"/>
  <c r="M17" i="3"/>
  <c r="M18" i="3"/>
  <c r="M20" i="3"/>
  <c r="M21" i="3"/>
  <c r="M22" i="3"/>
  <c r="O7" i="6"/>
  <c r="O12" i="6"/>
  <c r="O6" i="2"/>
  <c r="O7" i="2"/>
  <c r="O5" i="2"/>
  <c r="O10" i="2"/>
  <c r="J65" i="9"/>
  <c r="O5" i="11"/>
  <c r="M5" i="3"/>
  <c r="P4" i="11"/>
  <c r="O9" i="11"/>
  <c r="O7" i="11"/>
  <c r="K12" i="9"/>
  <c r="L16" i="9"/>
  <c r="K10" i="9"/>
  <c r="K11" i="9"/>
  <c r="K13" i="9"/>
  <c r="J45" i="9"/>
  <c r="J38" i="9"/>
  <c r="J42" i="9"/>
  <c r="J51" i="9"/>
  <c r="J49" i="9"/>
  <c r="N16" i="7"/>
  <c r="P4" i="7"/>
  <c r="P9" i="7" s="1"/>
  <c r="P4" i="6"/>
  <c r="P8" i="6" s="1"/>
  <c r="O6" i="7"/>
  <c r="O5" i="7"/>
  <c r="O10" i="7"/>
  <c r="O7" i="7"/>
  <c r="O5" i="6"/>
  <c r="O10" i="6"/>
  <c r="O9" i="6"/>
  <c r="O11" i="6"/>
  <c r="O8" i="2"/>
  <c r="N4" i="3"/>
  <c r="P4" i="2"/>
  <c r="P9" i="2" s="1"/>
  <c r="M3" i="3"/>
  <c r="M2" i="3"/>
  <c r="K44" i="9" l="1"/>
  <c r="K43" i="9"/>
  <c r="L19" i="9"/>
  <c r="L18" i="9"/>
  <c r="K37" i="9"/>
  <c r="K41" i="9"/>
  <c r="L32" i="9"/>
  <c r="K25" i="9"/>
  <c r="K24" i="9"/>
  <c r="K23" i="9"/>
  <c r="K22" i="9"/>
  <c r="J26" i="9"/>
  <c r="J27" i="9" s="1"/>
  <c r="I27" i="9"/>
  <c r="L15" i="9"/>
  <c r="L104" i="3"/>
  <c r="L97" i="3"/>
  <c r="M14" i="9"/>
  <c r="M124" i="3"/>
  <c r="H30" i="9"/>
  <c r="H29" i="9"/>
  <c r="K47" i="9"/>
  <c r="K46" i="9"/>
  <c r="H39" i="9"/>
  <c r="H28" i="9"/>
  <c r="DD31" i="10"/>
  <c r="DD30" i="10"/>
  <c r="DD28" i="10"/>
  <c r="DD34" i="10"/>
  <c r="DD33" i="10"/>
  <c r="DD32" i="10"/>
  <c r="DD35" i="10"/>
  <c r="DD29" i="10"/>
  <c r="N65" i="3"/>
  <c r="N58" i="3"/>
  <c r="P8" i="7"/>
  <c r="P8" i="11"/>
  <c r="M63" i="23"/>
  <c r="P16" i="6"/>
  <c r="P17" i="6"/>
  <c r="P18" i="6"/>
  <c r="P15" i="7"/>
  <c r="P11" i="7"/>
  <c r="P12" i="7"/>
  <c r="P13" i="7"/>
  <c r="H40" i="9"/>
  <c r="I17" i="9"/>
  <c r="DD24" i="10"/>
  <c r="DD27" i="10"/>
  <c r="DD25" i="10"/>
  <c r="DD23" i="10"/>
  <c r="DD26" i="10"/>
  <c r="P11" i="2"/>
  <c r="P14" i="6"/>
  <c r="P15" i="6"/>
  <c r="K7" i="3" a="1"/>
  <c r="K7" i="3" s="1"/>
  <c r="P14" i="7"/>
  <c r="K9" i="3" a="1"/>
  <c r="K9" i="3" s="1"/>
  <c r="K38" i="3" s="1"/>
  <c r="DC36" i="10"/>
  <c r="DC38" i="10" s="1"/>
  <c r="DC39" i="10" s="1"/>
  <c r="DC40" i="10" s="1"/>
  <c r="DC49" i="10" s="1"/>
  <c r="N114" i="3" a="1"/>
  <c r="N114" i="3" s="1"/>
  <c r="L61" i="9" a="1"/>
  <c r="L61" i="9" s="1"/>
  <c r="O12" i="2"/>
  <c r="M76" i="3"/>
  <c r="N16" i="3"/>
  <c r="N17" i="3"/>
  <c r="N18" i="3"/>
  <c r="N21" i="3"/>
  <c r="N22" i="3"/>
  <c r="N20" i="3"/>
  <c r="P7" i="6"/>
  <c r="P12" i="6"/>
  <c r="P6" i="2"/>
  <c r="P7" i="2"/>
  <c r="P5" i="2"/>
  <c r="P10" i="2"/>
  <c r="K65" i="9"/>
  <c r="P5" i="11"/>
  <c r="P9" i="11"/>
  <c r="P7" i="11"/>
  <c r="Q4" i="11"/>
  <c r="N5" i="3"/>
  <c r="L12" i="9"/>
  <c r="L10" i="9"/>
  <c r="L11" i="9"/>
  <c r="M16" i="9"/>
  <c r="L13" i="9"/>
  <c r="K49" i="9"/>
  <c r="K45" i="9"/>
  <c r="K42" i="9"/>
  <c r="K51" i="9"/>
  <c r="K38" i="9"/>
  <c r="P11" i="6"/>
  <c r="P10" i="6"/>
  <c r="P9" i="6"/>
  <c r="P5" i="6"/>
  <c r="Q4" i="7"/>
  <c r="Q9" i="7" s="1"/>
  <c r="Q4" i="6"/>
  <c r="Q8" i="6" s="1"/>
  <c r="P6" i="7"/>
  <c r="P5" i="7"/>
  <c r="P7" i="7"/>
  <c r="P10" i="7"/>
  <c r="O16" i="7"/>
  <c r="O4" i="3"/>
  <c r="Q4" i="2"/>
  <c r="Q9" i="2" s="1"/>
  <c r="N3" i="3"/>
  <c r="P8" i="2"/>
  <c r="N2" i="3"/>
  <c r="L44" i="9" l="1"/>
  <c r="L43" i="9"/>
  <c r="M19" i="9"/>
  <c r="M18" i="9"/>
  <c r="L37" i="9"/>
  <c r="L41" i="9"/>
  <c r="M32" i="9"/>
  <c r="K26" i="9"/>
  <c r="K27" i="9" s="1"/>
  <c r="L25" i="9"/>
  <c r="L23" i="9"/>
  <c r="L22" i="9"/>
  <c r="L24" i="9"/>
  <c r="J33" i="9"/>
  <c r="M15" i="9"/>
  <c r="M104" i="3"/>
  <c r="M97" i="3"/>
  <c r="N14" i="9"/>
  <c r="N124" i="3"/>
  <c r="L47" i="9"/>
  <c r="L46" i="9"/>
  <c r="O65" i="3"/>
  <c r="O58" i="3"/>
  <c r="Q8" i="7"/>
  <c r="Q8" i="11"/>
  <c r="M64" i="23"/>
  <c r="Q16" i="6"/>
  <c r="Q17" i="6"/>
  <c r="Q18" i="6"/>
  <c r="Q15" i="7"/>
  <c r="Q12" i="7"/>
  <c r="Q13" i="7"/>
  <c r="Q11" i="7"/>
  <c r="I20" i="9"/>
  <c r="H33" i="9"/>
  <c r="H34" i="9" s="1"/>
  <c r="Q11" i="2"/>
  <c r="Q15" i="6"/>
  <c r="Q14" i="6"/>
  <c r="L7" i="3" a="1"/>
  <c r="L7" i="3" s="1"/>
  <c r="Q14" i="7"/>
  <c r="L9" i="3" a="1"/>
  <c r="L9" i="3" s="1"/>
  <c r="L38" i="3" s="1"/>
  <c r="DD36" i="10"/>
  <c r="DD38" i="10" s="1"/>
  <c r="DD39" i="10" s="1"/>
  <c r="DD40" i="10" s="1"/>
  <c r="DD49" i="10" s="1"/>
  <c r="O114" i="3" a="1"/>
  <c r="O114" i="3" s="1"/>
  <c r="M61" i="9" a="1"/>
  <c r="M61" i="9" s="1"/>
  <c r="N76" i="3"/>
  <c r="P12" i="2"/>
  <c r="M7" i="3" s="1" a="1"/>
  <c r="M7" i="3" s="1"/>
  <c r="O16" i="3"/>
  <c r="O17" i="3"/>
  <c r="O18" i="3"/>
  <c r="O20" i="3"/>
  <c r="O21" i="3"/>
  <c r="O22" i="3"/>
  <c r="Q7" i="6"/>
  <c r="Q12" i="6"/>
  <c r="L65" i="9"/>
  <c r="Q7" i="2"/>
  <c r="Q6" i="2"/>
  <c r="Q5" i="2"/>
  <c r="Q10" i="2"/>
  <c r="Q5" i="11"/>
  <c r="Q9" i="11"/>
  <c r="Q7" i="11"/>
  <c r="R4" i="11"/>
  <c r="O5" i="3"/>
  <c r="L42" i="9"/>
  <c r="L51" i="9"/>
  <c r="L38" i="9"/>
  <c r="L49" i="9"/>
  <c r="L45" i="9"/>
  <c r="M12" i="9"/>
  <c r="M10" i="9"/>
  <c r="N16" i="9"/>
  <c r="M13" i="9"/>
  <c r="M11" i="9"/>
  <c r="R4" i="6"/>
  <c r="R8" i="6" s="1"/>
  <c r="R4" i="7"/>
  <c r="R9" i="7" s="1"/>
  <c r="Q5" i="6"/>
  <c r="Q9" i="6"/>
  <c r="Q10" i="6"/>
  <c r="Q11" i="6"/>
  <c r="Q6" i="7"/>
  <c r="Q10" i="7"/>
  <c r="Q7" i="7"/>
  <c r="Q5" i="7"/>
  <c r="P16" i="7"/>
  <c r="Q8" i="2"/>
  <c r="P4" i="3"/>
  <c r="R4" i="2"/>
  <c r="R9" i="2" s="1"/>
  <c r="O3" i="3"/>
  <c r="O2" i="3"/>
  <c r="M44" i="9" l="1"/>
  <c r="M43" i="9"/>
  <c r="N19" i="9"/>
  <c r="N18" i="9"/>
  <c r="M37" i="9"/>
  <c r="M41" i="9"/>
  <c r="I30" i="9"/>
  <c r="I31" i="9"/>
  <c r="N32" i="9"/>
  <c r="K33" i="9"/>
  <c r="M25" i="9"/>
  <c r="M23" i="9"/>
  <c r="M24" i="9"/>
  <c r="M22" i="9"/>
  <c r="L26" i="9"/>
  <c r="I29" i="9"/>
  <c r="I28" i="9"/>
  <c r="N15" i="9"/>
  <c r="N104" i="3"/>
  <c r="N97" i="3"/>
  <c r="O14" i="9"/>
  <c r="O124" i="3"/>
  <c r="M47" i="9"/>
  <c r="M46" i="9"/>
  <c r="R8" i="7"/>
  <c r="P65" i="3"/>
  <c r="R8" i="11"/>
  <c r="M65" i="23"/>
  <c r="R16" i="6"/>
  <c r="R17" i="6"/>
  <c r="R18" i="6"/>
  <c r="R15" i="7"/>
  <c r="R11" i="7"/>
  <c r="R12" i="7"/>
  <c r="R13" i="7"/>
  <c r="H50" i="9"/>
  <c r="H58" i="9"/>
  <c r="H59" i="9" s="1"/>
  <c r="I39" i="9"/>
  <c r="I40" i="9"/>
  <c r="J17" i="9"/>
  <c r="J20" i="9" s="1"/>
  <c r="J31" i="9" s="1"/>
  <c r="R11" i="2"/>
  <c r="R14" i="6"/>
  <c r="R15" i="6"/>
  <c r="R14" i="7"/>
  <c r="M9" i="3" a="1"/>
  <c r="M9" i="3" s="1"/>
  <c r="M38" i="3" s="1"/>
  <c r="P114" i="3" a="1"/>
  <c r="P114" i="3" s="1"/>
  <c r="N61" i="9" a="1"/>
  <c r="N61" i="9" s="1"/>
  <c r="O76" i="3"/>
  <c r="Q12" i="2"/>
  <c r="N7" i="3" s="1" a="1"/>
  <c r="N7" i="3" s="1"/>
  <c r="P16" i="3"/>
  <c r="P18" i="3"/>
  <c r="P21" i="3"/>
  <c r="P17" i="3"/>
  <c r="P20" i="3"/>
  <c r="P22" i="3"/>
  <c r="R7" i="6"/>
  <c r="R12" i="6"/>
  <c r="R7" i="2"/>
  <c r="R6" i="2"/>
  <c r="R5" i="2"/>
  <c r="R10" i="2"/>
  <c r="M65" i="9"/>
  <c r="R5" i="11"/>
  <c r="R9" i="11"/>
  <c r="R7" i="11"/>
  <c r="S4" i="11"/>
  <c r="P5" i="3"/>
  <c r="M49" i="9"/>
  <c r="M42" i="9"/>
  <c r="M45" i="9"/>
  <c r="M51" i="9"/>
  <c r="M38" i="9"/>
  <c r="N12" i="9"/>
  <c r="O16" i="9"/>
  <c r="N10" i="9"/>
  <c r="N11" i="9"/>
  <c r="N13" i="9"/>
  <c r="R6" i="7"/>
  <c r="R7" i="7"/>
  <c r="R10" i="7"/>
  <c r="R5" i="7"/>
  <c r="S4" i="6"/>
  <c r="S8" i="6" s="1"/>
  <c r="S4" i="7"/>
  <c r="S9" i="7" s="1"/>
  <c r="Q16" i="7"/>
  <c r="R5" i="6"/>
  <c r="R9" i="6"/>
  <c r="R10" i="6"/>
  <c r="R11" i="6"/>
  <c r="R8" i="2"/>
  <c r="Q4" i="3"/>
  <c r="S4" i="2"/>
  <c r="S9" i="2" s="1"/>
  <c r="P3" i="3"/>
  <c r="P2" i="3"/>
  <c r="N44" i="9" l="1"/>
  <c r="N43" i="9"/>
  <c r="O19" i="9"/>
  <c r="O18" i="9"/>
  <c r="N37" i="9"/>
  <c r="N41" i="9"/>
  <c r="O32" i="9"/>
  <c r="M26" i="9"/>
  <c r="M27" i="9" s="1"/>
  <c r="N25" i="9"/>
  <c r="N24" i="9"/>
  <c r="N23" i="9"/>
  <c r="N22" i="9"/>
  <c r="L27" i="9"/>
  <c r="L33" i="9"/>
  <c r="J29" i="9"/>
  <c r="J28" i="9"/>
  <c r="J30" i="9"/>
  <c r="I34" i="9"/>
  <c r="O15" i="9"/>
  <c r="O104" i="3"/>
  <c r="O97" i="3"/>
  <c r="P14" i="9"/>
  <c r="P124" i="3"/>
  <c r="N47" i="9"/>
  <c r="J39" i="9"/>
  <c r="N46" i="9"/>
  <c r="S8" i="7"/>
  <c r="Q65" i="3"/>
  <c r="S8" i="11"/>
  <c r="M66" i="23"/>
  <c r="S16" i="6"/>
  <c r="S17" i="6"/>
  <c r="S18" i="6"/>
  <c r="S15" i="7"/>
  <c r="S11" i="7"/>
  <c r="S13" i="7"/>
  <c r="S12" i="7"/>
  <c r="K17" i="9"/>
  <c r="K20" i="9" s="1"/>
  <c r="K31" i="9" s="1"/>
  <c r="J40" i="9"/>
  <c r="O61" i="9" a="1"/>
  <c r="O61" i="9" s="1"/>
  <c r="S11" i="2"/>
  <c r="S15" i="6"/>
  <c r="S14" i="6"/>
  <c r="S14" i="7"/>
  <c r="N9" i="3" a="1"/>
  <c r="N9" i="3" s="1"/>
  <c r="N38" i="3" s="1"/>
  <c r="N65" i="9"/>
  <c r="Q114" i="3" a="1"/>
  <c r="Q114" i="3" s="1"/>
  <c r="P76" i="3"/>
  <c r="R12" i="2"/>
  <c r="O7" i="3" s="1" a="1"/>
  <c r="O7" i="3" s="1"/>
  <c r="Q17" i="3"/>
  <c r="Q20" i="3"/>
  <c r="Q16" i="3"/>
  <c r="Q22" i="3"/>
  <c r="Q18" i="3"/>
  <c r="Q21" i="3"/>
  <c r="S7" i="6"/>
  <c r="S12" i="6"/>
  <c r="S6" i="2"/>
  <c r="S7" i="2"/>
  <c r="S5" i="2"/>
  <c r="S10" i="2"/>
  <c r="S5" i="11"/>
  <c r="T4" i="11"/>
  <c r="Q5" i="3"/>
  <c r="S9" i="11"/>
  <c r="S7" i="11"/>
  <c r="O12" i="9"/>
  <c r="O11" i="9"/>
  <c r="O10" i="9"/>
  <c r="P16" i="9"/>
  <c r="O13" i="9"/>
  <c r="N51" i="9"/>
  <c r="N49" i="9"/>
  <c r="N38" i="9"/>
  <c r="N42" i="9"/>
  <c r="N45" i="9"/>
  <c r="S5" i="6"/>
  <c r="S11" i="6"/>
  <c r="S6" i="6"/>
  <c r="S13" i="6"/>
  <c r="S9" i="6"/>
  <c r="S10" i="6"/>
  <c r="R16" i="7"/>
  <c r="T4" i="7"/>
  <c r="T9" i="7" s="1"/>
  <c r="T4" i="6"/>
  <c r="T8" i="6" s="1"/>
  <c r="S6" i="7"/>
  <c r="S7" i="7"/>
  <c r="S5" i="7"/>
  <c r="S10" i="7"/>
  <c r="R4" i="3"/>
  <c r="T4" i="2"/>
  <c r="T9" i="2" s="1"/>
  <c r="Q3" i="3"/>
  <c r="S8" i="2"/>
  <c r="Q2" i="3"/>
  <c r="O44" i="9" l="1"/>
  <c r="O43" i="9"/>
  <c r="P18" i="9"/>
  <c r="P19" i="9"/>
  <c r="O37" i="9"/>
  <c r="O41" i="9"/>
  <c r="P32" i="9"/>
  <c r="M33" i="9"/>
  <c r="O25" i="9"/>
  <c r="O24" i="9"/>
  <c r="O22" i="9"/>
  <c r="O23" i="9"/>
  <c r="K29" i="9"/>
  <c r="K30" i="9"/>
  <c r="K28" i="9"/>
  <c r="J34" i="9"/>
  <c r="N26" i="9"/>
  <c r="P15" i="9"/>
  <c r="P104" i="3"/>
  <c r="P97" i="3"/>
  <c r="Q14" i="9"/>
  <c r="Q124" i="3"/>
  <c r="O47" i="9"/>
  <c r="O46" i="9"/>
  <c r="T8" i="7"/>
  <c r="R65" i="3"/>
  <c r="T8" i="11"/>
  <c r="M67" i="23"/>
  <c r="T16" i="6"/>
  <c r="T17" i="6"/>
  <c r="T18" i="6"/>
  <c r="T15" i="7"/>
  <c r="T11" i="7"/>
  <c r="T12" i="7"/>
  <c r="T13" i="7"/>
  <c r="I50" i="9"/>
  <c r="I58" i="9"/>
  <c r="I59" i="9" s="1"/>
  <c r="L17" i="9"/>
  <c r="L20" i="9" s="1"/>
  <c r="L31" i="9" s="1"/>
  <c r="K39" i="9"/>
  <c r="K40" i="9"/>
  <c r="P61" i="9" a="1"/>
  <c r="P61" i="9" s="1"/>
  <c r="T11" i="2"/>
  <c r="T14" i="6"/>
  <c r="T15" i="6"/>
  <c r="T14" i="7"/>
  <c r="O9" i="3" a="1"/>
  <c r="O9" i="3" s="1"/>
  <c r="O38" i="3" s="1"/>
  <c r="O65" i="9"/>
  <c r="R114" i="3" a="1"/>
  <c r="R114" i="3" s="1"/>
  <c r="Q76" i="3"/>
  <c r="S12" i="2"/>
  <c r="P7" i="3" s="1" a="1"/>
  <c r="P7" i="3" s="1"/>
  <c r="S19" i="6"/>
  <c r="R16" i="3"/>
  <c r="R17" i="3"/>
  <c r="R18" i="3"/>
  <c r="R20" i="3"/>
  <c r="R22" i="3"/>
  <c r="R21" i="3"/>
  <c r="T7" i="6"/>
  <c r="T12" i="6"/>
  <c r="T6" i="2"/>
  <c r="T7" i="2"/>
  <c r="T5" i="2"/>
  <c r="T10" i="2"/>
  <c r="T5" i="11"/>
  <c r="U4" i="11"/>
  <c r="R5" i="3"/>
  <c r="T7" i="11"/>
  <c r="T9" i="11"/>
  <c r="P12" i="9"/>
  <c r="P10" i="9"/>
  <c r="Q16" i="9"/>
  <c r="P11" i="9"/>
  <c r="P13" i="9"/>
  <c r="O51" i="9"/>
  <c r="O42" i="9"/>
  <c r="O45" i="9"/>
  <c r="O38" i="9"/>
  <c r="O49" i="9"/>
  <c r="T6" i="6"/>
  <c r="T10" i="6"/>
  <c r="T9" i="6"/>
  <c r="T11" i="6"/>
  <c r="T13" i="6"/>
  <c r="T5" i="6"/>
  <c r="T10" i="7"/>
  <c r="T5" i="7"/>
  <c r="T6" i="7"/>
  <c r="T7" i="7"/>
  <c r="U4" i="7"/>
  <c r="U9" i="7" s="1"/>
  <c r="U4" i="6"/>
  <c r="U8" i="6" s="1"/>
  <c r="S16" i="7"/>
  <c r="T8" i="2"/>
  <c r="S4" i="3"/>
  <c r="U4" i="2"/>
  <c r="U9" i="2" s="1"/>
  <c r="R3" i="3"/>
  <c r="R2" i="3"/>
  <c r="P44" i="9" l="1"/>
  <c r="P43" i="9"/>
  <c r="Q18" i="9"/>
  <c r="Q19" i="9"/>
  <c r="P37" i="9"/>
  <c r="P41" i="9"/>
  <c r="Q32" i="9"/>
  <c r="P25" i="9"/>
  <c r="P22" i="9"/>
  <c r="P23" i="9"/>
  <c r="P24" i="9"/>
  <c r="N27" i="9"/>
  <c r="O26" i="9"/>
  <c r="O27" i="9" s="1"/>
  <c r="L29" i="9"/>
  <c r="L28" i="9"/>
  <c r="L30" i="9"/>
  <c r="K34" i="9"/>
  <c r="N33" i="9"/>
  <c r="Q15" i="9"/>
  <c r="Q104" i="3"/>
  <c r="Q97" i="3"/>
  <c r="R14" i="9"/>
  <c r="R124" i="3"/>
  <c r="P47" i="9"/>
  <c r="P46" i="9"/>
  <c r="U8" i="7"/>
  <c r="S65" i="3"/>
  <c r="L39" i="9"/>
  <c r="U8" i="11"/>
  <c r="M68" i="23"/>
  <c r="U16" i="6"/>
  <c r="U17" i="6"/>
  <c r="U18" i="6"/>
  <c r="U15" i="7"/>
  <c r="U11" i="7"/>
  <c r="U13" i="7"/>
  <c r="U12" i="7"/>
  <c r="J50" i="9"/>
  <c r="J58" i="9"/>
  <c r="J59" i="9" s="1"/>
  <c r="M17" i="9"/>
  <c r="M20" i="9" s="1"/>
  <c r="M31" i="9" s="1"/>
  <c r="Q61" i="9" a="1"/>
  <c r="Q61" i="9" s="1"/>
  <c r="Q24" i="3" s="1" a="1"/>
  <c r="Q24" i="3" s="1"/>
  <c r="L40" i="9"/>
  <c r="S114" i="3" a="1"/>
  <c r="S114" i="3" s="1"/>
  <c r="U11" i="2"/>
  <c r="U15" i="6"/>
  <c r="U14" i="6"/>
  <c r="U14" i="7"/>
  <c r="P6" i="3" a="1"/>
  <c r="P6" i="3" s="1"/>
  <c r="P9" i="3" a="1"/>
  <c r="P9" i="3" s="1"/>
  <c r="P38" i="3" s="1"/>
  <c r="P65" i="9"/>
  <c r="T12" i="2"/>
  <c r="Q7" i="3" s="1" a="1"/>
  <c r="Q7" i="3" s="1"/>
  <c r="R76" i="3"/>
  <c r="T19" i="6"/>
  <c r="S16" i="3"/>
  <c r="S17" i="3"/>
  <c r="S18" i="3"/>
  <c r="S20" i="3"/>
  <c r="S21" i="3"/>
  <c r="S22" i="3"/>
  <c r="U7" i="6"/>
  <c r="U12" i="6"/>
  <c r="U7" i="2"/>
  <c r="U6" i="2"/>
  <c r="U5" i="2"/>
  <c r="U10" i="2"/>
  <c r="U5" i="11"/>
  <c r="V4" i="11"/>
  <c r="S5" i="3"/>
  <c r="U9" i="11"/>
  <c r="U6" i="11"/>
  <c r="U7" i="11"/>
  <c r="Q12" i="9"/>
  <c r="Q13" i="9"/>
  <c r="Q10" i="9"/>
  <c r="Q11" i="9"/>
  <c r="R16" i="9"/>
  <c r="P42" i="9"/>
  <c r="P45" i="9"/>
  <c r="P49" i="9"/>
  <c r="P51" i="9"/>
  <c r="P38" i="9"/>
  <c r="T16" i="7"/>
  <c r="V4" i="6"/>
  <c r="V8" i="6" s="1"/>
  <c r="V4" i="7"/>
  <c r="V9" i="7" s="1"/>
  <c r="U5" i="6"/>
  <c r="U6" i="6"/>
  <c r="U10" i="6"/>
  <c r="U9" i="6"/>
  <c r="U11" i="6"/>
  <c r="U13" i="6"/>
  <c r="U5" i="7"/>
  <c r="U7" i="7"/>
  <c r="U6" i="7"/>
  <c r="U10" i="7"/>
  <c r="U8" i="2"/>
  <c r="T4" i="3"/>
  <c r="V4" i="2"/>
  <c r="V9" i="2" s="1"/>
  <c r="S3" i="3"/>
  <c r="S2" i="3"/>
  <c r="Q44" i="9" l="1"/>
  <c r="Q43" i="9"/>
  <c r="R18" i="9"/>
  <c r="R19" i="9"/>
  <c r="Q37" i="9"/>
  <c r="Q41" i="9"/>
  <c r="R32" i="9"/>
  <c r="O33" i="9"/>
  <c r="Q25" i="9"/>
  <c r="Q23" i="9"/>
  <c r="Q24" i="9"/>
  <c r="Q22" i="9"/>
  <c r="M29" i="9"/>
  <c r="M28" i="9"/>
  <c r="M30" i="9"/>
  <c r="P26" i="9"/>
  <c r="P27" i="9" s="1"/>
  <c r="L34" i="9"/>
  <c r="R15" i="9"/>
  <c r="R104" i="3"/>
  <c r="R97" i="3"/>
  <c r="S14" i="9"/>
  <c r="S124" i="3"/>
  <c r="Q47" i="9"/>
  <c r="Q46" i="9"/>
  <c r="V8" i="7"/>
  <c r="M39" i="9"/>
  <c r="V8" i="11"/>
  <c r="M69" i="23"/>
  <c r="T65" i="3"/>
  <c r="V16" i="6"/>
  <c r="V17" i="6"/>
  <c r="V18" i="6"/>
  <c r="V15" i="7"/>
  <c r="V11" i="7"/>
  <c r="V12" i="7"/>
  <c r="V13" i="7"/>
  <c r="K50" i="9"/>
  <c r="K58" i="9"/>
  <c r="K59" i="9" s="1"/>
  <c r="N17" i="9"/>
  <c r="N20" i="9" s="1"/>
  <c r="N31" i="9" s="1"/>
  <c r="R61" i="9" a="1"/>
  <c r="R61" i="9" s="1"/>
  <c r="R24" i="3" s="1" a="1"/>
  <c r="R24" i="3" s="1"/>
  <c r="M40" i="9"/>
  <c r="T114" i="3" a="1"/>
  <c r="T114" i="3" s="1"/>
  <c r="V11" i="2"/>
  <c r="V14" i="6"/>
  <c r="V15" i="6"/>
  <c r="V14" i="7"/>
  <c r="Q6" i="3" a="1"/>
  <c r="Q6" i="3" s="1"/>
  <c r="Q9" i="3" a="1"/>
  <c r="Q9" i="3" s="1"/>
  <c r="Q38" i="3" s="1"/>
  <c r="U12" i="2"/>
  <c r="R7" i="3" s="1" a="1"/>
  <c r="R7" i="3" s="1"/>
  <c r="S76" i="3"/>
  <c r="U19" i="6"/>
  <c r="T16" i="3"/>
  <c r="T17" i="3"/>
  <c r="T18" i="3"/>
  <c r="T21" i="3"/>
  <c r="T20" i="3"/>
  <c r="T22" i="3"/>
  <c r="V7" i="6"/>
  <c r="V12" i="6"/>
  <c r="V7" i="2"/>
  <c r="V6" i="2"/>
  <c r="V5" i="2"/>
  <c r="V10" i="2"/>
  <c r="Q65" i="9"/>
  <c r="Q25" i="3" s="1" a="1"/>
  <c r="Q25" i="3" s="1"/>
  <c r="Q26" i="3" s="1"/>
  <c r="V5" i="11"/>
  <c r="W4" i="11"/>
  <c r="T5" i="3"/>
  <c r="V9" i="11"/>
  <c r="V7" i="11"/>
  <c r="R12" i="9"/>
  <c r="R11" i="9"/>
  <c r="R10" i="9"/>
  <c r="S16" i="9"/>
  <c r="R13" i="9"/>
  <c r="Q49" i="9"/>
  <c r="Q38" i="9"/>
  <c r="Q45" i="9"/>
  <c r="Q42" i="9"/>
  <c r="Q51" i="9"/>
  <c r="W4" i="6"/>
  <c r="W8" i="6" s="1"/>
  <c r="W4" i="7"/>
  <c r="W9" i="7" s="1"/>
  <c r="V10" i="7"/>
  <c r="V6" i="7"/>
  <c r="V7" i="7"/>
  <c r="V5" i="7"/>
  <c r="U16" i="7"/>
  <c r="V13" i="6"/>
  <c r="V10" i="6"/>
  <c r="V9" i="6"/>
  <c r="V11" i="6"/>
  <c r="V5" i="6"/>
  <c r="V6" i="6"/>
  <c r="V8" i="2"/>
  <c r="W4" i="2"/>
  <c r="W9" i="2" s="1"/>
  <c r="U4" i="3"/>
  <c r="T3" i="3"/>
  <c r="T2" i="3"/>
  <c r="R44" i="9" l="1"/>
  <c r="R43" i="9"/>
  <c r="S18" i="9"/>
  <c r="S19" i="9"/>
  <c r="R37" i="9"/>
  <c r="R41" i="9"/>
  <c r="S15" i="9"/>
  <c r="S32" i="9"/>
  <c r="P33" i="9"/>
  <c r="M34" i="9"/>
  <c r="N29" i="9"/>
  <c r="N28" i="9"/>
  <c r="N30" i="9"/>
  <c r="Q26" i="9"/>
  <c r="Q27" i="9" s="1"/>
  <c r="R25" i="9"/>
  <c r="R22" i="9"/>
  <c r="R24" i="9"/>
  <c r="R23" i="9"/>
  <c r="S104" i="3"/>
  <c r="S97" i="3"/>
  <c r="T14" i="9"/>
  <c r="T124" i="3"/>
  <c r="R47" i="9"/>
  <c r="R46" i="9"/>
  <c r="W8" i="7"/>
  <c r="U65" i="3"/>
  <c r="N39" i="9"/>
  <c r="W8" i="11"/>
  <c r="M70" i="23"/>
  <c r="W16" i="6"/>
  <c r="W17" i="6"/>
  <c r="W18" i="6"/>
  <c r="W15" i="7"/>
  <c r="W11" i="7"/>
  <c r="W13" i="7"/>
  <c r="W12" i="7"/>
  <c r="O17" i="9"/>
  <c r="S61" i="9" a="1"/>
  <c r="S61" i="9" s="1"/>
  <c r="S24" i="3" s="1" a="1"/>
  <c r="S24" i="3" s="1"/>
  <c r="N40" i="9"/>
  <c r="U114" i="3" a="1"/>
  <c r="U114" i="3" s="1"/>
  <c r="W11" i="2"/>
  <c r="W14" i="6"/>
  <c r="W15" i="6"/>
  <c r="W14" i="7"/>
  <c r="R6" i="3" a="1"/>
  <c r="R6" i="3" s="1"/>
  <c r="R9" i="3" a="1"/>
  <c r="R9" i="3" s="1"/>
  <c r="R38" i="3" s="1"/>
  <c r="R65" i="9"/>
  <c r="R25" i="3" s="1" a="1"/>
  <c r="R25" i="3" s="1"/>
  <c r="R26" i="3" s="1"/>
  <c r="T76" i="3"/>
  <c r="V12" i="2"/>
  <c r="S7" i="3" s="1" a="1"/>
  <c r="S7" i="3" s="1"/>
  <c r="V19" i="6"/>
  <c r="U16" i="3"/>
  <c r="U18" i="3"/>
  <c r="U17" i="3"/>
  <c r="U21" i="3"/>
  <c r="U20" i="3"/>
  <c r="U22" i="3"/>
  <c r="W7" i="6"/>
  <c r="W12" i="6"/>
  <c r="W7" i="2"/>
  <c r="W6" i="2"/>
  <c r="W5" i="2"/>
  <c r="W10" i="2"/>
  <c r="W5" i="11"/>
  <c r="W7" i="11"/>
  <c r="W9" i="11"/>
  <c r="X4" i="11"/>
  <c r="U5" i="3"/>
  <c r="S12" i="9"/>
  <c r="S13" i="9"/>
  <c r="S10" i="9"/>
  <c r="S11" i="9"/>
  <c r="T16" i="9"/>
  <c r="R49" i="9"/>
  <c r="R45" i="9"/>
  <c r="R42" i="9"/>
  <c r="R51" i="9"/>
  <c r="R38" i="9"/>
  <c r="U2" i="3"/>
  <c r="V16" i="7"/>
  <c r="W6" i="7"/>
  <c r="W7" i="7"/>
  <c r="W5" i="7"/>
  <c r="W10" i="7"/>
  <c r="W11" i="6"/>
  <c r="W5" i="6"/>
  <c r="W10" i="6"/>
  <c r="W9" i="6"/>
  <c r="W13" i="6"/>
  <c r="W6" i="6"/>
  <c r="X4" i="7"/>
  <c r="X9" i="7" s="1"/>
  <c r="X4" i="6"/>
  <c r="X8" i="6" s="1"/>
  <c r="W8" i="2"/>
  <c r="X4" i="2"/>
  <c r="X9" i="2" s="1"/>
  <c r="V4" i="3"/>
  <c r="U3" i="3"/>
  <c r="S44" i="9" l="1"/>
  <c r="S43" i="9"/>
  <c r="T15" i="9"/>
  <c r="T19" i="9"/>
  <c r="T18" i="9"/>
  <c r="S37" i="9"/>
  <c r="S41" i="9"/>
  <c r="Q33" i="9"/>
  <c r="N34" i="9"/>
  <c r="S25" i="9"/>
  <c r="S23" i="9"/>
  <c r="S24" i="9"/>
  <c r="S22" i="9"/>
  <c r="R26" i="9"/>
  <c r="R27" i="9" s="1"/>
  <c r="T104" i="3"/>
  <c r="T97" i="3"/>
  <c r="U14" i="9"/>
  <c r="U124" i="3"/>
  <c r="S47" i="9"/>
  <c r="S46" i="9"/>
  <c r="X8" i="7"/>
  <c r="V65" i="3"/>
  <c r="X8" i="11"/>
  <c r="M71" i="23"/>
  <c r="X16" i="6"/>
  <c r="X17" i="6"/>
  <c r="X18" i="6"/>
  <c r="X15" i="7"/>
  <c r="X11" i="7"/>
  <c r="X12" i="7"/>
  <c r="X13" i="7"/>
  <c r="L50" i="9"/>
  <c r="L58" i="9"/>
  <c r="L59" i="9" s="1"/>
  <c r="O20" i="9"/>
  <c r="O31" i="9" s="1"/>
  <c r="T61" i="9" a="1"/>
  <c r="T61" i="9" s="1"/>
  <c r="T24" i="3" s="1" a="1"/>
  <c r="T24" i="3" s="1"/>
  <c r="V114" i="3" a="1"/>
  <c r="V114" i="3" s="1"/>
  <c r="X11" i="2"/>
  <c r="X14" i="6"/>
  <c r="X15" i="6"/>
  <c r="X14" i="7"/>
  <c r="S6" i="3" a="1"/>
  <c r="S6" i="3" s="1"/>
  <c r="S9" i="3" a="1"/>
  <c r="S9" i="3" s="1"/>
  <c r="S38" i="3" s="1"/>
  <c r="U76" i="3"/>
  <c r="W12" i="2"/>
  <c r="T7" i="3" s="1" a="1"/>
  <c r="T7" i="3" s="1"/>
  <c r="W19" i="6"/>
  <c r="V20" i="3"/>
  <c r="V16" i="3"/>
  <c r="V21" i="3"/>
  <c r="V22" i="3"/>
  <c r="V17" i="3"/>
  <c r="V18" i="3"/>
  <c r="X7" i="6"/>
  <c r="X12" i="6"/>
  <c r="X6" i="2"/>
  <c r="X7" i="2"/>
  <c r="X5" i="2"/>
  <c r="X10" i="2"/>
  <c r="S65" i="9"/>
  <c r="S25" i="3" s="1" a="1"/>
  <c r="S25" i="3" s="1"/>
  <c r="S26" i="3" s="1"/>
  <c r="X5" i="11"/>
  <c r="Y4" i="11"/>
  <c r="V5" i="3"/>
  <c r="X6" i="11"/>
  <c r="X9" i="11"/>
  <c r="X7" i="11"/>
  <c r="T12" i="9"/>
  <c r="T11" i="9"/>
  <c r="T13" i="9"/>
  <c r="U16" i="9"/>
  <c r="T10" i="9"/>
  <c r="S51" i="9"/>
  <c r="S38" i="9"/>
  <c r="S45" i="9"/>
  <c r="S42" i="9"/>
  <c r="S49" i="9"/>
  <c r="V2" i="3"/>
  <c r="W16" i="7"/>
  <c r="Y4" i="7"/>
  <c r="Y9" i="7" s="1"/>
  <c r="Y4" i="6"/>
  <c r="Y8" i="6" s="1"/>
  <c r="X11" i="6"/>
  <c r="X9" i="6"/>
  <c r="X13" i="6"/>
  <c r="X10" i="6"/>
  <c r="X6" i="6"/>
  <c r="X5" i="6"/>
  <c r="X6" i="7"/>
  <c r="X5" i="7"/>
  <c r="X10" i="7"/>
  <c r="X7" i="7"/>
  <c r="X8" i="2"/>
  <c r="Y4" i="2"/>
  <c r="Y9" i="2" s="1"/>
  <c r="W4" i="3"/>
  <c r="V3" i="3"/>
  <c r="T44" i="9" l="1"/>
  <c r="T43" i="9"/>
  <c r="U15" i="9"/>
  <c r="U19" i="9"/>
  <c r="U18" i="9"/>
  <c r="T37" i="9"/>
  <c r="T41" i="9"/>
  <c r="S26" i="9"/>
  <c r="S27" i="9" s="1"/>
  <c r="T25" i="9"/>
  <c r="T23" i="9"/>
  <c r="T22" i="9"/>
  <c r="T24" i="9"/>
  <c r="T32" i="9" s="1"/>
  <c r="O29" i="9"/>
  <c r="O28" i="9"/>
  <c r="O30" i="9"/>
  <c r="R33" i="9"/>
  <c r="U104" i="3"/>
  <c r="U97" i="3"/>
  <c r="V14" i="9"/>
  <c r="V124" i="3"/>
  <c r="T47" i="9"/>
  <c r="T46" i="9"/>
  <c r="Y8" i="7"/>
  <c r="W65" i="3"/>
  <c r="Y8" i="11"/>
  <c r="M72" i="23"/>
  <c r="Y16" i="6"/>
  <c r="Y17" i="6"/>
  <c r="Y18" i="6"/>
  <c r="Y15" i="7"/>
  <c r="Y11" i="7"/>
  <c r="Y12" i="7"/>
  <c r="Y13" i="7"/>
  <c r="M50" i="9"/>
  <c r="M58" i="9"/>
  <c r="M59" i="9" s="1"/>
  <c r="O40" i="9"/>
  <c r="O39" i="9"/>
  <c r="P17" i="9"/>
  <c r="H62" i="9"/>
  <c r="U61" i="9" a="1"/>
  <c r="U61" i="9" s="1"/>
  <c r="U24" i="3" s="1" a="1"/>
  <c r="U24" i="3" s="1"/>
  <c r="W114" i="3" a="1"/>
  <c r="W114" i="3" s="1"/>
  <c r="Y11" i="2"/>
  <c r="Y15" i="6"/>
  <c r="Y14" i="6"/>
  <c r="Y14" i="7"/>
  <c r="T6" i="3" a="1"/>
  <c r="T6" i="3" s="1"/>
  <c r="T9" i="3" a="1"/>
  <c r="T9" i="3" s="1"/>
  <c r="T65" i="9"/>
  <c r="T25" i="3" s="1" a="1"/>
  <c r="T25" i="3" s="1"/>
  <c r="T26" i="3" s="1"/>
  <c r="X12" i="2"/>
  <c r="U7" i="3" s="1" a="1"/>
  <c r="U7" i="3" s="1"/>
  <c r="V76" i="3"/>
  <c r="X19" i="6"/>
  <c r="W16" i="3"/>
  <c r="W17" i="3"/>
  <c r="W18" i="3"/>
  <c r="W20" i="3"/>
  <c r="W21" i="3"/>
  <c r="W22" i="3"/>
  <c r="Y7" i="6"/>
  <c r="Y12" i="6"/>
  <c r="W2" i="3"/>
  <c r="Y6" i="2"/>
  <c r="Y7" i="2"/>
  <c r="Y5" i="2"/>
  <c r="Y10" i="2"/>
  <c r="Y5" i="11"/>
  <c r="Y7" i="11"/>
  <c r="Y9" i="11"/>
  <c r="Z4" i="11"/>
  <c r="W5" i="3"/>
  <c r="T51" i="9"/>
  <c r="T38" i="9"/>
  <c r="T45" i="9"/>
  <c r="T49" i="9"/>
  <c r="T42" i="9"/>
  <c r="U12" i="9"/>
  <c r="U10" i="9"/>
  <c r="U11" i="9"/>
  <c r="V16" i="9"/>
  <c r="U13" i="9"/>
  <c r="Y10" i="7"/>
  <c r="Y7" i="7"/>
  <c r="Y6" i="7"/>
  <c r="Y5" i="7"/>
  <c r="Z4" i="6"/>
  <c r="Z8" i="6" s="1"/>
  <c r="Z4" i="7"/>
  <c r="Z9" i="7" s="1"/>
  <c r="X16" i="7"/>
  <c r="Y13" i="6"/>
  <c r="Y9" i="6"/>
  <c r="Y10" i="6"/>
  <c r="Y6" i="6"/>
  <c r="Y5" i="6"/>
  <c r="Y11" i="6"/>
  <c r="Z4" i="2"/>
  <c r="Z9" i="2" s="1"/>
  <c r="W3" i="3"/>
  <c r="X4" i="3"/>
  <c r="Y8" i="2"/>
  <c r="U44" i="9" l="1"/>
  <c r="U43" i="9"/>
  <c r="V15" i="9"/>
  <c r="V19" i="9"/>
  <c r="V18" i="9"/>
  <c r="U37" i="9"/>
  <c r="U41" i="9"/>
  <c r="S33" i="9"/>
  <c r="O34" i="9"/>
  <c r="T26" i="9"/>
  <c r="T33" i="9" s="1"/>
  <c r="U25" i="9"/>
  <c r="U24" i="9"/>
  <c r="U32" i="9" s="1"/>
  <c r="U23" i="9"/>
  <c r="U22" i="9"/>
  <c r="V104" i="3"/>
  <c r="V97" i="3"/>
  <c r="W14" i="9"/>
  <c r="W124" i="3"/>
  <c r="U47" i="9"/>
  <c r="U46" i="9"/>
  <c r="Z8" i="7"/>
  <c r="X65" i="3"/>
  <c r="Z8" i="11"/>
  <c r="M73" i="23"/>
  <c r="Q72" i="23"/>
  <c r="P72" i="23"/>
  <c r="Z16" i="6"/>
  <c r="Z17" i="6"/>
  <c r="Z18" i="6"/>
  <c r="I62" i="9"/>
  <c r="Z15" i="7"/>
  <c r="Z11" i="7"/>
  <c r="Z12" i="7"/>
  <c r="Z13" i="7"/>
  <c r="N50" i="9"/>
  <c r="N58" i="9"/>
  <c r="N59" i="9" s="1"/>
  <c r="P20" i="9"/>
  <c r="P31" i="9" s="1"/>
  <c r="V61" i="9" a="1"/>
  <c r="V61" i="9" s="1"/>
  <c r="J62" i="9" s="1"/>
  <c r="X114" i="3" a="1"/>
  <c r="X114" i="3" s="1"/>
  <c r="Z11" i="2"/>
  <c r="Z14" i="6"/>
  <c r="Z15" i="6"/>
  <c r="Z14" i="7"/>
  <c r="U6" i="3" a="1"/>
  <c r="U6" i="3" s="1"/>
  <c r="U9" i="3" a="1"/>
  <c r="U9" i="3" s="1"/>
  <c r="U65" i="9"/>
  <c r="U25" i="3" s="1" a="1"/>
  <c r="U25" i="3" s="1"/>
  <c r="U26" i="3" s="1"/>
  <c r="X2" i="3"/>
  <c r="X124" i="3" s="1"/>
  <c r="W76" i="3"/>
  <c r="Y12" i="2"/>
  <c r="V7" i="3" s="1" a="1"/>
  <c r="V7" i="3" s="1"/>
  <c r="Y19" i="6"/>
  <c r="X16" i="3"/>
  <c r="X17" i="3"/>
  <c r="X20" i="3"/>
  <c r="X21" i="3"/>
  <c r="X18" i="3"/>
  <c r="X22" i="3"/>
  <c r="Z7" i="6"/>
  <c r="Z12" i="6"/>
  <c r="Z7" i="2"/>
  <c r="Z6" i="2"/>
  <c r="Z5" i="2"/>
  <c r="Z10" i="2"/>
  <c r="Z5" i="11"/>
  <c r="AA4" i="11"/>
  <c r="X5" i="3"/>
  <c r="Z6" i="11"/>
  <c r="Z7" i="11"/>
  <c r="Z11" i="11"/>
  <c r="Z9" i="11"/>
  <c r="U51" i="9"/>
  <c r="U42" i="9"/>
  <c r="U49" i="9"/>
  <c r="U38" i="9"/>
  <c r="U45" i="9"/>
  <c r="V12" i="9"/>
  <c r="V10" i="9"/>
  <c r="V13" i="9"/>
  <c r="W16" i="9"/>
  <c r="V11" i="9"/>
  <c r="Z5" i="7"/>
  <c r="Z10" i="7"/>
  <c r="Z6" i="7"/>
  <c r="Z7" i="7"/>
  <c r="AA4" i="6"/>
  <c r="AA8" i="6" s="1"/>
  <c r="AA4" i="7"/>
  <c r="AA9" i="7" s="1"/>
  <c r="Z9" i="6"/>
  <c r="Z11" i="6"/>
  <c r="Z5" i="6"/>
  <c r="Z10" i="6"/>
  <c r="Z13" i="6"/>
  <c r="Z6" i="6"/>
  <c r="Y16" i="7"/>
  <c r="AA4" i="2"/>
  <c r="AA9" i="2" s="1"/>
  <c r="X3" i="3"/>
  <c r="Y4" i="3"/>
  <c r="Z8" i="2"/>
  <c r="V44" i="9" l="1"/>
  <c r="V43" i="9"/>
  <c r="W15" i="9"/>
  <c r="W18" i="9"/>
  <c r="W19" i="9"/>
  <c r="V37" i="9"/>
  <c r="V41" i="9"/>
  <c r="V25" i="9"/>
  <c r="V24" i="9"/>
  <c r="V32" i="9" s="1"/>
  <c r="V23" i="9"/>
  <c r="V22" i="9"/>
  <c r="P39" i="9"/>
  <c r="P29" i="9"/>
  <c r="P28" i="9"/>
  <c r="P30" i="9"/>
  <c r="T27" i="9"/>
  <c r="U26" i="9"/>
  <c r="U27" i="9" s="1"/>
  <c r="W104" i="3"/>
  <c r="W97" i="3"/>
  <c r="X104" i="3"/>
  <c r="X97" i="3"/>
  <c r="Y2" i="3"/>
  <c r="X14" i="9"/>
  <c r="V47" i="9"/>
  <c r="V46" i="9"/>
  <c r="AA8" i="7"/>
  <c r="Y65" i="3"/>
  <c r="AA8" i="11"/>
  <c r="M74" i="23"/>
  <c r="P73" i="23"/>
  <c r="Q73" i="23"/>
  <c r="AA16" i="6"/>
  <c r="AA17" i="6"/>
  <c r="AA18" i="6"/>
  <c r="AA15" i="7"/>
  <c r="AA11" i="7"/>
  <c r="AA13" i="7"/>
  <c r="AA12" i="7"/>
  <c r="O50" i="9"/>
  <c r="O58" i="9"/>
  <c r="O59" i="9" s="1"/>
  <c r="Q17" i="9"/>
  <c r="P40" i="9"/>
  <c r="V24" i="3" a="1"/>
  <c r="V24" i="3" s="1"/>
  <c r="W61" i="9" a="1"/>
  <c r="W61" i="9" s="1"/>
  <c r="K62" i="9" s="1"/>
  <c r="Y114" i="3" a="1"/>
  <c r="Y114" i="3" s="1"/>
  <c r="AA11" i="2"/>
  <c r="AA15" i="6"/>
  <c r="AA14" i="6"/>
  <c r="AA14" i="7"/>
  <c r="V6" i="3" a="1"/>
  <c r="V6" i="3" s="1"/>
  <c r="V9" i="3" a="1"/>
  <c r="V9" i="3" s="1"/>
  <c r="V65" i="9"/>
  <c r="V25" i="3" s="1" a="1"/>
  <c r="V25" i="3" s="1"/>
  <c r="X76" i="3"/>
  <c r="Z12" i="2"/>
  <c r="W7" i="3" s="1" a="1"/>
  <c r="W7" i="3" s="1"/>
  <c r="Z19" i="6"/>
  <c r="Y17" i="3"/>
  <c r="Y18" i="3"/>
  <c r="Y16" i="3"/>
  <c r="Y22" i="3"/>
  <c r="Y21" i="3"/>
  <c r="Y20" i="3"/>
  <c r="AA7" i="6"/>
  <c r="AA12" i="6"/>
  <c r="AA7" i="2"/>
  <c r="AA6" i="2"/>
  <c r="AA5" i="2"/>
  <c r="AA10" i="2"/>
  <c r="AA5" i="11"/>
  <c r="AA7" i="11"/>
  <c r="AA6" i="11"/>
  <c r="AA9" i="11"/>
  <c r="AA11" i="11"/>
  <c r="AB4" i="11"/>
  <c r="Y5" i="3"/>
  <c r="V45" i="9"/>
  <c r="V42" i="9"/>
  <c r="V49" i="9"/>
  <c r="V51" i="9"/>
  <c r="V38" i="9"/>
  <c r="W12" i="9"/>
  <c r="W13" i="9"/>
  <c r="W10" i="9"/>
  <c r="W11" i="9"/>
  <c r="X16" i="9"/>
  <c r="AB4" i="7"/>
  <c r="AB9" i="7" s="1"/>
  <c r="AB4" i="6"/>
  <c r="AB8" i="6" s="1"/>
  <c r="AA6" i="7"/>
  <c r="AA10" i="7"/>
  <c r="AA7" i="7"/>
  <c r="AA5" i="7"/>
  <c r="AA5" i="6"/>
  <c r="AA11" i="6"/>
  <c r="AA6" i="6"/>
  <c r="AA13" i="6"/>
  <c r="AA9" i="6"/>
  <c r="AA10" i="6"/>
  <c r="Z16" i="7"/>
  <c r="AB4" i="2"/>
  <c r="AB9" i="2" s="1"/>
  <c r="Y3" i="3"/>
  <c r="Z4" i="3"/>
  <c r="Z58" i="3" s="1"/>
  <c r="AA8" i="2"/>
  <c r="W44" i="9" l="1"/>
  <c r="W43" i="9"/>
  <c r="X15" i="9"/>
  <c r="X18" i="9"/>
  <c r="X19" i="9"/>
  <c r="W37" i="9"/>
  <c r="W41" i="9"/>
  <c r="P34" i="9"/>
  <c r="U33" i="9"/>
  <c r="V26" i="9"/>
  <c r="W25" i="9"/>
  <c r="W24" i="9"/>
  <c r="W23" i="9"/>
  <c r="W22" i="9"/>
  <c r="Y14" i="9"/>
  <c r="Y124" i="3"/>
  <c r="Z2" i="3"/>
  <c r="Z76" i="3" s="1"/>
  <c r="Y76" i="3"/>
  <c r="W47" i="9"/>
  <c r="W46" i="9"/>
  <c r="AB8" i="7"/>
  <c r="Z65" i="3"/>
  <c r="Z40" i="3"/>
  <c r="Z63" i="3"/>
  <c r="AB8" i="11"/>
  <c r="M75" i="23"/>
  <c r="P74" i="23"/>
  <c r="Q74" i="23"/>
  <c r="AB16" i="6"/>
  <c r="AB17" i="6"/>
  <c r="AB18" i="6"/>
  <c r="AB15" i="7"/>
  <c r="V26" i="3"/>
  <c r="AB11" i="7"/>
  <c r="AB12" i="7"/>
  <c r="AB13" i="7"/>
  <c r="Q20" i="9"/>
  <c r="Q31" i="9" s="1"/>
  <c r="W24" i="3" a="1"/>
  <c r="W24" i="3" s="1"/>
  <c r="X61" i="9" a="1"/>
  <c r="X61" i="9" s="1"/>
  <c r="X24" i="3" s="1" a="1"/>
  <c r="X24" i="3" s="1"/>
  <c r="Z114" i="3" a="1"/>
  <c r="Z114" i="3" s="1"/>
  <c r="AB11" i="2"/>
  <c r="AB14" i="6"/>
  <c r="AB15" i="6"/>
  <c r="AB14" i="7"/>
  <c r="W6" i="3" a="1"/>
  <c r="W6" i="3" s="1"/>
  <c r="W9" i="3" a="1"/>
  <c r="W9" i="3" s="1"/>
  <c r="W65" i="9"/>
  <c r="W25" i="3" s="1" a="1"/>
  <c r="W25" i="3" s="1"/>
  <c r="AA12" i="2"/>
  <c r="X7" i="3" s="1" a="1"/>
  <c r="X7" i="3" s="1"/>
  <c r="AA19" i="6"/>
  <c r="Z16" i="3"/>
  <c r="Z18" i="3"/>
  <c r="Z17" i="3"/>
  <c r="Z20" i="3"/>
  <c r="Z22" i="3"/>
  <c r="Z21" i="3"/>
  <c r="AB7" i="6"/>
  <c r="AB12" i="6"/>
  <c r="AB6" i="2"/>
  <c r="AB7" i="2"/>
  <c r="AB5" i="2"/>
  <c r="AB10" i="2"/>
  <c r="AB5" i="11"/>
  <c r="AC4" i="11"/>
  <c r="Z5" i="3"/>
  <c r="AB7" i="11"/>
  <c r="AB6" i="11"/>
  <c r="AB9" i="11"/>
  <c r="AB11" i="11"/>
  <c r="X12" i="9"/>
  <c r="Y16" i="9"/>
  <c r="X10" i="9"/>
  <c r="X11" i="9"/>
  <c r="X13" i="9"/>
  <c r="W42" i="9"/>
  <c r="W51" i="9"/>
  <c r="W38" i="9"/>
  <c r="W49" i="9"/>
  <c r="W45" i="9"/>
  <c r="AC4" i="7"/>
  <c r="AC9" i="7" s="1"/>
  <c r="AC4" i="6"/>
  <c r="AC8" i="6" s="1"/>
  <c r="AA16" i="7"/>
  <c r="AB9" i="6"/>
  <c r="AB13" i="6"/>
  <c r="AB10" i="6"/>
  <c r="AB6" i="6"/>
  <c r="AB11" i="6"/>
  <c r="AB5" i="6"/>
  <c r="AB6" i="7"/>
  <c r="AB5" i="7"/>
  <c r="AB10" i="7"/>
  <c r="AB7" i="7"/>
  <c r="AB8" i="2"/>
  <c r="AC4" i="2"/>
  <c r="AC9" i="2" s="1"/>
  <c r="Z3" i="3"/>
  <c r="AA4" i="3"/>
  <c r="X44" i="9" l="1"/>
  <c r="X43" i="9"/>
  <c r="AA2" i="3"/>
  <c r="Y15" i="9"/>
  <c r="Y18" i="9"/>
  <c r="Y19" i="9"/>
  <c r="X37" i="9"/>
  <c r="X41" i="9"/>
  <c r="W26" i="9"/>
  <c r="W27" i="9" s="1"/>
  <c r="W32" i="9"/>
  <c r="X25" i="9"/>
  <c r="X23" i="9"/>
  <c r="X24" i="9"/>
  <c r="X32" i="9" s="1"/>
  <c r="X22" i="9"/>
  <c r="V27" i="9"/>
  <c r="Q39" i="9"/>
  <c r="Q29" i="9"/>
  <c r="Q28" i="9"/>
  <c r="Q30" i="9"/>
  <c r="V33" i="9"/>
  <c r="Y104" i="3"/>
  <c r="Y97" i="3"/>
  <c r="AA14" i="9"/>
  <c r="AA124" i="3"/>
  <c r="Z14" i="9"/>
  <c r="Z124" i="3"/>
  <c r="Z97" i="3" s="1"/>
  <c r="X47" i="9"/>
  <c r="X46" i="9"/>
  <c r="AC8" i="7"/>
  <c r="AA65" i="3"/>
  <c r="AC8" i="11"/>
  <c r="M76" i="23"/>
  <c r="P75" i="23"/>
  <c r="Q75" i="23"/>
  <c r="AC16" i="6"/>
  <c r="AC17" i="6"/>
  <c r="AC18" i="6"/>
  <c r="AC15" i="7"/>
  <c r="AC11" i="7"/>
  <c r="AC13" i="7"/>
  <c r="AC12" i="7"/>
  <c r="P50" i="9"/>
  <c r="P58" i="9"/>
  <c r="P59" i="9" s="1"/>
  <c r="W26" i="3"/>
  <c r="R17" i="9"/>
  <c r="Q40" i="9"/>
  <c r="Y61" i="9" a="1"/>
  <c r="Y61" i="9" s="1"/>
  <c r="Y24" i="3" s="1" a="1"/>
  <c r="Y24" i="3" s="1"/>
  <c r="AA114" i="3" a="1"/>
  <c r="AA114" i="3" s="1"/>
  <c r="AC11" i="2"/>
  <c r="AC15" i="6"/>
  <c r="AC14" i="6"/>
  <c r="AC14" i="7"/>
  <c r="X6" i="3" a="1"/>
  <c r="X6" i="3" s="1"/>
  <c r="X9" i="3" a="1"/>
  <c r="X9" i="3" s="1"/>
  <c r="AB12" i="2"/>
  <c r="Y7" i="3" s="1" a="1"/>
  <c r="Y7" i="3" s="1"/>
  <c r="AA76" i="3"/>
  <c r="AB19" i="6"/>
  <c r="AA16" i="3"/>
  <c r="AA17" i="3"/>
  <c r="AA18" i="3"/>
  <c r="AA20" i="3"/>
  <c r="AA21" i="3"/>
  <c r="AA22" i="3"/>
  <c r="L62" i="9"/>
  <c r="AC7" i="6"/>
  <c r="AC12" i="6"/>
  <c r="AC6" i="2"/>
  <c r="AC7" i="2"/>
  <c r="AC5" i="2"/>
  <c r="AC10" i="2"/>
  <c r="X65" i="9"/>
  <c r="X25" i="3" s="1" a="1"/>
  <c r="X25" i="3" s="1"/>
  <c r="X26" i="3" s="1"/>
  <c r="AC5" i="11"/>
  <c r="AD4" i="11"/>
  <c r="AA5" i="3"/>
  <c r="AC6" i="11"/>
  <c r="AC9" i="11"/>
  <c r="AC7" i="11"/>
  <c r="AC11" i="11"/>
  <c r="Y12" i="9"/>
  <c r="Y13" i="9"/>
  <c r="Y10" i="9"/>
  <c r="Z16" i="9"/>
  <c r="Y11" i="9"/>
  <c r="X51" i="9"/>
  <c r="X42" i="9"/>
  <c r="X49" i="9"/>
  <c r="X45" i="9"/>
  <c r="X38" i="9"/>
  <c r="AB16" i="7"/>
  <c r="AD4" i="7"/>
  <c r="AD9" i="7" s="1"/>
  <c r="AD4" i="6"/>
  <c r="AD8" i="6" s="1"/>
  <c r="AC5" i="6"/>
  <c r="AC9" i="6"/>
  <c r="AC13" i="6"/>
  <c r="AC10" i="6"/>
  <c r="AC6" i="6"/>
  <c r="AC11" i="6"/>
  <c r="AC5" i="7"/>
  <c r="AC7" i="7"/>
  <c r="AC6" i="7"/>
  <c r="AC10" i="7"/>
  <c r="AB2" i="3"/>
  <c r="AC8" i="2"/>
  <c r="AD4" i="2"/>
  <c r="AD9" i="2" s="1"/>
  <c r="AB4" i="3"/>
  <c r="AB58" i="3" s="1"/>
  <c r="AA3" i="3"/>
  <c r="Y44" i="9" l="1"/>
  <c r="Y43" i="9"/>
  <c r="Z15" i="9"/>
  <c r="Z18" i="9"/>
  <c r="Z19" i="9"/>
  <c r="Y37" i="9"/>
  <c r="Y41" i="9"/>
  <c r="W33" i="9"/>
  <c r="Y25" i="9"/>
  <c r="Y24" i="9"/>
  <c r="Y32" i="9" s="1"/>
  <c r="Y22" i="9"/>
  <c r="Y23" i="9"/>
  <c r="Q34" i="9"/>
  <c r="X26" i="9"/>
  <c r="X33" i="9" s="1"/>
  <c r="AA104" i="3"/>
  <c r="AA97" i="3"/>
  <c r="Z104" i="3"/>
  <c r="AB14" i="9"/>
  <c r="AB124" i="3"/>
  <c r="Y47" i="9"/>
  <c r="Y46" i="9"/>
  <c r="AD8" i="7"/>
  <c r="AB65" i="3"/>
  <c r="AB40" i="3"/>
  <c r="AB63" i="3"/>
  <c r="AD8" i="11"/>
  <c r="M77" i="23"/>
  <c r="Q76" i="23"/>
  <c r="P76" i="23"/>
  <c r="AD16" i="6"/>
  <c r="AD17" i="6"/>
  <c r="AD18" i="6"/>
  <c r="AD15" i="7"/>
  <c r="AD11" i="7"/>
  <c r="AD12" i="7"/>
  <c r="AD13" i="7"/>
  <c r="R20" i="9"/>
  <c r="R31" i="9" s="1"/>
  <c r="M62" i="9"/>
  <c r="Z61" i="9" a="1"/>
  <c r="Z61" i="9" s="1"/>
  <c r="Z24" i="3" s="1" a="1"/>
  <c r="Z24" i="3" s="1"/>
  <c r="AB114" i="3" a="1"/>
  <c r="AB114" i="3" s="1"/>
  <c r="AD11" i="2"/>
  <c r="AD14" i="6"/>
  <c r="AD15" i="6"/>
  <c r="AD14" i="7"/>
  <c r="Y6" i="3" a="1"/>
  <c r="Y6" i="3" s="1"/>
  <c r="Y9" i="3" a="1"/>
  <c r="Y9" i="3" s="1"/>
  <c r="Y65" i="9"/>
  <c r="Y25" i="3" s="1" a="1"/>
  <c r="Y25" i="3" s="1"/>
  <c r="Y26" i="3" s="1"/>
  <c r="AC12" i="2"/>
  <c r="Z7" i="3" s="1" a="1"/>
  <c r="Z7" i="3" s="1"/>
  <c r="AB76" i="3"/>
  <c r="AC19" i="6"/>
  <c r="AB20" i="3"/>
  <c r="AB18" i="3"/>
  <c r="AB21" i="3"/>
  <c r="AB16" i="3"/>
  <c r="AB17" i="3"/>
  <c r="AB22" i="3"/>
  <c r="AD7" i="6"/>
  <c r="AD12" i="6"/>
  <c r="AD7" i="2"/>
  <c r="AD6" i="2"/>
  <c r="AD5" i="2"/>
  <c r="AD10" i="2"/>
  <c r="AD5" i="11"/>
  <c r="AD9" i="11"/>
  <c r="AD7" i="11"/>
  <c r="AD6" i="11"/>
  <c r="AD11" i="11"/>
  <c r="AE4" i="11"/>
  <c r="AB5" i="3"/>
  <c r="Z12" i="9"/>
  <c r="Z10" i="9"/>
  <c r="Z11" i="9"/>
  <c r="AA16" i="9"/>
  <c r="Z13" i="9"/>
  <c r="Y42" i="9"/>
  <c r="Y49" i="9"/>
  <c r="Y38" i="9"/>
  <c r="Y51" i="9"/>
  <c r="Y45" i="9"/>
  <c r="AC16" i="7"/>
  <c r="AD13" i="6"/>
  <c r="AD11" i="6"/>
  <c r="AD5" i="6"/>
  <c r="AD9" i="6"/>
  <c r="AD10" i="6"/>
  <c r="AD6" i="6"/>
  <c r="AD10" i="7"/>
  <c r="AD5" i="7"/>
  <c r="AD7" i="7"/>
  <c r="AD6" i="7"/>
  <c r="AE4" i="7"/>
  <c r="AE9" i="7" s="1"/>
  <c r="AE4" i="6"/>
  <c r="AE8" i="6" s="1"/>
  <c r="AE4" i="2"/>
  <c r="AE9" i="2" s="1"/>
  <c r="AC4" i="3"/>
  <c r="AC58" i="3" s="1"/>
  <c r="AB3" i="3"/>
  <c r="AD8" i="2"/>
  <c r="AC2" i="3"/>
  <c r="Z44" i="9" l="1"/>
  <c r="Z43" i="9"/>
  <c r="AA15" i="9"/>
  <c r="AA18" i="9"/>
  <c r="AA19" i="9"/>
  <c r="Z37" i="9"/>
  <c r="Z41" i="9"/>
  <c r="Z25" i="9"/>
  <c r="Z24" i="9"/>
  <c r="Z22" i="9"/>
  <c r="Z23" i="9"/>
  <c r="R39" i="9"/>
  <c r="R29" i="9"/>
  <c r="R30" i="9"/>
  <c r="R28" i="9"/>
  <c r="Y26" i="9"/>
  <c r="Y27" i="9" s="1"/>
  <c r="X27" i="9"/>
  <c r="AB104" i="3"/>
  <c r="AB97" i="3"/>
  <c r="AC14" i="9"/>
  <c r="AC124" i="3"/>
  <c r="Z47" i="9"/>
  <c r="Z46" i="9"/>
  <c r="AE8" i="7"/>
  <c r="AC65" i="3"/>
  <c r="AC63" i="3"/>
  <c r="AC40" i="3"/>
  <c r="AE8" i="11"/>
  <c r="M78" i="23"/>
  <c r="P77" i="23"/>
  <c r="Q77" i="23"/>
  <c r="AE16" i="6"/>
  <c r="AE17" i="6"/>
  <c r="AE18" i="6"/>
  <c r="AE15" i="7"/>
  <c r="AE11" i="7"/>
  <c r="AE13" i="7"/>
  <c r="AE12" i="7"/>
  <c r="Q50" i="9"/>
  <c r="Q58" i="9"/>
  <c r="Q59" i="9" s="1"/>
  <c r="S17" i="9"/>
  <c r="R40" i="9"/>
  <c r="AA61" i="9" a="1"/>
  <c r="AA61" i="9" s="1"/>
  <c r="AA24" i="3" s="1" a="1"/>
  <c r="AA24" i="3" s="1"/>
  <c r="AC114" i="3" a="1"/>
  <c r="AC114" i="3" s="1"/>
  <c r="AE11" i="2"/>
  <c r="AE15" i="6"/>
  <c r="AE14" i="6"/>
  <c r="AE14" i="7"/>
  <c r="Z6" i="3" a="1"/>
  <c r="Z6" i="3" s="1"/>
  <c r="Z9" i="3" a="1"/>
  <c r="Z9" i="3" s="1"/>
  <c r="AD12" i="2"/>
  <c r="AA7" i="3" s="1" a="1"/>
  <c r="AA7" i="3" s="1"/>
  <c r="AC76" i="3"/>
  <c r="AD19" i="6"/>
  <c r="AC16" i="3"/>
  <c r="AC17" i="3"/>
  <c r="AC20" i="3"/>
  <c r="AC18" i="3"/>
  <c r="AC21" i="3"/>
  <c r="AC22" i="3"/>
  <c r="N62" i="9"/>
  <c r="AE7" i="6"/>
  <c r="AE12" i="6"/>
  <c r="AE6" i="2"/>
  <c r="AE7" i="2"/>
  <c r="AE5" i="2"/>
  <c r="AE10" i="2"/>
  <c r="Z65" i="9"/>
  <c r="Z25" i="3" s="1" a="1"/>
  <c r="Z25" i="3" s="1"/>
  <c r="Z26" i="3" s="1"/>
  <c r="AE5" i="11"/>
  <c r="AF4" i="11"/>
  <c r="AC5" i="3"/>
  <c r="AE6" i="11"/>
  <c r="AE11" i="11"/>
  <c r="AE9" i="11"/>
  <c r="AE7" i="11"/>
  <c r="Z42" i="9"/>
  <c r="Z51" i="9"/>
  <c r="Z38" i="9"/>
  <c r="Z49" i="9"/>
  <c r="Z45" i="9"/>
  <c r="AA12" i="9"/>
  <c r="AA11" i="9"/>
  <c r="AA10" i="9"/>
  <c r="AB16" i="9"/>
  <c r="AA13" i="9"/>
  <c r="AD16" i="7"/>
  <c r="AE10" i="6"/>
  <c r="AE5" i="6"/>
  <c r="AE11" i="6"/>
  <c r="AE13" i="6"/>
  <c r="AE9" i="6"/>
  <c r="AE6" i="6"/>
  <c r="AF4" i="7"/>
  <c r="AF9" i="7" s="1"/>
  <c r="AF4" i="6"/>
  <c r="AF8" i="6" s="1"/>
  <c r="AE6" i="7"/>
  <c r="AE5" i="7"/>
  <c r="AE10" i="7"/>
  <c r="AE7" i="7"/>
  <c r="AD2" i="3"/>
  <c r="AF4" i="2"/>
  <c r="AF9" i="2" s="1"/>
  <c r="AD4" i="3"/>
  <c r="AD58" i="3" s="1"/>
  <c r="AC3" i="3"/>
  <c r="AE8" i="2"/>
  <c r="AA44" i="9" l="1"/>
  <c r="AA43" i="9"/>
  <c r="AB15" i="9"/>
  <c r="AB19" i="9"/>
  <c r="AB18" i="9"/>
  <c r="AA37" i="9"/>
  <c r="AA41" i="9"/>
  <c r="Y33" i="9"/>
  <c r="Z26" i="9"/>
  <c r="Z33" i="9" s="1"/>
  <c r="Z32" i="9"/>
  <c r="AA25" i="9"/>
  <c r="AA22" i="9"/>
  <c r="AA23" i="9"/>
  <c r="AA24" i="9"/>
  <c r="AA32" i="9" s="1"/>
  <c r="R34" i="9"/>
  <c r="AC104" i="3"/>
  <c r="AC97" i="3"/>
  <c r="AD14" i="9"/>
  <c r="AD124" i="3"/>
  <c r="AA47" i="9"/>
  <c r="AA46" i="9"/>
  <c r="AF8" i="7"/>
  <c r="AD65" i="3"/>
  <c r="AD40" i="3"/>
  <c r="AD63" i="3"/>
  <c r="AF8" i="11"/>
  <c r="M79" i="23"/>
  <c r="P78" i="23"/>
  <c r="Q78" i="23"/>
  <c r="AF16" i="6"/>
  <c r="AF17" i="6"/>
  <c r="AF18" i="6"/>
  <c r="AF15" i="7"/>
  <c r="AF11" i="7"/>
  <c r="AF12" i="7"/>
  <c r="AF13" i="7"/>
  <c r="S20" i="9"/>
  <c r="AB61" i="9" a="1"/>
  <c r="AB61" i="9" s="1"/>
  <c r="AB24" i="3" s="1" a="1"/>
  <c r="AB24" i="3" s="1"/>
  <c r="AD114" i="3" a="1"/>
  <c r="AD114" i="3" s="1"/>
  <c r="AF11" i="2"/>
  <c r="AF14" i="6"/>
  <c r="AF15" i="6"/>
  <c r="AF14" i="7"/>
  <c r="AA6" i="3" a="1"/>
  <c r="AA6" i="3" s="1"/>
  <c r="AA9" i="3" a="1"/>
  <c r="AA9" i="3" s="1"/>
  <c r="AE12" i="2"/>
  <c r="AB7" i="3" s="1" a="1"/>
  <c r="AB7" i="3" s="1"/>
  <c r="AD76" i="3"/>
  <c r="AE19" i="6"/>
  <c r="AD16" i="3"/>
  <c r="AD21" i="3"/>
  <c r="AD22" i="3"/>
  <c r="AD17" i="3"/>
  <c r="AD18" i="3"/>
  <c r="AD20" i="3"/>
  <c r="O62" i="9"/>
  <c r="AF7" i="6"/>
  <c r="AF12" i="6"/>
  <c r="AF6" i="2"/>
  <c r="AF7" i="2"/>
  <c r="AF5" i="2"/>
  <c r="AF10" i="2"/>
  <c r="AA65" i="9"/>
  <c r="AA25" i="3" s="1" a="1"/>
  <c r="AA25" i="3" s="1"/>
  <c r="AA26" i="3" s="1"/>
  <c r="AF5" i="11"/>
  <c r="AF6" i="11"/>
  <c r="AF9" i="11"/>
  <c r="AF7" i="11"/>
  <c r="AG4" i="11"/>
  <c r="AD5" i="3"/>
  <c r="AE4" i="3"/>
  <c r="AA45" i="9"/>
  <c r="AA51" i="9"/>
  <c r="AA42" i="9"/>
  <c r="AA49" i="9"/>
  <c r="AA38" i="9"/>
  <c r="AB12" i="9"/>
  <c r="AB11" i="9"/>
  <c r="AC16" i="9"/>
  <c r="AB13" i="9"/>
  <c r="AB10" i="9"/>
  <c r="AG4" i="7"/>
  <c r="AG9" i="7" s="1"/>
  <c r="AG4" i="6"/>
  <c r="AG8" i="6" s="1"/>
  <c r="AE16" i="7"/>
  <c r="AF6" i="6"/>
  <c r="AF10" i="6"/>
  <c r="AF11" i="6"/>
  <c r="AF9" i="6"/>
  <c r="AF13" i="6"/>
  <c r="AF5" i="6"/>
  <c r="AF6" i="7"/>
  <c r="AF5" i="7"/>
  <c r="AF10" i="7"/>
  <c r="AF7" i="7"/>
  <c r="AG4" i="2"/>
  <c r="AG9" i="2" s="1"/>
  <c r="AD3" i="3"/>
  <c r="AF8" i="2"/>
  <c r="AE2" i="3"/>
  <c r="AB44" i="9" l="1"/>
  <c r="AB43" i="9"/>
  <c r="AC15" i="9"/>
  <c r="AC19" i="9"/>
  <c r="AC18" i="9"/>
  <c r="AB37" i="9"/>
  <c r="AB41" i="9"/>
  <c r="AA26" i="9"/>
  <c r="AA27" i="9" s="1"/>
  <c r="AB25" i="9"/>
  <c r="AB24" i="9"/>
  <c r="AB32" i="9" s="1"/>
  <c r="AB23" i="9"/>
  <c r="AB22" i="9"/>
  <c r="S31" i="9"/>
  <c r="S29" i="9"/>
  <c r="S30" i="9"/>
  <c r="S28" i="9"/>
  <c r="Z27" i="9"/>
  <c r="AD104" i="3"/>
  <c r="AD97" i="3"/>
  <c r="AE14" i="9"/>
  <c r="AE124" i="3"/>
  <c r="S39" i="9"/>
  <c r="AB47" i="9"/>
  <c r="AB46" i="9"/>
  <c r="AG8" i="7"/>
  <c r="AE65" i="3"/>
  <c r="AG8" i="11"/>
  <c r="M80" i="23"/>
  <c r="P79" i="23"/>
  <c r="Q79" i="23"/>
  <c r="AG16" i="6"/>
  <c r="AG17" i="6"/>
  <c r="AG18" i="6"/>
  <c r="AG15" i="7"/>
  <c r="AG12" i="7"/>
  <c r="AG13" i="7"/>
  <c r="AG11" i="7"/>
  <c r="R50" i="9"/>
  <c r="R58" i="9"/>
  <c r="R59" i="9" s="1"/>
  <c r="T17" i="9"/>
  <c r="S40" i="9"/>
  <c r="AC61" i="9" a="1"/>
  <c r="AC61" i="9" s="1"/>
  <c r="AC24" i="3" s="1" a="1"/>
  <c r="AC24" i="3" s="1"/>
  <c r="AE114" i="3" a="1"/>
  <c r="AE114" i="3" s="1"/>
  <c r="AG11" i="2"/>
  <c r="AG15" i="6"/>
  <c r="AG14" i="6"/>
  <c r="AG14" i="7"/>
  <c r="AB6" i="3" a="1"/>
  <c r="AB6" i="3" s="1"/>
  <c r="AB9" i="3" a="1"/>
  <c r="AB9" i="3" s="1"/>
  <c r="AE76" i="3"/>
  <c r="AF12" i="2"/>
  <c r="AC7" i="3" s="1" a="1"/>
  <c r="AC7" i="3" s="1"/>
  <c r="AF19" i="6"/>
  <c r="AE16" i="3"/>
  <c r="AE17" i="3"/>
  <c r="AE18" i="3"/>
  <c r="AE20" i="3"/>
  <c r="AE21" i="3"/>
  <c r="AE22" i="3"/>
  <c r="P62" i="9"/>
  <c r="AG7" i="6"/>
  <c r="AG12" i="6"/>
  <c r="AG7" i="2"/>
  <c r="AG6" i="2"/>
  <c r="AG5" i="2"/>
  <c r="AG10" i="2"/>
  <c r="AB65" i="9"/>
  <c r="AB25" i="3" s="1" a="1"/>
  <c r="AB25" i="3" s="1"/>
  <c r="AB26" i="3" s="1"/>
  <c r="AG5" i="11"/>
  <c r="AG7" i="11"/>
  <c r="AG6" i="11"/>
  <c r="AG9" i="11"/>
  <c r="AF4" i="3"/>
  <c r="AH4" i="11"/>
  <c r="AE5" i="3"/>
  <c r="AC12" i="9"/>
  <c r="AC11" i="9"/>
  <c r="AC13" i="9"/>
  <c r="AC10" i="9"/>
  <c r="AD16" i="9"/>
  <c r="AB51" i="9"/>
  <c r="AB38" i="9"/>
  <c r="AB49" i="9"/>
  <c r="AB45" i="9"/>
  <c r="AB42" i="9"/>
  <c r="AG5" i="6"/>
  <c r="AG10" i="6"/>
  <c r="AG6" i="6"/>
  <c r="AG13" i="6"/>
  <c r="AG9" i="6"/>
  <c r="AG11" i="6"/>
  <c r="AF16" i="7"/>
  <c r="AG6" i="7"/>
  <c r="AG7" i="7"/>
  <c r="AG5" i="7"/>
  <c r="AG10" i="7"/>
  <c r="AH4" i="7"/>
  <c r="AH9" i="7" s="1"/>
  <c r="AH4" i="6"/>
  <c r="AH8" i="6" s="1"/>
  <c r="AF2" i="3"/>
  <c r="AH4" i="2"/>
  <c r="AH9" i="2" s="1"/>
  <c r="AE3" i="3"/>
  <c r="AG8" i="2"/>
  <c r="AC44" i="9" l="1"/>
  <c r="AC43" i="9"/>
  <c r="AD15" i="9"/>
  <c r="AD19" i="9"/>
  <c r="AD18" i="9"/>
  <c r="AC37" i="9"/>
  <c r="AC41" i="9"/>
  <c r="AA33" i="9"/>
  <c r="AB26" i="9"/>
  <c r="AB33" i="9" s="1"/>
  <c r="AC25" i="9"/>
  <c r="AC22" i="9"/>
  <c r="AC23" i="9"/>
  <c r="AC24" i="9"/>
  <c r="AC32" i="9" s="1"/>
  <c r="S34" i="9"/>
  <c r="AE104" i="3"/>
  <c r="AE97" i="3"/>
  <c r="AF14" i="9"/>
  <c r="AF124" i="3"/>
  <c r="AC47" i="9"/>
  <c r="AC46" i="9"/>
  <c r="AH8" i="7"/>
  <c r="AF65" i="3"/>
  <c r="AH8" i="11"/>
  <c r="M81" i="23"/>
  <c r="Q80" i="23"/>
  <c r="P80" i="23"/>
  <c r="AH16" i="6"/>
  <c r="AH17" i="6"/>
  <c r="AH18" i="6"/>
  <c r="AH15" i="7"/>
  <c r="AH11" i="7"/>
  <c r="AH12" i="7"/>
  <c r="AH13" i="7"/>
  <c r="T20" i="9"/>
  <c r="Q62" i="9"/>
  <c r="AD61" i="9" a="1"/>
  <c r="AD61" i="9" s="1"/>
  <c r="AD24" i="3" s="1" a="1"/>
  <c r="AD24" i="3" s="1"/>
  <c r="AF114" i="3" a="1"/>
  <c r="AF114" i="3" s="1"/>
  <c r="AH11" i="2"/>
  <c r="AH14" i="6"/>
  <c r="AH15" i="6"/>
  <c r="AH14" i="7"/>
  <c r="AC6" i="3" a="1"/>
  <c r="AC6" i="3" s="1"/>
  <c r="AC9" i="3" a="1"/>
  <c r="AC9" i="3" s="1"/>
  <c r="AC65" i="9"/>
  <c r="AC25" i="3" s="1" a="1"/>
  <c r="AC25" i="3" s="1"/>
  <c r="AC26" i="3" s="1"/>
  <c r="AF76" i="3"/>
  <c r="AG12" i="2"/>
  <c r="AD7" i="3" s="1" a="1"/>
  <c r="AD7" i="3" s="1"/>
  <c r="AG19" i="6"/>
  <c r="AF16" i="3"/>
  <c r="AF18" i="3"/>
  <c r="AF17" i="3"/>
  <c r="AF21" i="3"/>
  <c r="AF20" i="3"/>
  <c r="AF22" i="3"/>
  <c r="AH7" i="6"/>
  <c r="AH12" i="6"/>
  <c r="AH7" i="2"/>
  <c r="AH6" i="2"/>
  <c r="AH5" i="2"/>
  <c r="AH10" i="2"/>
  <c r="AH5" i="11"/>
  <c r="AH9" i="11"/>
  <c r="AH7" i="11"/>
  <c r="AI4" i="11"/>
  <c r="AF5" i="3"/>
  <c r="AG4" i="3"/>
  <c r="AD12" i="9"/>
  <c r="AD10" i="9"/>
  <c r="AE16" i="9"/>
  <c r="AD11" i="9"/>
  <c r="AD13" i="9"/>
  <c r="AC42" i="9"/>
  <c r="AC38" i="9"/>
  <c r="AC45" i="9"/>
  <c r="AC51" i="9"/>
  <c r="AC49" i="9"/>
  <c r="AG16" i="7"/>
  <c r="AH5" i="6"/>
  <c r="AH11" i="6"/>
  <c r="AH6" i="6"/>
  <c r="AH13" i="6"/>
  <c r="AH9" i="6"/>
  <c r="AH10" i="6"/>
  <c r="AI4" i="7"/>
  <c r="AI9" i="7" s="1"/>
  <c r="AI4" i="6"/>
  <c r="AI8" i="6" s="1"/>
  <c r="AH5" i="7"/>
  <c r="AH10" i="7"/>
  <c r="AH6" i="7"/>
  <c r="AH7" i="7"/>
  <c r="AH8" i="2"/>
  <c r="AI4" i="2"/>
  <c r="AI9" i="2" s="1"/>
  <c r="AF3" i="3"/>
  <c r="AG2" i="3"/>
  <c r="AD44" i="9" l="1"/>
  <c r="AD43" i="9"/>
  <c r="AE15" i="9"/>
  <c r="AE19" i="9"/>
  <c r="AE18" i="9"/>
  <c r="AD37" i="9"/>
  <c r="AD41" i="9"/>
  <c r="AD25" i="9"/>
  <c r="AD24" i="9"/>
  <c r="AD32" i="9" s="1"/>
  <c r="AD23" i="9"/>
  <c r="AD22" i="9"/>
  <c r="T31" i="9"/>
  <c r="T29" i="9"/>
  <c r="T28" i="9"/>
  <c r="T30" i="9"/>
  <c r="AC26" i="9"/>
  <c r="AC27" i="9" s="1"/>
  <c r="AB27" i="9"/>
  <c r="AF104" i="3"/>
  <c r="AF97" i="3"/>
  <c r="AG14" i="9"/>
  <c r="AG124" i="3"/>
  <c r="T39" i="9"/>
  <c r="AD47" i="9"/>
  <c r="AD46" i="9"/>
  <c r="AI8" i="7"/>
  <c r="AG65" i="3"/>
  <c r="AI8" i="11"/>
  <c r="M82" i="23"/>
  <c r="M83" i="23" s="1"/>
  <c r="P81" i="23"/>
  <c r="Q81" i="23"/>
  <c r="AI16" i="6"/>
  <c r="AI17" i="6"/>
  <c r="AI18" i="6"/>
  <c r="AI15" i="7"/>
  <c r="AI11" i="7"/>
  <c r="AI13" i="7"/>
  <c r="AI12" i="7"/>
  <c r="S50" i="9"/>
  <c r="S58" i="9"/>
  <c r="S59" i="9" s="1"/>
  <c r="U17" i="9"/>
  <c r="T40" i="9"/>
  <c r="AE61" i="9" a="1"/>
  <c r="AE61" i="9" s="1"/>
  <c r="AE24" i="3" s="1" a="1"/>
  <c r="AE24" i="3" s="1"/>
  <c r="AG114" i="3" a="1"/>
  <c r="AG114" i="3" s="1"/>
  <c r="AI11" i="2"/>
  <c r="AI14" i="6"/>
  <c r="AI15" i="6"/>
  <c r="AI14" i="7"/>
  <c r="AD6" i="3" a="1"/>
  <c r="AD6" i="3" s="1"/>
  <c r="AD9" i="3" a="1"/>
  <c r="AD9" i="3" s="1"/>
  <c r="AH12" i="2"/>
  <c r="AE7" i="3" s="1" a="1"/>
  <c r="AE7" i="3" s="1"/>
  <c r="AG76" i="3"/>
  <c r="AH19" i="6"/>
  <c r="AG18" i="3"/>
  <c r="AG20" i="3"/>
  <c r="AG16" i="3"/>
  <c r="AG17" i="3"/>
  <c r="AG21" i="3"/>
  <c r="AG22" i="3"/>
  <c r="R62" i="9"/>
  <c r="AI7" i="6"/>
  <c r="AI12" i="6"/>
  <c r="AI6" i="2"/>
  <c r="AI7" i="2"/>
  <c r="AI5" i="2"/>
  <c r="AI10" i="2"/>
  <c r="AD65" i="9"/>
  <c r="AD25" i="3" s="1" a="1"/>
  <c r="AD25" i="3" s="1"/>
  <c r="AD26" i="3" s="1"/>
  <c r="AI5" i="11"/>
  <c r="AJ4" i="11"/>
  <c r="AG5" i="3"/>
  <c r="AH4" i="3"/>
  <c r="AH58" i="3" s="1"/>
  <c r="AI7" i="11"/>
  <c r="AI6" i="11"/>
  <c r="AI9" i="11"/>
  <c r="AD49" i="9"/>
  <c r="AD51" i="9"/>
  <c r="AD42" i="9"/>
  <c r="AD45" i="9"/>
  <c r="AD38" i="9"/>
  <c r="AE12" i="9"/>
  <c r="AE10" i="9"/>
  <c r="AE11" i="9"/>
  <c r="AF16" i="9"/>
  <c r="AE13" i="9"/>
  <c r="AJ4" i="7"/>
  <c r="AJ9" i="7" s="1"/>
  <c r="AJ4" i="6"/>
  <c r="AJ8" i="6" s="1"/>
  <c r="AH16" i="7"/>
  <c r="AI6" i="7"/>
  <c r="AI10" i="7"/>
  <c r="AI7" i="7"/>
  <c r="AI5" i="7"/>
  <c r="AI5" i="6"/>
  <c r="AI11" i="6"/>
  <c r="AI10" i="6"/>
  <c r="AI9" i="6"/>
  <c r="AI13" i="6"/>
  <c r="AI6" i="6"/>
  <c r="AH2" i="3"/>
  <c r="AI8" i="2"/>
  <c r="AJ4" i="2"/>
  <c r="AJ9" i="2" s="1"/>
  <c r="AG3" i="3"/>
  <c r="AE44" i="9" l="1"/>
  <c r="AE43" i="9"/>
  <c r="AF15" i="9"/>
  <c r="AF18" i="9"/>
  <c r="AF19" i="9"/>
  <c r="AE37" i="9"/>
  <c r="AE41" i="9"/>
  <c r="T34" i="9"/>
  <c r="AE25" i="9"/>
  <c r="AE24" i="9"/>
  <c r="AE32" i="9" s="1"/>
  <c r="AE22" i="9"/>
  <c r="AE23" i="9"/>
  <c r="AD26" i="9"/>
  <c r="AD27" i="9" s="1"/>
  <c r="AC33" i="9"/>
  <c r="AG104" i="3"/>
  <c r="AG97" i="3"/>
  <c r="AH14" i="9"/>
  <c r="AH124" i="3"/>
  <c r="P83" i="23"/>
  <c r="Q83" i="23"/>
  <c r="M84" i="23"/>
  <c r="AE47" i="9"/>
  <c r="AE46" i="9"/>
  <c r="AJ8" i="7"/>
  <c r="AH65" i="3"/>
  <c r="AH63" i="3"/>
  <c r="AH40" i="3"/>
  <c r="AJ8" i="11"/>
  <c r="P82" i="23"/>
  <c r="Q82" i="23"/>
  <c r="AJ16" i="6"/>
  <c r="AJ17" i="6"/>
  <c r="AJ18" i="6"/>
  <c r="AJ15" i="7"/>
  <c r="AJ11" i="7"/>
  <c r="AJ12" i="7"/>
  <c r="AJ13" i="7"/>
  <c r="U20" i="9"/>
  <c r="AF61" i="9" a="1"/>
  <c r="AF61" i="9" s="1"/>
  <c r="AF24" i="3" s="1" a="1"/>
  <c r="AF24" i="3" s="1"/>
  <c r="AH114" i="3" a="1"/>
  <c r="AH114" i="3" s="1"/>
  <c r="AJ11" i="2"/>
  <c r="AJ14" i="6"/>
  <c r="AJ15" i="6"/>
  <c r="AJ14" i="7"/>
  <c r="AE6" i="3" a="1"/>
  <c r="AE6" i="3" s="1"/>
  <c r="AE9" i="3" a="1"/>
  <c r="AE9" i="3" s="1"/>
  <c r="AH76" i="3"/>
  <c r="AI12" i="2"/>
  <c r="AF7" i="3" s="1" a="1"/>
  <c r="AF7" i="3" s="1"/>
  <c r="AI19" i="6"/>
  <c r="AH17" i="3"/>
  <c r="AH18" i="3"/>
  <c r="AH20" i="3"/>
  <c r="AH16" i="3"/>
  <c r="AH22" i="3"/>
  <c r="AH21" i="3"/>
  <c r="S62" i="9"/>
  <c r="AJ7" i="6"/>
  <c r="AJ12" i="6"/>
  <c r="AJ6" i="2"/>
  <c r="AJ7" i="2"/>
  <c r="AJ5" i="2"/>
  <c r="AJ10" i="2"/>
  <c r="AE65" i="9"/>
  <c r="AE25" i="3" s="1" a="1"/>
  <c r="AE25" i="3" s="1"/>
  <c r="AE26" i="3" s="1"/>
  <c r="AJ5" i="11"/>
  <c r="AK4" i="11"/>
  <c r="AH5" i="3"/>
  <c r="AI4" i="3"/>
  <c r="AJ6" i="11"/>
  <c r="AJ7" i="11"/>
  <c r="AJ11" i="11"/>
  <c r="AJ9" i="11"/>
  <c r="AE49" i="9"/>
  <c r="AE42" i="9"/>
  <c r="AE51" i="9"/>
  <c r="AE38" i="9"/>
  <c r="AE45" i="9"/>
  <c r="AF12" i="9"/>
  <c r="AF13" i="9"/>
  <c r="AF10" i="9"/>
  <c r="AF11" i="9"/>
  <c r="AG16" i="9"/>
  <c r="AK4" i="7"/>
  <c r="AK9" i="7" s="1"/>
  <c r="AK4" i="6"/>
  <c r="AK8" i="6" s="1"/>
  <c r="AI16" i="7"/>
  <c r="AJ6" i="6"/>
  <c r="AJ10" i="6"/>
  <c r="AJ11" i="6"/>
  <c r="AJ13" i="6"/>
  <c r="AJ5" i="6"/>
  <c r="AJ9" i="6"/>
  <c r="AJ5" i="7"/>
  <c r="AJ10" i="7"/>
  <c r="AJ6" i="7"/>
  <c r="AJ7" i="7"/>
  <c r="AK4" i="2"/>
  <c r="AK9" i="2" s="1"/>
  <c r="AH3" i="3"/>
  <c r="AI2" i="3"/>
  <c r="AJ8" i="2"/>
  <c r="AF44" i="9" l="1"/>
  <c r="AF43" i="9"/>
  <c r="AG15" i="9"/>
  <c r="AG18" i="9"/>
  <c r="AG19" i="9"/>
  <c r="AF37" i="9"/>
  <c r="AF41" i="9"/>
  <c r="U31" i="9"/>
  <c r="U29" i="9"/>
  <c r="U28" i="9"/>
  <c r="U30" i="9"/>
  <c r="AD33" i="9"/>
  <c r="AF25" i="9"/>
  <c r="AF23" i="9"/>
  <c r="AF24" i="9"/>
  <c r="AF22" i="9"/>
  <c r="AE26" i="9"/>
  <c r="AE27" i="9" s="1"/>
  <c r="AH104" i="3"/>
  <c r="AH97" i="3"/>
  <c r="AI14" i="9"/>
  <c r="AI124" i="3"/>
  <c r="P84" i="23"/>
  <c r="Q84" i="23"/>
  <c r="M85" i="23"/>
  <c r="U39" i="9"/>
  <c r="AF47" i="9"/>
  <c r="AF46" i="9"/>
  <c r="AK8" i="7"/>
  <c r="AI65" i="3"/>
  <c r="AK8" i="11"/>
  <c r="AK16" i="6"/>
  <c r="AK17" i="6"/>
  <c r="AK18" i="6"/>
  <c r="AK15" i="7"/>
  <c r="AK11" i="7"/>
  <c r="AK13" i="7"/>
  <c r="AK12" i="7"/>
  <c r="T50" i="9"/>
  <c r="T58" i="9"/>
  <c r="T59" i="9" s="1"/>
  <c r="V17" i="9"/>
  <c r="U40" i="9"/>
  <c r="AG61" i="9" a="1"/>
  <c r="AG61" i="9" s="1"/>
  <c r="AG24" i="3" s="1" a="1"/>
  <c r="AG24" i="3" s="1"/>
  <c r="AI114" i="3" a="1"/>
  <c r="AI114" i="3" s="1"/>
  <c r="AK11" i="2"/>
  <c r="AK15" i="6"/>
  <c r="AK14" i="6"/>
  <c r="AK14" i="7"/>
  <c r="AF6" i="3" a="1"/>
  <c r="AF6" i="3" s="1"/>
  <c r="AF9" i="3" a="1"/>
  <c r="AF9" i="3" s="1"/>
  <c r="AJ12" i="2"/>
  <c r="AG7" i="3" s="1" a="1"/>
  <c r="AG7" i="3" s="1"/>
  <c r="AI76" i="3"/>
  <c r="AJ19" i="6"/>
  <c r="AI16" i="3"/>
  <c r="AI17" i="3"/>
  <c r="AI18" i="3"/>
  <c r="AI20" i="3"/>
  <c r="AI21" i="3"/>
  <c r="AI22" i="3"/>
  <c r="T62" i="9"/>
  <c r="AK7" i="6"/>
  <c r="AK12" i="6"/>
  <c r="AK7" i="2"/>
  <c r="AK6" i="2"/>
  <c r="AK5" i="2"/>
  <c r="AK10" i="2"/>
  <c r="AF65" i="9"/>
  <c r="AF25" i="3" s="1" a="1"/>
  <c r="AF25" i="3" s="1"/>
  <c r="AF26" i="3" s="1"/>
  <c r="AK5" i="11"/>
  <c r="AK7" i="11"/>
  <c r="AK9" i="11"/>
  <c r="AK6" i="11"/>
  <c r="AL4" i="11"/>
  <c r="AI5" i="3"/>
  <c r="AJ4" i="3"/>
  <c r="AJ58" i="3" s="1"/>
  <c r="AG12" i="9"/>
  <c r="AH16" i="9"/>
  <c r="AG13" i="9"/>
  <c r="AG10" i="9"/>
  <c r="AG11" i="9"/>
  <c r="AF42" i="9"/>
  <c r="AF45" i="9"/>
  <c r="AF49" i="9"/>
  <c r="AF51" i="9"/>
  <c r="AF38" i="9"/>
  <c r="AJ16" i="7"/>
  <c r="AL4" i="7"/>
  <c r="AL9" i="7" s="1"/>
  <c r="AL4" i="6"/>
  <c r="AL8" i="6" s="1"/>
  <c r="AK5" i="6"/>
  <c r="AK9" i="6"/>
  <c r="AK13" i="6"/>
  <c r="AK6" i="6"/>
  <c r="AK10" i="6"/>
  <c r="AK11" i="6"/>
  <c r="AK5" i="7"/>
  <c r="AK7" i="7"/>
  <c r="AK6" i="7"/>
  <c r="AK10" i="7"/>
  <c r="AL4" i="2"/>
  <c r="AL9" i="2" s="1"/>
  <c r="AI3" i="3"/>
  <c r="AJ2" i="3"/>
  <c r="AK8" i="2"/>
  <c r="AG44" i="9" l="1"/>
  <c r="AG43" i="9"/>
  <c r="AH15" i="9"/>
  <c r="AH18" i="9"/>
  <c r="AH19" i="9"/>
  <c r="AG37" i="9"/>
  <c r="AG41" i="9"/>
  <c r="U34" i="9"/>
  <c r="AG25" i="9"/>
  <c r="AG23" i="9"/>
  <c r="AG22" i="9"/>
  <c r="AG24" i="9"/>
  <c r="AG32" i="9" s="1"/>
  <c r="AE33" i="9"/>
  <c r="AF26" i="9"/>
  <c r="AF32" i="9"/>
  <c r="AI104" i="3"/>
  <c r="AI97" i="3"/>
  <c r="AJ14" i="9"/>
  <c r="AJ124" i="3"/>
  <c r="M86" i="23"/>
  <c r="Q85" i="23"/>
  <c r="P85" i="23"/>
  <c r="AG47" i="9"/>
  <c r="AG46" i="9"/>
  <c r="AL8" i="7"/>
  <c r="AJ65" i="3"/>
  <c r="AJ40" i="3"/>
  <c r="AJ63" i="3"/>
  <c r="AL8" i="11"/>
  <c r="AL16" i="6"/>
  <c r="AL17" i="6"/>
  <c r="AL18" i="6"/>
  <c r="AL15" i="7"/>
  <c r="AL11" i="7"/>
  <c r="AL12" i="7"/>
  <c r="AL13" i="7"/>
  <c r="V20" i="9"/>
  <c r="AH61" i="9" a="1"/>
  <c r="AH61" i="9" s="1"/>
  <c r="AH24" i="3" s="1" a="1"/>
  <c r="AH24" i="3" s="1"/>
  <c r="AJ114" i="3" a="1"/>
  <c r="AJ114" i="3" s="1"/>
  <c r="AL11" i="2"/>
  <c r="AL14" i="6"/>
  <c r="AL15" i="6"/>
  <c r="AL14" i="7"/>
  <c r="AG6" i="3" a="1"/>
  <c r="AG6" i="3" s="1"/>
  <c r="AG9" i="3" a="1"/>
  <c r="AG9" i="3" s="1"/>
  <c r="AK12" i="2"/>
  <c r="AH7" i="3" s="1" a="1"/>
  <c r="AH7" i="3" s="1"/>
  <c r="AJ76" i="3"/>
  <c r="AK19" i="6"/>
  <c r="AJ21" i="3"/>
  <c r="AJ17" i="3"/>
  <c r="AJ20" i="3"/>
  <c r="AJ16" i="3"/>
  <c r="AJ18" i="3"/>
  <c r="AJ22" i="3"/>
  <c r="U62" i="9"/>
  <c r="AL7" i="6"/>
  <c r="AL12" i="6"/>
  <c r="AL7" i="2"/>
  <c r="AL6" i="2"/>
  <c r="AL5" i="2"/>
  <c r="AL10" i="2"/>
  <c r="AG65" i="9"/>
  <c r="AG25" i="3" s="1" a="1"/>
  <c r="AG25" i="3" s="1"/>
  <c r="AG26" i="3" s="1"/>
  <c r="AL5" i="11"/>
  <c r="AM4" i="11"/>
  <c r="AJ5" i="3"/>
  <c r="AK4" i="3"/>
  <c r="AL9" i="11"/>
  <c r="AL7" i="11"/>
  <c r="AL6" i="11"/>
  <c r="AL11" i="11"/>
  <c r="AH12" i="9"/>
  <c r="AH11" i="9"/>
  <c r="AI16" i="9"/>
  <c r="AH13" i="9"/>
  <c r="AH10" i="9"/>
  <c r="AG51" i="9"/>
  <c r="AG42" i="9"/>
  <c r="AG49" i="9"/>
  <c r="AG38" i="9"/>
  <c r="AG45" i="9"/>
  <c r="AK16" i="7"/>
  <c r="AL5" i="7"/>
  <c r="AL10" i="7"/>
  <c r="AL6" i="7"/>
  <c r="AL7" i="7"/>
  <c r="AM4" i="7"/>
  <c r="AM9" i="7" s="1"/>
  <c r="AM4" i="6"/>
  <c r="AM8" i="6" s="1"/>
  <c r="AL9" i="6"/>
  <c r="AL11" i="6"/>
  <c r="AL6" i="6"/>
  <c r="AL5" i="6"/>
  <c r="AL13" i="6"/>
  <c r="AL10" i="6"/>
  <c r="AM4" i="2"/>
  <c r="AM9" i="2" s="1"/>
  <c r="AJ3" i="3"/>
  <c r="AK2" i="3"/>
  <c r="AL8" i="2"/>
  <c r="AH44" i="9" l="1"/>
  <c r="AH43" i="9"/>
  <c r="AI15" i="9"/>
  <c r="AI19" i="9"/>
  <c r="AI18" i="9"/>
  <c r="AH37" i="9"/>
  <c r="AH41" i="9"/>
  <c r="AG26" i="9"/>
  <c r="AG27" i="9" s="1"/>
  <c r="V31" i="9"/>
  <c r="V29" i="9"/>
  <c r="V30" i="9"/>
  <c r="V28" i="9"/>
  <c r="AH25" i="9"/>
  <c r="AH24" i="9"/>
  <c r="AH32" i="9" s="1"/>
  <c r="AH22" i="9"/>
  <c r="AH23" i="9"/>
  <c r="AF27" i="9"/>
  <c r="AF33" i="9"/>
  <c r="AJ104" i="3"/>
  <c r="AJ97" i="3"/>
  <c r="AK14" i="9"/>
  <c r="AK124" i="3"/>
  <c r="P86" i="23"/>
  <c r="Q86" i="23"/>
  <c r="M87" i="23"/>
  <c r="V39" i="9"/>
  <c r="AH47" i="9"/>
  <c r="AH46" i="9"/>
  <c r="AM8" i="7"/>
  <c r="AK65" i="3"/>
  <c r="AM8" i="11"/>
  <c r="AM16" i="6"/>
  <c r="AM17" i="6"/>
  <c r="AM18" i="6"/>
  <c r="AM15" i="7"/>
  <c r="AM11" i="7"/>
  <c r="AM13" i="7"/>
  <c r="AM12" i="7"/>
  <c r="U50" i="9"/>
  <c r="U58" i="9"/>
  <c r="U59" i="9" s="1"/>
  <c r="W17" i="9"/>
  <c r="V40" i="9"/>
  <c r="V62" i="9"/>
  <c r="AI61" i="9" a="1"/>
  <c r="AI61" i="9" s="1"/>
  <c r="AI24" i="3" s="1" a="1"/>
  <c r="AI24" i="3" s="1"/>
  <c r="AK114" i="3" a="1"/>
  <c r="AK114" i="3" s="1"/>
  <c r="AM11" i="2"/>
  <c r="AM15" i="6"/>
  <c r="AM14" i="6"/>
  <c r="AM14" i="7"/>
  <c r="AH6" i="3" a="1"/>
  <c r="AH6" i="3" s="1"/>
  <c r="AH9" i="3" a="1"/>
  <c r="AH9" i="3" s="1"/>
  <c r="AK76" i="3"/>
  <c r="AL12" i="2"/>
  <c r="AI7" i="3" s="1" a="1"/>
  <c r="AI7" i="3" s="1"/>
  <c r="AL19" i="6"/>
  <c r="AK16" i="3"/>
  <c r="AK18" i="3"/>
  <c r="AK20" i="3"/>
  <c r="AK21" i="3"/>
  <c r="AK22" i="3"/>
  <c r="AK17" i="3"/>
  <c r="AM7" i="6"/>
  <c r="AM12" i="6"/>
  <c r="AM7" i="2"/>
  <c r="AM6" i="2"/>
  <c r="AM5" i="2"/>
  <c r="AM10" i="2"/>
  <c r="AH65" i="9"/>
  <c r="AH25" i="3" s="1" a="1"/>
  <c r="AH25" i="3" s="1"/>
  <c r="AH26" i="3" s="1"/>
  <c r="AM5" i="11"/>
  <c r="AM9" i="11"/>
  <c r="AM7" i="11"/>
  <c r="AM11" i="11"/>
  <c r="AM6" i="11"/>
  <c r="AN4" i="11"/>
  <c r="AK5" i="3"/>
  <c r="AL4" i="3"/>
  <c r="AL58" i="3" s="1"/>
  <c r="AI12" i="9"/>
  <c r="AI10" i="9"/>
  <c r="AI11" i="9"/>
  <c r="AJ16" i="9"/>
  <c r="AI13" i="9"/>
  <c r="AH51" i="9"/>
  <c r="AH42" i="9"/>
  <c r="AH49" i="9"/>
  <c r="AH38" i="9"/>
  <c r="AH45" i="9"/>
  <c r="AN4" i="7"/>
  <c r="AN9" i="7" s="1"/>
  <c r="AN4" i="6"/>
  <c r="AN8" i="6" s="1"/>
  <c r="AL16" i="7"/>
  <c r="AM11" i="6"/>
  <c r="AM6" i="6"/>
  <c r="AM13" i="6"/>
  <c r="AM10" i="6"/>
  <c r="AM5" i="6"/>
  <c r="AM9" i="6"/>
  <c r="AM6" i="7"/>
  <c r="AM7" i="7"/>
  <c r="AM10" i="7"/>
  <c r="AM5" i="7"/>
  <c r="AL2" i="3"/>
  <c r="AM8" i="2"/>
  <c r="AN4" i="2"/>
  <c r="AN9" i="2" s="1"/>
  <c r="AK3" i="3"/>
  <c r="AI44" i="9" l="1"/>
  <c r="AI43" i="9"/>
  <c r="AJ15" i="9"/>
  <c r="AJ18" i="9"/>
  <c r="AJ19" i="9"/>
  <c r="AI37" i="9"/>
  <c r="AI41" i="9"/>
  <c r="V34" i="9"/>
  <c r="AI25" i="9"/>
  <c r="AI22" i="9"/>
  <c r="AI23" i="9"/>
  <c r="AI24" i="9"/>
  <c r="AI32" i="9" s="1"/>
  <c r="AH26" i="9"/>
  <c r="AH27" i="9" s="1"/>
  <c r="AG33" i="9"/>
  <c r="AK104" i="3"/>
  <c r="AK97" i="3"/>
  <c r="AL14" i="9"/>
  <c r="AL124" i="3"/>
  <c r="P87" i="23"/>
  <c r="Q87" i="23"/>
  <c r="M88" i="23"/>
  <c r="AI47" i="9"/>
  <c r="AI46" i="9"/>
  <c r="AN8" i="7"/>
  <c r="AL65" i="3"/>
  <c r="AL63" i="3"/>
  <c r="AL40" i="3"/>
  <c r="AN8" i="11"/>
  <c r="AN16" i="6"/>
  <c r="AN17" i="6"/>
  <c r="AN18" i="6"/>
  <c r="AN15" i="7"/>
  <c r="AN11" i="7"/>
  <c r="AN12" i="7"/>
  <c r="AN13" i="7"/>
  <c r="W20" i="9"/>
  <c r="AJ61" i="9" a="1"/>
  <c r="AJ61" i="9" s="1"/>
  <c r="AJ24" i="3" s="1" a="1"/>
  <c r="AJ24" i="3" s="1"/>
  <c r="AL114" i="3" a="1"/>
  <c r="AL114" i="3" s="1"/>
  <c r="AN11" i="2"/>
  <c r="AN14" i="6"/>
  <c r="AN15" i="6"/>
  <c r="AN14" i="7"/>
  <c r="AI6" i="3" a="1"/>
  <c r="AI6" i="3" s="1"/>
  <c r="AI9" i="3" a="1"/>
  <c r="AI9" i="3" s="1"/>
  <c r="AL76" i="3"/>
  <c r="AM12" i="2"/>
  <c r="AJ7" i="3" s="1" a="1"/>
  <c r="AJ7" i="3" s="1"/>
  <c r="AM19" i="6"/>
  <c r="AL16" i="3"/>
  <c r="AL17" i="3"/>
  <c r="AL20" i="3"/>
  <c r="AL21" i="3"/>
  <c r="AL22" i="3"/>
  <c r="AL18" i="3"/>
  <c r="W62" i="9"/>
  <c r="AN7" i="6"/>
  <c r="AN12" i="6"/>
  <c r="AN6" i="2"/>
  <c r="AN7" i="2"/>
  <c r="AN5" i="2"/>
  <c r="AN10" i="2"/>
  <c r="AI65" i="9"/>
  <c r="AI25" i="3" s="1" a="1"/>
  <c r="AI25" i="3" s="1"/>
  <c r="AI26" i="3" s="1"/>
  <c r="AN5" i="11"/>
  <c r="AO4" i="11"/>
  <c r="AL5" i="3"/>
  <c r="AM4" i="3"/>
  <c r="AN6" i="11"/>
  <c r="AN7" i="11"/>
  <c r="AN9" i="11"/>
  <c r="AN11" i="11"/>
  <c r="AI42" i="9"/>
  <c r="AI49" i="9"/>
  <c r="AI38" i="9"/>
  <c r="AI51" i="9"/>
  <c r="AI45" i="9"/>
  <c r="AJ12" i="9"/>
  <c r="AJ11" i="9"/>
  <c r="AJ13" i="9"/>
  <c r="AK16" i="9"/>
  <c r="AJ10" i="9"/>
  <c r="AM16" i="7"/>
  <c r="AN9" i="6"/>
  <c r="AN13" i="6"/>
  <c r="AN11" i="6"/>
  <c r="AN10" i="6"/>
  <c r="AN5" i="6"/>
  <c r="AN6" i="6"/>
  <c r="AO4" i="7"/>
  <c r="AO9" i="7" s="1"/>
  <c r="AO4" i="6"/>
  <c r="AO8" i="6" s="1"/>
  <c r="AO4" i="2"/>
  <c r="AO9" i="2" s="1"/>
  <c r="AN6" i="7"/>
  <c r="AN5" i="7"/>
  <c r="AN10" i="7"/>
  <c r="AN7" i="7"/>
  <c r="AL3" i="3"/>
  <c r="AM2" i="3"/>
  <c r="AN8" i="2"/>
  <c r="AJ44" i="9" l="1"/>
  <c r="AJ43" i="9"/>
  <c r="AK15" i="9"/>
  <c r="AK19" i="9"/>
  <c r="AK18" i="9"/>
  <c r="AJ37" i="9"/>
  <c r="AJ41" i="9"/>
  <c r="AH33" i="9"/>
  <c r="AJ25" i="9"/>
  <c r="AJ24" i="9"/>
  <c r="AJ23" i="9"/>
  <c r="AJ22" i="9"/>
  <c r="W31" i="9"/>
  <c r="W29" i="9"/>
  <c r="W28" i="9"/>
  <c r="W30" i="9"/>
  <c r="AI26" i="9"/>
  <c r="AL104" i="3"/>
  <c r="AL97" i="3"/>
  <c r="AM14" i="9"/>
  <c r="AM124" i="3"/>
  <c r="P88" i="23"/>
  <c r="Q88" i="23"/>
  <c r="M89" i="23"/>
  <c r="W39" i="9"/>
  <c r="AJ47" i="9"/>
  <c r="AJ46" i="9"/>
  <c r="AO8" i="7"/>
  <c r="AM65" i="3"/>
  <c r="AO8" i="11"/>
  <c r="AO16" i="6"/>
  <c r="AO17" i="6"/>
  <c r="AO18" i="6"/>
  <c r="AO15" i="7"/>
  <c r="AO11" i="7"/>
  <c r="AO12" i="7"/>
  <c r="AO13" i="7"/>
  <c r="V50" i="9"/>
  <c r="V58" i="9"/>
  <c r="V59" i="9" s="1"/>
  <c r="X17" i="9"/>
  <c r="W40" i="9"/>
  <c r="AK61" i="9" a="1"/>
  <c r="AK61" i="9" s="1"/>
  <c r="AK24" i="3" s="1" a="1"/>
  <c r="AK24" i="3" s="1"/>
  <c r="AM114" i="3" a="1"/>
  <c r="AM114" i="3" s="1"/>
  <c r="AO11" i="2"/>
  <c r="AO15" i="6"/>
  <c r="AO14" i="6"/>
  <c r="AO14" i="7"/>
  <c r="AJ6" i="3" a="1"/>
  <c r="AJ6" i="3" s="1"/>
  <c r="AJ9" i="3" a="1"/>
  <c r="AJ9" i="3" s="1"/>
  <c r="AM76" i="3"/>
  <c r="AN12" i="2"/>
  <c r="AK7" i="3" s="1" a="1"/>
  <c r="AK7" i="3" s="1"/>
  <c r="AN19" i="6"/>
  <c r="AM16" i="3"/>
  <c r="AM17" i="3"/>
  <c r="AM18" i="3"/>
  <c r="AM20" i="3"/>
  <c r="AM21" i="3"/>
  <c r="AM22" i="3"/>
  <c r="X62" i="9"/>
  <c r="AO7" i="6"/>
  <c r="AO12" i="6"/>
  <c r="AO6" i="2"/>
  <c r="AO7" i="2"/>
  <c r="AO5" i="2"/>
  <c r="AO10" i="2"/>
  <c r="AJ65" i="9"/>
  <c r="AJ25" i="3" s="1" a="1"/>
  <c r="AJ25" i="3" s="1"/>
  <c r="AJ26" i="3" s="1"/>
  <c r="AO5" i="11"/>
  <c r="AO9" i="11"/>
  <c r="AO7" i="11"/>
  <c r="AO11" i="11"/>
  <c r="AO6" i="11"/>
  <c r="AP4" i="11"/>
  <c r="AM5" i="3"/>
  <c r="AN4" i="3"/>
  <c r="AK12" i="9"/>
  <c r="AK11" i="9"/>
  <c r="AK13" i="9"/>
  <c r="AL16" i="9"/>
  <c r="AK10" i="9"/>
  <c r="AJ49" i="9"/>
  <c r="AJ51" i="9"/>
  <c r="AJ38" i="9"/>
  <c r="AJ45" i="9"/>
  <c r="AJ42" i="9"/>
  <c r="AP4" i="7"/>
  <c r="AP9" i="7" s="1"/>
  <c r="AP4" i="6"/>
  <c r="AP8" i="6" s="1"/>
  <c r="AP4" i="2"/>
  <c r="AP9" i="2" s="1"/>
  <c r="AN16" i="7"/>
  <c r="AO8" i="2"/>
  <c r="AO5" i="6"/>
  <c r="AO6" i="6"/>
  <c r="AO13" i="6"/>
  <c r="AO9" i="6"/>
  <c r="AO10" i="6"/>
  <c r="AO11" i="6"/>
  <c r="AO7" i="7"/>
  <c r="AO6" i="7"/>
  <c r="AO5" i="7"/>
  <c r="AO10" i="7"/>
  <c r="AN2" i="3"/>
  <c r="AM3" i="3"/>
  <c r="AK44" i="9" l="1"/>
  <c r="AK43" i="9"/>
  <c r="AL15" i="9"/>
  <c r="AL19" i="9"/>
  <c r="AL18" i="9"/>
  <c r="AK37" i="9"/>
  <c r="AK41" i="9"/>
  <c r="W34" i="9"/>
  <c r="AK25" i="9"/>
  <c r="AK24" i="9"/>
  <c r="AK32" i="9" s="1"/>
  <c r="AK23" i="9"/>
  <c r="AK22" i="9"/>
  <c r="AJ26" i="9"/>
  <c r="AJ27" i="9" s="1"/>
  <c r="AI27" i="9"/>
  <c r="AI33" i="9"/>
  <c r="AJ32" i="9"/>
  <c r="AM104" i="3"/>
  <c r="AM97" i="3"/>
  <c r="AN14" i="9"/>
  <c r="AN124" i="3"/>
  <c r="M90" i="23"/>
  <c r="P89" i="23"/>
  <c r="Q89" i="23"/>
  <c r="AK47" i="9"/>
  <c r="AK46" i="9"/>
  <c r="AP8" i="7"/>
  <c r="AN65" i="3"/>
  <c r="AP8" i="11"/>
  <c r="AP16" i="6"/>
  <c r="AP17" i="6"/>
  <c r="AP18" i="6"/>
  <c r="AP15" i="7"/>
  <c r="AP11" i="7"/>
  <c r="AP12" i="7"/>
  <c r="AP13" i="7"/>
  <c r="X20" i="9"/>
  <c r="Y62" i="9"/>
  <c r="AL61" i="9" a="1"/>
  <c r="AL61" i="9" s="1"/>
  <c r="AL24" i="3" s="1" a="1"/>
  <c r="AL24" i="3" s="1"/>
  <c r="AN114" i="3" a="1"/>
  <c r="AN114" i="3" s="1"/>
  <c r="AP11" i="2"/>
  <c r="AP14" i="6"/>
  <c r="AP15" i="6"/>
  <c r="AP14" i="7"/>
  <c r="AK6" i="3" a="1"/>
  <c r="AK6" i="3" s="1"/>
  <c r="AK9" i="3" a="1"/>
  <c r="AK9" i="3" s="1"/>
  <c r="AN76" i="3"/>
  <c r="AO12" i="2"/>
  <c r="AL7" i="3" s="1" a="1"/>
  <c r="AL7" i="3" s="1"/>
  <c r="AO19" i="6"/>
  <c r="AN17" i="3"/>
  <c r="AN18" i="3"/>
  <c r="AN16" i="3"/>
  <c r="AN20" i="3"/>
  <c r="AN21" i="3"/>
  <c r="AN22" i="3"/>
  <c r="AP7" i="6"/>
  <c r="AP12" i="6"/>
  <c r="AP7" i="2"/>
  <c r="AP6" i="2"/>
  <c r="AP5" i="2"/>
  <c r="AP10" i="2"/>
  <c r="AK65" i="9"/>
  <c r="AK25" i="3" s="1" a="1"/>
  <c r="AK25" i="3" s="1"/>
  <c r="AK26" i="3" s="1"/>
  <c r="AP5" i="11"/>
  <c r="AQ4" i="11"/>
  <c r="AN5" i="3"/>
  <c r="AO4" i="3"/>
  <c r="AP9" i="11"/>
  <c r="AP11" i="11"/>
  <c r="AP7" i="11"/>
  <c r="AP6" i="11"/>
  <c r="AL12" i="9"/>
  <c r="AL11" i="9"/>
  <c r="AM16" i="9"/>
  <c r="AL13" i="9"/>
  <c r="AL10" i="9"/>
  <c r="AK51" i="9"/>
  <c r="AK38" i="9"/>
  <c r="AK49" i="9"/>
  <c r="AK42" i="9"/>
  <c r="AK45" i="9"/>
  <c r="AQ4" i="7"/>
  <c r="AQ9" i="7" s="1"/>
  <c r="AQ4" i="6"/>
  <c r="AQ8" i="6" s="1"/>
  <c r="AQ4" i="2"/>
  <c r="AQ9" i="2" s="1"/>
  <c r="AP8" i="2"/>
  <c r="AP5" i="6"/>
  <c r="AP11" i="6"/>
  <c r="AP10" i="6"/>
  <c r="AP6" i="6"/>
  <c r="AP13" i="6"/>
  <c r="AP9" i="6"/>
  <c r="AO16" i="7"/>
  <c r="AP5" i="7"/>
  <c r="AP6" i="7"/>
  <c r="AP7" i="7"/>
  <c r="AP10" i="7"/>
  <c r="AN3" i="3"/>
  <c r="AO2" i="3"/>
  <c r="AL44" i="9" l="1"/>
  <c r="AL43" i="9"/>
  <c r="AM15" i="9"/>
  <c r="AM19" i="9"/>
  <c r="AM18" i="9"/>
  <c r="AL37" i="9"/>
  <c r="AL41" i="9"/>
  <c r="AJ33" i="9"/>
  <c r="X31" i="9"/>
  <c r="X29" i="9"/>
  <c r="X28" i="9"/>
  <c r="X30" i="9"/>
  <c r="AK26" i="9"/>
  <c r="AK33" i="9" s="1"/>
  <c r="AL25" i="9"/>
  <c r="AL24" i="9"/>
  <c r="AL23" i="9"/>
  <c r="AL22" i="9"/>
  <c r="AN104" i="3"/>
  <c r="AN97" i="3"/>
  <c r="AO14" i="9"/>
  <c r="AO124" i="3"/>
  <c r="P90" i="23"/>
  <c r="M91" i="23"/>
  <c r="Q90" i="23"/>
  <c r="X39" i="9"/>
  <c r="AL47" i="9"/>
  <c r="AL46" i="9"/>
  <c r="AQ8" i="7"/>
  <c r="AO65" i="3"/>
  <c r="AQ8" i="11"/>
  <c r="AQ16" i="6"/>
  <c r="AQ17" i="6"/>
  <c r="AQ18" i="6"/>
  <c r="AQ15" i="7"/>
  <c r="AQ11" i="7"/>
  <c r="AQ13" i="7"/>
  <c r="AQ12" i="7"/>
  <c r="W50" i="9"/>
  <c r="W58" i="9"/>
  <c r="W59" i="9" s="1"/>
  <c r="Y17" i="9"/>
  <c r="X40" i="9"/>
  <c r="AM61" i="9" a="1"/>
  <c r="AM61" i="9" s="1"/>
  <c r="AM24" i="3" s="1" a="1"/>
  <c r="AM24" i="3" s="1"/>
  <c r="AO114" i="3" a="1"/>
  <c r="AO114" i="3" s="1"/>
  <c r="AQ11" i="2"/>
  <c r="AQ14" i="6"/>
  <c r="AQ15" i="6"/>
  <c r="AQ14" i="7"/>
  <c r="AL6" i="3" a="1"/>
  <c r="AL6" i="3" s="1"/>
  <c r="AL9" i="3" a="1"/>
  <c r="AL9" i="3" s="1"/>
  <c r="AO76" i="3"/>
  <c r="AP12" i="2"/>
  <c r="AM7" i="3" s="1" a="1"/>
  <c r="AM7" i="3" s="1"/>
  <c r="AP19" i="6"/>
  <c r="AO17" i="3"/>
  <c r="AO18" i="3"/>
  <c r="AO16" i="3"/>
  <c r="AO20" i="3"/>
  <c r="AO21" i="3"/>
  <c r="AO22" i="3"/>
  <c r="Z62" i="9"/>
  <c r="AQ7" i="6"/>
  <c r="AQ12" i="6"/>
  <c r="AQ7" i="2"/>
  <c r="AQ6" i="2"/>
  <c r="AQ5" i="2"/>
  <c r="AQ10" i="2"/>
  <c r="AL65" i="9"/>
  <c r="AL25" i="3" s="1" a="1"/>
  <c r="AL25" i="3" s="1"/>
  <c r="AL26" i="3" s="1"/>
  <c r="AQ5" i="11"/>
  <c r="AR4" i="11"/>
  <c r="AO5" i="3"/>
  <c r="AP4" i="3"/>
  <c r="AQ7" i="11"/>
  <c r="AQ6" i="11"/>
  <c r="AQ9" i="11"/>
  <c r="AQ11" i="11"/>
  <c r="AM12" i="9"/>
  <c r="AM10" i="9"/>
  <c r="AM11" i="9"/>
  <c r="AN16" i="9"/>
  <c r="AM13" i="9"/>
  <c r="AL51" i="9"/>
  <c r="AL49" i="9"/>
  <c r="AL38" i="9"/>
  <c r="AL42" i="9"/>
  <c r="AL45" i="9"/>
  <c r="AR4" i="7"/>
  <c r="AR9" i="7" s="1"/>
  <c r="AR4" i="2"/>
  <c r="AR9" i="2" s="1"/>
  <c r="AR4" i="6"/>
  <c r="AR8" i="6" s="1"/>
  <c r="AP16" i="7"/>
  <c r="AQ8" i="2"/>
  <c r="AQ5" i="6"/>
  <c r="AQ11" i="6"/>
  <c r="AQ9" i="6"/>
  <c r="AQ10" i="6"/>
  <c r="AQ13" i="6"/>
  <c r="AQ6" i="6"/>
  <c r="AQ6" i="7"/>
  <c r="AQ10" i="7"/>
  <c r="AQ7" i="7"/>
  <c r="AQ5" i="7"/>
  <c r="AP2" i="3"/>
  <c r="AO3" i="3"/>
  <c r="AM44" i="9" l="1"/>
  <c r="AM43" i="9"/>
  <c r="AN15" i="9"/>
  <c r="AN18" i="9"/>
  <c r="AN19" i="9"/>
  <c r="AM37" i="9"/>
  <c r="AM41" i="9"/>
  <c r="AK27" i="9"/>
  <c r="X34" i="9"/>
  <c r="AL26" i="9"/>
  <c r="AL27" i="9" s="1"/>
  <c r="AM25" i="9"/>
  <c r="AM22" i="9"/>
  <c r="AM24" i="9"/>
  <c r="AM32" i="9" s="1"/>
  <c r="AM23" i="9"/>
  <c r="AL32" i="9"/>
  <c r="AO104" i="3"/>
  <c r="AO97" i="3"/>
  <c r="AP14" i="9"/>
  <c r="AP124" i="3"/>
  <c r="M92" i="23"/>
  <c r="P91" i="23"/>
  <c r="Q91" i="23"/>
  <c r="AM47" i="9"/>
  <c r="AM46" i="9"/>
  <c r="AR8" i="7"/>
  <c r="AP65" i="3"/>
  <c r="AR8" i="11"/>
  <c r="AR16" i="6"/>
  <c r="AR17" i="6"/>
  <c r="AR18" i="6"/>
  <c r="AR15" i="7"/>
  <c r="AR11" i="7"/>
  <c r="AR12" i="7"/>
  <c r="AR13" i="7"/>
  <c r="Y20" i="9"/>
  <c r="AN61" i="9" a="1"/>
  <c r="AN61" i="9" s="1"/>
  <c r="AB62" i="9" s="1"/>
  <c r="AP114" i="3" a="1"/>
  <c r="AP114" i="3" s="1"/>
  <c r="AR11" i="2"/>
  <c r="AR14" i="6"/>
  <c r="AR15" i="6"/>
  <c r="AR14" i="7"/>
  <c r="AM6" i="3" a="1"/>
  <c r="AM6" i="3" s="1"/>
  <c r="AM9" i="3" a="1"/>
  <c r="AM9" i="3" s="1"/>
  <c r="AP76" i="3"/>
  <c r="AQ12" i="2"/>
  <c r="AN7" i="3" s="1" a="1"/>
  <c r="AN7" i="3" s="1"/>
  <c r="AQ19" i="6"/>
  <c r="AP16" i="3"/>
  <c r="AP18" i="3"/>
  <c r="AP22" i="3"/>
  <c r="AP21" i="3"/>
  <c r="AP17" i="3"/>
  <c r="AP20" i="3"/>
  <c r="AA62" i="9"/>
  <c r="AR7" i="6"/>
  <c r="AR12" i="6"/>
  <c r="AR6" i="2"/>
  <c r="AR7" i="2"/>
  <c r="AR5" i="2"/>
  <c r="AR10" i="2"/>
  <c r="AM65" i="9"/>
  <c r="AM25" i="3" s="1" a="1"/>
  <c r="AM25" i="3" s="1"/>
  <c r="AM26" i="3" s="1"/>
  <c r="AR5" i="11"/>
  <c r="AS4" i="11"/>
  <c r="AP5" i="3"/>
  <c r="AQ4" i="3"/>
  <c r="AR9" i="11"/>
  <c r="AR11" i="11"/>
  <c r="AR6" i="11"/>
  <c r="AR7" i="11"/>
  <c r="AN12" i="9"/>
  <c r="AN13" i="9"/>
  <c r="AN10" i="9"/>
  <c r="AN11" i="9"/>
  <c r="AO16" i="9"/>
  <c r="AM49" i="9"/>
  <c r="AM38" i="9"/>
  <c r="AM42" i="9"/>
  <c r="AM45" i="9"/>
  <c r="AM51" i="9"/>
  <c r="AQ16" i="7"/>
  <c r="AR13" i="6"/>
  <c r="AR10" i="6"/>
  <c r="AR5" i="6"/>
  <c r="AR6" i="6"/>
  <c r="AR9" i="6"/>
  <c r="AR11" i="6"/>
  <c r="AR8" i="2"/>
  <c r="AS4" i="7"/>
  <c r="AS9" i="7" s="1"/>
  <c r="AS4" i="6"/>
  <c r="AS8" i="6" s="1"/>
  <c r="AS4" i="2"/>
  <c r="AS9" i="2" s="1"/>
  <c r="AR6" i="7"/>
  <c r="AR5" i="7"/>
  <c r="AR10" i="7"/>
  <c r="AR7" i="7"/>
  <c r="AP3" i="3"/>
  <c r="AQ2" i="3"/>
  <c r="AN44" i="9" l="1"/>
  <c r="AN43" i="9"/>
  <c r="AO15" i="9"/>
  <c r="AO18" i="9"/>
  <c r="AO19" i="9"/>
  <c r="AN37" i="9"/>
  <c r="AN41" i="9"/>
  <c r="AL33" i="9"/>
  <c r="AN25" i="9"/>
  <c r="AN22" i="9"/>
  <c r="AN23" i="9"/>
  <c r="AN24" i="9"/>
  <c r="AN32" i="9" s="1"/>
  <c r="AM26" i="9"/>
  <c r="AM33" i="9" s="1"/>
  <c r="Y31" i="9"/>
  <c r="Y29" i="9"/>
  <c r="Y28" i="9"/>
  <c r="Y30" i="9"/>
  <c r="AP104" i="3"/>
  <c r="AP97" i="3"/>
  <c r="AQ14" i="9"/>
  <c r="AQ124" i="3"/>
  <c r="AQ97" i="3" s="1"/>
  <c r="Q92" i="23"/>
  <c r="M93" i="23"/>
  <c r="P92" i="23"/>
  <c r="Y39" i="9"/>
  <c r="AN47" i="9"/>
  <c r="AN46" i="9"/>
  <c r="AS8" i="7"/>
  <c r="AQ65" i="3"/>
  <c r="AS8" i="11"/>
  <c r="AS16" i="6"/>
  <c r="AS17" i="6"/>
  <c r="AS18" i="6"/>
  <c r="AS15" i="7"/>
  <c r="AS11" i="7"/>
  <c r="AS13" i="7"/>
  <c r="AS12" i="7"/>
  <c r="X50" i="9"/>
  <c r="X58" i="9"/>
  <c r="X59" i="9" s="1"/>
  <c r="Z17" i="9"/>
  <c r="Y40" i="9"/>
  <c r="AN24" i="3" a="1"/>
  <c r="AN24" i="3" s="1"/>
  <c r="AO61" i="9" a="1"/>
  <c r="AO61" i="9" s="1"/>
  <c r="AO24" i="3" s="1" a="1"/>
  <c r="AO24" i="3" s="1"/>
  <c r="AQ114" i="3" a="1"/>
  <c r="AQ114" i="3" s="1"/>
  <c r="AS11" i="2"/>
  <c r="AS15" i="6"/>
  <c r="AS14" i="6"/>
  <c r="AS14" i="7"/>
  <c r="AN6" i="3" a="1"/>
  <c r="AN6" i="3" s="1"/>
  <c r="AN9" i="3" a="1"/>
  <c r="AN9" i="3" s="1"/>
  <c r="AR12" i="2"/>
  <c r="AO7" i="3" s="1" a="1"/>
  <c r="AO7" i="3" s="1"/>
  <c r="AQ76" i="3"/>
  <c r="AR19" i="6"/>
  <c r="AQ16" i="3"/>
  <c r="AQ17" i="3"/>
  <c r="AQ18" i="3"/>
  <c r="AQ20" i="3"/>
  <c r="AQ21" i="3"/>
  <c r="AQ22" i="3"/>
  <c r="AS7" i="6"/>
  <c r="AS12" i="6"/>
  <c r="AS7" i="2"/>
  <c r="AS6" i="2"/>
  <c r="AS5" i="2"/>
  <c r="AS10" i="2"/>
  <c r="AN65" i="9"/>
  <c r="AN25" i="3" s="1" a="1"/>
  <c r="AN25" i="3" s="1"/>
  <c r="AS5" i="11"/>
  <c r="AS6" i="11"/>
  <c r="AS7" i="11"/>
  <c r="AS11" i="11"/>
  <c r="AS9" i="11"/>
  <c r="AT4" i="11"/>
  <c r="AQ5" i="3"/>
  <c r="AR4" i="3"/>
  <c r="AO12" i="9"/>
  <c r="AO13" i="9"/>
  <c r="AO10" i="9"/>
  <c r="AP16" i="9"/>
  <c r="AO11" i="9"/>
  <c r="AN42" i="9"/>
  <c r="AN45" i="9"/>
  <c r="AN51" i="9"/>
  <c r="AN38" i="9"/>
  <c r="AN49" i="9"/>
  <c r="AR16" i="7"/>
  <c r="AT4" i="7"/>
  <c r="AT9" i="7" s="1"/>
  <c r="AT4" i="6"/>
  <c r="AT8" i="6" s="1"/>
  <c r="AT4" i="2"/>
  <c r="AT9" i="2" s="1"/>
  <c r="AS8" i="2"/>
  <c r="AS5" i="6"/>
  <c r="AS6" i="6"/>
  <c r="AS10" i="6"/>
  <c r="AS9" i="6"/>
  <c r="AS11" i="6"/>
  <c r="AS13" i="6"/>
  <c r="AS5" i="7"/>
  <c r="AS7" i="7"/>
  <c r="AS6" i="7"/>
  <c r="AS10" i="7"/>
  <c r="AR2" i="3"/>
  <c r="AQ3" i="3"/>
  <c r="AO44" i="9" l="1"/>
  <c r="AO43" i="9"/>
  <c r="AP15" i="9"/>
  <c r="AP18" i="9"/>
  <c r="AP19" i="9"/>
  <c r="AO37" i="9"/>
  <c r="AO41" i="9"/>
  <c r="AM27" i="9"/>
  <c r="AO25" i="9"/>
  <c r="AO24" i="9"/>
  <c r="AO32" i="9" s="1"/>
  <c r="AO23" i="9"/>
  <c r="AO22" i="9"/>
  <c r="Y34" i="9"/>
  <c r="AN26" i="9"/>
  <c r="AN27" i="9" s="1"/>
  <c r="AQ104" i="3"/>
  <c r="AR14" i="9"/>
  <c r="AR124" i="3"/>
  <c r="M94" i="23"/>
  <c r="P93" i="23"/>
  <c r="Q93" i="23"/>
  <c r="AO47" i="9"/>
  <c r="AO46" i="9"/>
  <c r="AN26" i="3"/>
  <c r="AT8" i="7"/>
  <c r="AR65" i="3"/>
  <c r="AT8" i="11"/>
  <c r="AT16" i="6"/>
  <c r="AT17" i="6"/>
  <c r="AT18" i="6"/>
  <c r="AT15" i="7"/>
  <c r="AT11" i="7"/>
  <c r="AT12" i="7"/>
  <c r="AT13" i="7"/>
  <c r="Z20" i="9"/>
  <c r="AC62" i="9"/>
  <c r="AP61" i="9" a="1"/>
  <c r="AP61" i="9" s="1"/>
  <c r="AD62" i="9" s="1"/>
  <c r="AR114" i="3" a="1"/>
  <c r="AR114" i="3" s="1"/>
  <c r="AT11" i="2"/>
  <c r="AT14" i="6"/>
  <c r="AT15" i="6"/>
  <c r="AT14" i="7"/>
  <c r="AO6" i="3" a="1"/>
  <c r="AO6" i="3" s="1"/>
  <c r="AO9" i="3" a="1"/>
  <c r="AO9" i="3" s="1"/>
  <c r="AS12" i="2"/>
  <c r="AP7" i="3" s="1" a="1"/>
  <c r="AP7" i="3" s="1"/>
  <c r="AR76" i="3"/>
  <c r="AS19" i="6"/>
  <c r="AR20" i="3"/>
  <c r="AR18" i="3"/>
  <c r="AR21" i="3"/>
  <c r="AR22" i="3"/>
  <c r="AR16" i="3"/>
  <c r="AR17" i="3"/>
  <c r="AT7" i="6"/>
  <c r="AT12" i="6"/>
  <c r="AT7" i="2"/>
  <c r="AT6" i="2"/>
  <c r="AT5" i="2"/>
  <c r="AT10" i="2"/>
  <c r="AO65" i="9"/>
  <c r="AO25" i="3" s="1" a="1"/>
  <c r="AO25" i="3" s="1"/>
  <c r="AO26" i="3" s="1"/>
  <c r="AT5" i="11"/>
  <c r="AU4" i="11"/>
  <c r="AR5" i="3"/>
  <c r="AS4" i="3"/>
  <c r="AT9" i="11"/>
  <c r="AT6" i="11"/>
  <c r="AT7" i="11"/>
  <c r="AP12" i="9"/>
  <c r="AP13" i="9"/>
  <c r="AP10" i="9"/>
  <c r="AP11" i="9"/>
  <c r="AQ16" i="9"/>
  <c r="AO42" i="9"/>
  <c r="AO51" i="9"/>
  <c r="AO49" i="9"/>
  <c r="AO38" i="9"/>
  <c r="AO45" i="9"/>
  <c r="AU4" i="7"/>
  <c r="AU9" i="7" s="1"/>
  <c r="AU4" i="6"/>
  <c r="AU8" i="6" s="1"/>
  <c r="AU4" i="2"/>
  <c r="AU9" i="2" s="1"/>
  <c r="AT5" i="7"/>
  <c r="AT10" i="7"/>
  <c r="AT7" i="7"/>
  <c r="AT6" i="7"/>
  <c r="AT8" i="2"/>
  <c r="AS16" i="7"/>
  <c r="AT5" i="6"/>
  <c r="AT10" i="6"/>
  <c r="AT9" i="6"/>
  <c r="AT11" i="6"/>
  <c r="AT13" i="6"/>
  <c r="AT6" i="6"/>
  <c r="AR3" i="3"/>
  <c r="AS2" i="3"/>
  <c r="AP44" i="9" l="1"/>
  <c r="AP43" i="9"/>
  <c r="AQ15" i="9"/>
  <c r="AQ19" i="9"/>
  <c r="AQ18" i="9"/>
  <c r="AP37" i="9"/>
  <c r="AP41" i="9"/>
  <c r="AO26" i="9"/>
  <c r="AO27" i="9" s="1"/>
  <c r="Z31" i="9"/>
  <c r="Z29" i="9"/>
  <c r="Z30" i="9"/>
  <c r="Z28" i="9"/>
  <c r="AP25" i="9"/>
  <c r="AP23" i="9"/>
  <c r="AP24" i="9"/>
  <c r="AP32" i="9" s="1"/>
  <c r="AP22" i="9"/>
  <c r="AN33" i="9"/>
  <c r="AR104" i="3"/>
  <c r="AR97" i="3"/>
  <c r="AS14" i="9"/>
  <c r="AS124" i="3"/>
  <c r="P94" i="23"/>
  <c r="Q94" i="23"/>
  <c r="M95" i="23"/>
  <c r="Z39" i="9"/>
  <c r="AP47" i="9"/>
  <c r="AP46" i="9"/>
  <c r="AU8" i="7"/>
  <c r="AS65" i="3"/>
  <c r="AU8" i="11"/>
  <c r="AU16" i="6"/>
  <c r="AU17" i="6"/>
  <c r="AU18" i="6"/>
  <c r="AU15" i="7"/>
  <c r="AU11" i="7"/>
  <c r="AU13" i="7"/>
  <c r="AU12" i="7"/>
  <c r="Y50" i="9"/>
  <c r="Y58" i="9"/>
  <c r="Y59" i="9" s="1"/>
  <c r="AA17" i="9"/>
  <c r="Z40" i="9"/>
  <c r="AP24" i="3" a="1"/>
  <c r="AP24" i="3" s="1"/>
  <c r="AQ61" i="9" a="1"/>
  <c r="AQ61" i="9" s="1"/>
  <c r="AQ24" i="3" s="1" a="1"/>
  <c r="AQ24" i="3" s="1"/>
  <c r="AS114" i="3" a="1"/>
  <c r="AS114" i="3" s="1"/>
  <c r="AU11" i="2"/>
  <c r="AU15" i="6"/>
  <c r="AU14" i="6"/>
  <c r="AU14" i="7"/>
  <c r="AP6" i="3" a="1"/>
  <c r="AP6" i="3" s="1"/>
  <c r="AP9" i="3" a="1"/>
  <c r="AP9" i="3" s="1"/>
  <c r="AS76" i="3"/>
  <c r="AT12" i="2"/>
  <c r="AQ7" i="3" s="1" a="1"/>
  <c r="AQ7" i="3" s="1"/>
  <c r="AT19" i="6"/>
  <c r="AS17" i="3"/>
  <c r="AS16" i="3"/>
  <c r="AS20" i="3"/>
  <c r="AS22" i="3"/>
  <c r="AS18" i="3"/>
  <c r="AS21" i="3"/>
  <c r="AU7" i="6"/>
  <c r="AU12" i="6"/>
  <c r="AU6" i="2"/>
  <c r="AU7" i="2"/>
  <c r="AU5" i="2"/>
  <c r="AU10" i="2"/>
  <c r="AP65" i="9"/>
  <c r="AP25" i="3" s="1" a="1"/>
  <c r="AP25" i="3" s="1"/>
  <c r="AU5" i="11"/>
  <c r="AU9" i="11"/>
  <c r="AU7" i="11"/>
  <c r="AU6" i="11"/>
  <c r="AU11" i="11"/>
  <c r="AV4" i="11"/>
  <c r="AS5" i="3"/>
  <c r="AT4" i="3"/>
  <c r="AQ12" i="9"/>
  <c r="AQ10" i="9"/>
  <c r="AQ11" i="9"/>
  <c r="AR16" i="9"/>
  <c r="AQ13" i="9"/>
  <c r="AP45" i="9"/>
  <c r="AP42" i="9"/>
  <c r="AP51" i="9"/>
  <c r="AP49" i="9"/>
  <c r="AP38" i="9"/>
  <c r="AU5" i="6"/>
  <c r="AU10" i="6"/>
  <c r="AU11" i="6"/>
  <c r="AU6" i="6"/>
  <c r="AU13" i="6"/>
  <c r="AU9" i="6"/>
  <c r="AU6" i="7"/>
  <c r="AU5" i="7"/>
  <c r="AU7" i="7"/>
  <c r="AU10" i="7"/>
  <c r="AV4" i="7"/>
  <c r="AV9" i="7" s="1"/>
  <c r="AV4" i="2"/>
  <c r="AV9" i="2" s="1"/>
  <c r="AV4" i="6"/>
  <c r="AV8" i="6" s="1"/>
  <c r="AT16" i="7"/>
  <c r="AU8" i="2"/>
  <c r="AT2" i="3"/>
  <c r="AS3" i="3"/>
  <c r="AQ44" i="9" l="1"/>
  <c r="AQ43" i="9"/>
  <c r="AR15" i="9"/>
  <c r="AR19" i="9"/>
  <c r="AR18" i="9"/>
  <c r="AQ37" i="9"/>
  <c r="AQ41" i="9"/>
  <c r="Z34" i="9"/>
  <c r="AP26" i="9"/>
  <c r="AP27" i="9" s="1"/>
  <c r="AQ25" i="9"/>
  <c r="AQ24" i="9"/>
  <c r="AQ32" i="9" s="1"/>
  <c r="AQ22" i="9"/>
  <c r="AQ23" i="9"/>
  <c r="AO33" i="9"/>
  <c r="AS104" i="3"/>
  <c r="AS97" i="3"/>
  <c r="AT14" i="9"/>
  <c r="AT124" i="3"/>
  <c r="P95" i="23"/>
  <c r="Q95" i="23"/>
  <c r="M96" i="23"/>
  <c r="AQ47" i="9"/>
  <c r="AQ46" i="9"/>
  <c r="AV8" i="7"/>
  <c r="AT65" i="3"/>
  <c r="AV8" i="11"/>
  <c r="AV16" i="6"/>
  <c r="AV17" i="6"/>
  <c r="AV18" i="6"/>
  <c r="AV15" i="7"/>
  <c r="AV11" i="7"/>
  <c r="AV12" i="7"/>
  <c r="AV13" i="7"/>
  <c r="AA20" i="9"/>
  <c r="AP26" i="3"/>
  <c r="AE62" i="9"/>
  <c r="AR61" i="9" a="1"/>
  <c r="AR61" i="9" s="1"/>
  <c r="AR24" i="3" s="1" a="1"/>
  <c r="AR24" i="3" s="1"/>
  <c r="AT114" i="3" a="1"/>
  <c r="AT114" i="3" s="1"/>
  <c r="AV11" i="2"/>
  <c r="AV14" i="6"/>
  <c r="AV15" i="6"/>
  <c r="AV14" i="7"/>
  <c r="AQ6" i="3" a="1"/>
  <c r="AQ6" i="3" s="1"/>
  <c r="AQ9" i="3" a="1"/>
  <c r="AQ9" i="3" s="1"/>
  <c r="AT76" i="3"/>
  <c r="AU12" i="2"/>
  <c r="AR7" i="3" s="1" a="1"/>
  <c r="AR7" i="3" s="1"/>
  <c r="AU19" i="6"/>
  <c r="AT17" i="3"/>
  <c r="AT18" i="3"/>
  <c r="AT16" i="3"/>
  <c r="AT22" i="3"/>
  <c r="AT21" i="3"/>
  <c r="AT20" i="3"/>
  <c r="AV7" i="6"/>
  <c r="AV12" i="6"/>
  <c r="AV6" i="2"/>
  <c r="AV7" i="2"/>
  <c r="AV5" i="2"/>
  <c r="AV10" i="2"/>
  <c r="AQ65" i="9"/>
  <c r="AQ25" i="3" s="1" a="1"/>
  <c r="AQ25" i="3" s="1"/>
  <c r="AQ26" i="3" s="1"/>
  <c r="AV5" i="11"/>
  <c r="AW4" i="11"/>
  <c r="AT5" i="3"/>
  <c r="AU4" i="3"/>
  <c r="AV7" i="11"/>
  <c r="AV6" i="11"/>
  <c r="AV9" i="11"/>
  <c r="AV11" i="11"/>
  <c r="AR12" i="9"/>
  <c r="AR13" i="9"/>
  <c r="AR11" i="9"/>
  <c r="AR10" i="9"/>
  <c r="AS16" i="9"/>
  <c r="AQ49" i="9"/>
  <c r="AQ38" i="9"/>
  <c r="AQ42" i="9"/>
  <c r="AQ45" i="9"/>
  <c r="AQ51" i="9"/>
  <c r="AV6" i="7"/>
  <c r="AV5" i="7"/>
  <c r="AV7" i="7"/>
  <c r="AV10" i="7"/>
  <c r="AV11" i="6"/>
  <c r="AV13" i="6"/>
  <c r="AV10" i="6"/>
  <c r="AV6" i="6"/>
  <c r="AV9" i="6"/>
  <c r="AV5" i="6"/>
  <c r="AU16" i="7"/>
  <c r="AV8" i="2"/>
  <c r="AW4" i="7"/>
  <c r="AW9" i="7" s="1"/>
  <c r="AW4" i="6"/>
  <c r="AW8" i="6" s="1"/>
  <c r="AW4" i="2"/>
  <c r="AW9" i="2" s="1"/>
  <c r="AT3" i="3"/>
  <c r="AU2" i="3"/>
  <c r="AR44" i="9" l="1"/>
  <c r="AR43" i="9"/>
  <c r="AS15" i="9"/>
  <c r="AS19" i="9"/>
  <c r="AS18" i="9"/>
  <c r="AR37" i="9"/>
  <c r="AR41" i="9"/>
  <c r="AA31" i="9"/>
  <c r="AA29" i="9"/>
  <c r="AA28" i="9"/>
  <c r="AA30" i="9"/>
  <c r="AQ26" i="9"/>
  <c r="AQ27" i="9" s="1"/>
  <c r="AR25" i="9"/>
  <c r="AR23" i="9"/>
  <c r="AR24" i="9"/>
  <c r="AR22" i="9"/>
  <c r="AP33" i="9"/>
  <c r="AT104" i="3"/>
  <c r="AT97" i="3"/>
  <c r="AU14" i="9"/>
  <c r="AU124" i="3"/>
  <c r="O96" i="23"/>
  <c r="P96" i="23"/>
  <c r="Q96" i="23"/>
  <c r="M97" i="23"/>
  <c r="AA39" i="9"/>
  <c r="AR47" i="9"/>
  <c r="AR46" i="9"/>
  <c r="AW8" i="7"/>
  <c r="AU65" i="3"/>
  <c r="AW8" i="11"/>
  <c r="AW16" i="6"/>
  <c r="AW17" i="6"/>
  <c r="AW18" i="6"/>
  <c r="AW15" i="7"/>
  <c r="AW12" i="7"/>
  <c r="AW13" i="7"/>
  <c r="AW11" i="7"/>
  <c r="Z50" i="9"/>
  <c r="Z58" i="9"/>
  <c r="Z59" i="9" s="1"/>
  <c r="AB17" i="9"/>
  <c r="AA40" i="9"/>
  <c r="AS61" i="9" a="1"/>
  <c r="AS61" i="9" s="1"/>
  <c r="AG62" i="9" s="1"/>
  <c r="AU114" i="3" a="1"/>
  <c r="AU114" i="3" s="1"/>
  <c r="AW11" i="2"/>
  <c r="AW15" i="6"/>
  <c r="AW14" i="6"/>
  <c r="AW14" i="7"/>
  <c r="AR6" i="3" a="1"/>
  <c r="AR6" i="3" s="1"/>
  <c r="AR9" i="3" a="1"/>
  <c r="AR9" i="3" s="1"/>
  <c r="AV12" i="2"/>
  <c r="AS7" i="3" s="1" a="1"/>
  <c r="AS7" i="3" s="1"/>
  <c r="AU76" i="3"/>
  <c r="AV19" i="6"/>
  <c r="AU16" i="3"/>
  <c r="AU17" i="3"/>
  <c r="AU18" i="3"/>
  <c r="AU20" i="3"/>
  <c r="AU21" i="3"/>
  <c r="AU22" i="3"/>
  <c r="AF62" i="9"/>
  <c r="AW7" i="6"/>
  <c r="AW12" i="6"/>
  <c r="AW7" i="2"/>
  <c r="AW6" i="2"/>
  <c r="AW5" i="2"/>
  <c r="AW10" i="2"/>
  <c r="AR65" i="9"/>
  <c r="AR25" i="3" s="1" a="1"/>
  <c r="AR25" i="3" s="1"/>
  <c r="AR26" i="3" s="1"/>
  <c r="AW5" i="11"/>
  <c r="AW6" i="11"/>
  <c r="AW9" i="11"/>
  <c r="AW7" i="11"/>
  <c r="AX4" i="11"/>
  <c r="AU5" i="3"/>
  <c r="AV4" i="3"/>
  <c r="AS12" i="9"/>
  <c r="AS11" i="9"/>
  <c r="AT16" i="9"/>
  <c r="AS13" i="9"/>
  <c r="AS10" i="9"/>
  <c r="AR42" i="9"/>
  <c r="AR51" i="9"/>
  <c r="AR38" i="9"/>
  <c r="AR49" i="9"/>
  <c r="AR45" i="9"/>
  <c r="AW5" i="6"/>
  <c r="AW6" i="6"/>
  <c r="AW9" i="6"/>
  <c r="AW13" i="6"/>
  <c r="AW10" i="6"/>
  <c r="AW11" i="6"/>
  <c r="AW6" i="7"/>
  <c r="AW7" i="7"/>
  <c r="AW5" i="7"/>
  <c r="AW10" i="7"/>
  <c r="AW8" i="2"/>
  <c r="AX4" i="7"/>
  <c r="AX9" i="7" s="1"/>
  <c r="AX4" i="6"/>
  <c r="AX8" i="6" s="1"/>
  <c r="AX4" i="2"/>
  <c r="AX9" i="2" s="1"/>
  <c r="AV16" i="7"/>
  <c r="AV2" i="3"/>
  <c r="AU3" i="3"/>
  <c r="AS44" i="9" l="1"/>
  <c r="AS43" i="9"/>
  <c r="AT15" i="9"/>
  <c r="AT19" i="9"/>
  <c r="AT18" i="9"/>
  <c r="AS37" i="9"/>
  <c r="AS41" i="9"/>
  <c r="AA34" i="9"/>
  <c r="AQ33" i="9"/>
  <c r="AS25" i="9"/>
  <c r="AS22" i="9"/>
  <c r="AS23" i="9"/>
  <c r="AS24" i="9"/>
  <c r="AS32" i="9" s="1"/>
  <c r="AR26" i="9"/>
  <c r="AR32" i="9"/>
  <c r="AU104" i="3"/>
  <c r="AU97" i="3"/>
  <c r="AV14" i="9"/>
  <c r="AV124" i="3"/>
  <c r="R96" i="23"/>
  <c r="O97" i="23"/>
  <c r="P97" i="23"/>
  <c r="Q97" i="23"/>
  <c r="M98" i="23"/>
  <c r="AS47" i="9"/>
  <c r="AS46" i="9"/>
  <c r="AX8" i="7"/>
  <c r="AV65" i="3"/>
  <c r="AX8" i="11"/>
  <c r="AX16" i="6"/>
  <c r="AX17" i="6"/>
  <c r="AX18" i="6"/>
  <c r="AX15" i="7"/>
  <c r="AX11" i="7"/>
  <c r="AX12" i="7"/>
  <c r="AX13" i="7"/>
  <c r="AS24" i="3" a="1"/>
  <c r="AS24" i="3" s="1"/>
  <c r="AB20" i="9"/>
  <c r="AT61" i="9" a="1"/>
  <c r="AT61" i="9" s="1"/>
  <c r="AT24" i="3" s="1" a="1"/>
  <c r="AT24" i="3" s="1"/>
  <c r="AV114" i="3" a="1"/>
  <c r="AV114" i="3" s="1"/>
  <c r="AX11" i="2"/>
  <c r="AX14" i="6"/>
  <c r="AX15" i="6"/>
  <c r="AX14" i="7"/>
  <c r="AS6" i="3" a="1"/>
  <c r="AS6" i="3" s="1"/>
  <c r="AS9" i="3" a="1"/>
  <c r="AS9" i="3" s="1"/>
  <c r="AW12" i="2"/>
  <c r="AT7" i="3" s="1" a="1"/>
  <c r="AT7" i="3" s="1"/>
  <c r="AV76" i="3"/>
  <c r="AW19" i="6"/>
  <c r="AV16" i="3"/>
  <c r="AV18" i="3"/>
  <c r="AV17" i="3"/>
  <c r="AV20" i="3"/>
  <c r="AV22" i="3"/>
  <c r="AV21" i="3"/>
  <c r="AX7" i="6"/>
  <c r="AX12" i="6"/>
  <c r="AX7" i="2"/>
  <c r="AX6" i="2"/>
  <c r="AX5" i="2"/>
  <c r="AX10" i="2"/>
  <c r="AS65" i="9"/>
  <c r="AS25" i="3" s="1" a="1"/>
  <c r="AS25" i="3" s="1"/>
  <c r="AX5" i="11"/>
  <c r="AY4" i="11"/>
  <c r="AV5" i="3"/>
  <c r="AW4" i="3"/>
  <c r="AX9" i="11"/>
  <c r="AX6" i="11"/>
  <c r="AX7" i="11"/>
  <c r="AX11" i="11"/>
  <c r="AT12" i="9"/>
  <c r="AT10" i="9"/>
  <c r="AT11" i="9"/>
  <c r="AT13" i="9"/>
  <c r="AU16" i="9"/>
  <c r="AS51" i="9"/>
  <c r="AS49" i="9"/>
  <c r="AS38" i="9"/>
  <c r="AS42" i="9"/>
  <c r="AS45" i="9"/>
  <c r="AX8" i="2"/>
  <c r="AX5" i="6"/>
  <c r="AX13" i="6"/>
  <c r="AX10" i="6"/>
  <c r="AX9" i="6"/>
  <c r="AX6" i="6"/>
  <c r="AX11" i="6"/>
  <c r="AX10" i="7"/>
  <c r="AX7" i="7"/>
  <c r="AX5" i="7"/>
  <c r="AX6" i="7"/>
  <c r="AY4" i="7"/>
  <c r="AY9" i="7" s="1"/>
  <c r="AY4" i="6"/>
  <c r="AY8" i="6" s="1"/>
  <c r="AY4" i="2"/>
  <c r="AY9" i="2" s="1"/>
  <c r="AW16" i="7"/>
  <c r="AV3" i="3"/>
  <c r="AW2" i="3"/>
  <c r="AT44" i="9" l="1"/>
  <c r="AT43" i="9"/>
  <c r="AU15" i="9"/>
  <c r="AU19" i="9"/>
  <c r="AU18" i="9"/>
  <c r="AT37" i="9"/>
  <c r="AT41" i="9"/>
  <c r="AT25" i="9"/>
  <c r="AT24" i="9"/>
  <c r="AT22" i="9"/>
  <c r="AT23" i="9"/>
  <c r="AR27" i="9"/>
  <c r="AB31" i="9"/>
  <c r="AB29" i="9"/>
  <c r="AB30" i="9"/>
  <c r="AB28" i="9"/>
  <c r="AR33" i="9"/>
  <c r="AS26" i="9"/>
  <c r="AS27" i="9" s="1"/>
  <c r="AV104" i="3"/>
  <c r="AV97" i="3"/>
  <c r="AW14" i="9"/>
  <c r="AW124" i="3"/>
  <c r="R97" i="23"/>
  <c r="O98" i="23"/>
  <c r="Q98" i="23"/>
  <c r="M99" i="23"/>
  <c r="P98" i="23"/>
  <c r="AB39" i="9"/>
  <c r="AT47" i="9"/>
  <c r="AT46" i="9"/>
  <c r="AY8" i="7"/>
  <c r="AW65" i="3"/>
  <c r="AY8" i="11"/>
  <c r="AS26" i="3"/>
  <c r="AY16" i="6"/>
  <c r="AY17" i="6"/>
  <c r="AY18" i="6"/>
  <c r="AY15" i="7"/>
  <c r="AY11" i="7"/>
  <c r="AY13" i="7"/>
  <c r="AY12" i="7"/>
  <c r="AA50" i="9"/>
  <c r="AA58" i="9"/>
  <c r="AA59" i="9" s="1"/>
  <c r="AC17" i="9"/>
  <c r="AB40" i="9"/>
  <c r="AU61" i="9" a="1"/>
  <c r="AU61" i="9" s="1"/>
  <c r="AU24" i="3" s="1" a="1"/>
  <c r="AU24" i="3" s="1"/>
  <c r="AY11" i="2"/>
  <c r="AY14" i="6"/>
  <c r="AY15" i="6"/>
  <c r="AY14" i="7"/>
  <c r="AT6" i="3" a="1"/>
  <c r="AT6" i="3" s="1"/>
  <c r="AT9" i="3" a="1"/>
  <c r="AT9" i="3" s="1"/>
  <c r="AW114" i="3" a="1"/>
  <c r="AW114" i="3" s="1"/>
  <c r="AX12" i="2"/>
  <c r="AU7" i="3" s="1" a="1"/>
  <c r="AU7" i="3" s="1"/>
  <c r="AW76" i="3"/>
  <c r="AX19" i="6"/>
  <c r="AW20" i="3"/>
  <c r="AW18" i="3"/>
  <c r="AW16" i="3"/>
  <c r="AW17" i="3"/>
  <c r="AW21" i="3"/>
  <c r="AW22" i="3"/>
  <c r="AH62" i="9"/>
  <c r="AY7" i="6"/>
  <c r="AY12" i="6"/>
  <c r="AY6" i="2"/>
  <c r="AY7" i="2"/>
  <c r="AY5" i="2"/>
  <c r="AY10" i="2"/>
  <c r="AT65" i="9"/>
  <c r="AT25" i="3" s="1" a="1"/>
  <c r="AT25" i="3" s="1"/>
  <c r="AT26" i="3" s="1"/>
  <c r="AY5" i="11"/>
  <c r="AY9" i="11"/>
  <c r="AY6" i="11"/>
  <c r="AY11" i="11"/>
  <c r="AY7" i="11"/>
  <c r="AZ4" i="11"/>
  <c r="AW5" i="3"/>
  <c r="AX4" i="3"/>
  <c r="AU12" i="9"/>
  <c r="AU10" i="9"/>
  <c r="AV16" i="9"/>
  <c r="AU13" i="9"/>
  <c r="AU11" i="9"/>
  <c r="AT49" i="9"/>
  <c r="AT38" i="9"/>
  <c r="AT42" i="9"/>
  <c r="AT45" i="9"/>
  <c r="AT51" i="9"/>
  <c r="AY8" i="2"/>
  <c r="AY5" i="6"/>
  <c r="AY11" i="6"/>
  <c r="AY13" i="6"/>
  <c r="AY6" i="6"/>
  <c r="AY10" i="6"/>
  <c r="AY9" i="6"/>
  <c r="AX16" i="7"/>
  <c r="AZ4" i="7"/>
  <c r="AZ9" i="7" s="1"/>
  <c r="AZ4" i="2"/>
  <c r="AZ9" i="2" s="1"/>
  <c r="AZ4" i="6"/>
  <c r="AZ8" i="6" s="1"/>
  <c r="AY6" i="7"/>
  <c r="AY7" i="7"/>
  <c r="AY5" i="7"/>
  <c r="AY10" i="7"/>
  <c r="AX2" i="3"/>
  <c r="AW3" i="3"/>
  <c r="AU44" i="9" l="1"/>
  <c r="AU43" i="9"/>
  <c r="AV15" i="9"/>
  <c r="AV18" i="9"/>
  <c r="AV19" i="9"/>
  <c r="AU37" i="9"/>
  <c r="AU41" i="9"/>
  <c r="AS33" i="9"/>
  <c r="AT26" i="9"/>
  <c r="AT33" i="9" s="1"/>
  <c r="AB34" i="9"/>
  <c r="AT32" i="9"/>
  <c r="AU25" i="9"/>
  <c r="AU23" i="9"/>
  <c r="AU22" i="9"/>
  <c r="AU24" i="9"/>
  <c r="AU32" i="9" s="1"/>
  <c r="AW104" i="3"/>
  <c r="AW97" i="3"/>
  <c r="AX14" i="9"/>
  <c r="AX124" i="3"/>
  <c r="R98" i="23"/>
  <c r="O99" i="23"/>
  <c r="M100" i="23"/>
  <c r="P99" i="23"/>
  <c r="Q99" i="23"/>
  <c r="AU47" i="9"/>
  <c r="AU46" i="9"/>
  <c r="AZ8" i="7"/>
  <c r="AX65" i="3"/>
  <c r="AZ8" i="11"/>
  <c r="AZ16" i="6"/>
  <c r="AZ17" i="6"/>
  <c r="AZ18" i="6"/>
  <c r="AZ15" i="7"/>
  <c r="AZ11" i="7"/>
  <c r="AZ12" i="7"/>
  <c r="AZ13" i="7"/>
  <c r="AC20" i="9"/>
  <c r="AI62" i="9"/>
  <c r="AV61" i="9" a="1"/>
  <c r="AV61" i="9" s="1"/>
  <c r="AV24" i="3" s="1" a="1"/>
  <c r="AV24" i="3" s="1"/>
  <c r="AZ11" i="2"/>
  <c r="AZ14" i="6"/>
  <c r="AZ15" i="6"/>
  <c r="AZ14" i="7"/>
  <c r="AU6" i="3" a="1"/>
  <c r="AU6" i="3" s="1"/>
  <c r="AU9" i="3" a="1"/>
  <c r="AU9" i="3" s="1"/>
  <c r="AX114" i="3" a="1"/>
  <c r="AX114" i="3" s="1"/>
  <c r="AY12" i="2"/>
  <c r="AV7" i="3" s="1" a="1"/>
  <c r="AV7" i="3" s="1"/>
  <c r="AX76" i="3"/>
  <c r="AY19" i="6"/>
  <c r="AX17" i="3"/>
  <c r="AX20" i="3"/>
  <c r="AX16" i="3"/>
  <c r="AX22" i="3"/>
  <c r="AX21" i="3"/>
  <c r="AX18" i="3"/>
  <c r="AZ7" i="6"/>
  <c r="AZ12" i="6"/>
  <c r="AZ6" i="2"/>
  <c r="AZ7" i="2"/>
  <c r="AZ5" i="2"/>
  <c r="AZ10" i="2"/>
  <c r="AU65" i="9"/>
  <c r="AU25" i="3" s="1" a="1"/>
  <c r="AU25" i="3" s="1"/>
  <c r="AU26" i="3" s="1"/>
  <c r="AZ5" i="11"/>
  <c r="BA4" i="11"/>
  <c r="AX5" i="3"/>
  <c r="AY4" i="3"/>
  <c r="AY58" i="3" s="1"/>
  <c r="AZ7" i="11"/>
  <c r="AZ9" i="11"/>
  <c r="AZ6" i="11"/>
  <c r="AZ11" i="11"/>
  <c r="AV12" i="9"/>
  <c r="AW16" i="9"/>
  <c r="AV11" i="9"/>
  <c r="AV13" i="9"/>
  <c r="AV10" i="9"/>
  <c r="AU45" i="9"/>
  <c r="AU42" i="9"/>
  <c r="AU49" i="9"/>
  <c r="AU38" i="9"/>
  <c r="AU51" i="9"/>
  <c r="AZ10" i="6"/>
  <c r="AZ11" i="6"/>
  <c r="AZ6" i="6"/>
  <c r="AZ13" i="6"/>
  <c r="AZ9" i="6"/>
  <c r="AZ5" i="6"/>
  <c r="AZ8" i="2"/>
  <c r="BA4" i="7"/>
  <c r="BA9" i="7" s="1"/>
  <c r="BA4" i="6"/>
  <c r="BA8" i="6" s="1"/>
  <c r="BA4" i="2"/>
  <c r="BA9" i="2" s="1"/>
  <c r="AY16" i="7"/>
  <c r="AZ5" i="7"/>
  <c r="AZ6" i="7"/>
  <c r="AZ10" i="7"/>
  <c r="AZ7" i="7"/>
  <c r="AX3" i="3"/>
  <c r="AY2" i="3"/>
  <c r="AV44" i="9" l="1"/>
  <c r="AV43" i="9"/>
  <c r="AW15" i="9"/>
  <c r="AW18" i="9"/>
  <c r="AW19" i="9"/>
  <c r="AV37" i="9"/>
  <c r="AV41" i="9"/>
  <c r="AT27" i="9"/>
  <c r="AC31" i="9"/>
  <c r="AC29" i="9"/>
  <c r="AC28" i="9"/>
  <c r="AC30" i="9"/>
  <c r="AV25" i="9"/>
  <c r="AV22" i="9"/>
  <c r="AV24" i="9"/>
  <c r="AV23" i="9"/>
  <c r="AU26" i="9"/>
  <c r="AU27" i="9" s="1"/>
  <c r="AX104" i="3"/>
  <c r="AX97" i="3"/>
  <c r="AY14" i="9"/>
  <c r="AY124" i="3"/>
  <c r="R99" i="23"/>
  <c r="Q100" i="23"/>
  <c r="M101" i="23"/>
  <c r="O100" i="23"/>
  <c r="P100" i="23"/>
  <c r="AC39" i="9"/>
  <c r="AV47" i="9"/>
  <c r="AV46" i="9"/>
  <c r="BA8" i="7"/>
  <c r="AY65" i="3"/>
  <c r="AY40" i="3"/>
  <c r="AY63" i="3"/>
  <c r="BA8" i="11"/>
  <c r="BA16" i="6"/>
  <c r="BA17" i="6"/>
  <c r="BA18" i="6"/>
  <c r="BA15" i="7"/>
  <c r="BA11" i="7"/>
  <c r="BA13" i="7"/>
  <c r="BA12" i="7"/>
  <c r="AB50" i="9"/>
  <c r="AB58" i="9"/>
  <c r="AB59" i="9" s="1"/>
  <c r="AD17" i="9"/>
  <c r="AC40" i="9"/>
  <c r="AJ62" i="9"/>
  <c r="AW61" i="9" a="1"/>
  <c r="AW61" i="9" s="1"/>
  <c r="AW24" i="3" s="1" a="1"/>
  <c r="AW24" i="3" s="1"/>
  <c r="BA11" i="2"/>
  <c r="BA15" i="6"/>
  <c r="BA14" i="6"/>
  <c r="BA14" i="7"/>
  <c r="AV6" i="3" a="1"/>
  <c r="AV6" i="3" s="1"/>
  <c r="AV9" i="3" a="1"/>
  <c r="AV9" i="3" s="1"/>
  <c r="AY114" i="3" a="1"/>
  <c r="AY114" i="3" s="1"/>
  <c r="AZ12" i="2"/>
  <c r="AW7" i="3" s="1" a="1"/>
  <c r="AW7" i="3" s="1"/>
  <c r="AY76" i="3"/>
  <c r="AZ19" i="6"/>
  <c r="AY16" i="3"/>
  <c r="AY17" i="3"/>
  <c r="AY18" i="3"/>
  <c r="AY20" i="3"/>
  <c r="AY21" i="3"/>
  <c r="AY22" i="3"/>
  <c r="BA7" i="6"/>
  <c r="BA12" i="6"/>
  <c r="BA7" i="2"/>
  <c r="BA6" i="2"/>
  <c r="BA5" i="2"/>
  <c r="BA10" i="2"/>
  <c r="AV65" i="9"/>
  <c r="AV25" i="3" s="1" a="1"/>
  <c r="AV25" i="3" s="1"/>
  <c r="AV26" i="3" s="1"/>
  <c r="BA5" i="11"/>
  <c r="BA9" i="11"/>
  <c r="BA6" i="11"/>
  <c r="BA11" i="11"/>
  <c r="BA7" i="11"/>
  <c r="BB4" i="11"/>
  <c r="AY5" i="3"/>
  <c r="AZ4" i="3"/>
  <c r="AZ58" i="3" s="1"/>
  <c r="AW12" i="9"/>
  <c r="AW10" i="9"/>
  <c r="AX16" i="9"/>
  <c r="AW11" i="9"/>
  <c r="AW13" i="9"/>
  <c r="AV49" i="9"/>
  <c r="AV42" i="9"/>
  <c r="AV51" i="9"/>
  <c r="AV38" i="9"/>
  <c r="AV45" i="9"/>
  <c r="AZ16" i="7"/>
  <c r="BA5" i="7"/>
  <c r="BA7" i="7"/>
  <c r="BA6" i="7"/>
  <c r="BA10" i="7"/>
  <c r="BA8" i="2"/>
  <c r="BB4" i="7"/>
  <c r="BB9" i="7" s="1"/>
  <c r="BB4" i="6"/>
  <c r="BB8" i="6" s="1"/>
  <c r="BB4" i="2"/>
  <c r="BB9" i="2" s="1"/>
  <c r="BA5" i="6"/>
  <c r="BA10" i="6"/>
  <c r="BA11" i="6"/>
  <c r="BA6" i="6"/>
  <c r="BA13" i="6"/>
  <c r="BA9" i="6"/>
  <c r="AZ2" i="3"/>
  <c r="AY3" i="3"/>
  <c r="AW44" i="9" l="1"/>
  <c r="AW43" i="9"/>
  <c r="AX15" i="9"/>
  <c r="AX18" i="9"/>
  <c r="AX19" i="9"/>
  <c r="AW37" i="9"/>
  <c r="AW41" i="9"/>
  <c r="AW25" i="9"/>
  <c r="AW22" i="9"/>
  <c r="AW23" i="9"/>
  <c r="AW24" i="9"/>
  <c r="AW32" i="9" s="1"/>
  <c r="AC34" i="9"/>
  <c r="AU33" i="9"/>
  <c r="AV32" i="9"/>
  <c r="AV26" i="9"/>
  <c r="AV27" i="9" s="1"/>
  <c r="AY104" i="3"/>
  <c r="AY97" i="3"/>
  <c r="AZ14" i="9"/>
  <c r="AZ124" i="3"/>
  <c r="R100" i="23"/>
  <c r="P101" i="23"/>
  <c r="M102" i="23"/>
  <c r="Q101" i="23"/>
  <c r="O101" i="23"/>
  <c r="AW47" i="9"/>
  <c r="AW46" i="9"/>
  <c r="BB8" i="7"/>
  <c r="AZ65" i="3"/>
  <c r="AZ63" i="3"/>
  <c r="AZ40" i="3"/>
  <c r="BB8" i="11"/>
  <c r="BB16" i="6"/>
  <c r="BB17" i="6"/>
  <c r="BB18" i="6"/>
  <c r="BB15" i="7"/>
  <c r="BB11" i="7"/>
  <c r="BB12" i="7"/>
  <c r="BB13" i="7"/>
  <c r="AD20" i="9"/>
  <c r="AX61" i="9" a="1"/>
  <c r="AX61" i="9" s="1"/>
  <c r="AX24" i="3" s="1" a="1"/>
  <c r="AX24" i="3" s="1"/>
  <c r="BB11" i="2"/>
  <c r="BB14" i="6"/>
  <c r="BB15" i="6"/>
  <c r="BB14" i="7"/>
  <c r="AW6" i="3" a="1"/>
  <c r="AW6" i="3" s="1"/>
  <c r="AW9" i="3" a="1"/>
  <c r="AW9" i="3" s="1"/>
  <c r="AZ114" i="3" a="1"/>
  <c r="AZ114" i="3" s="1"/>
  <c r="BA12" i="2"/>
  <c r="AX7" i="3" s="1" a="1"/>
  <c r="AX7" i="3" s="1"/>
  <c r="AZ76" i="3"/>
  <c r="BA19" i="6"/>
  <c r="AZ16" i="3"/>
  <c r="AZ18" i="3"/>
  <c r="AZ17" i="3"/>
  <c r="AZ20" i="3"/>
  <c r="AZ21" i="3"/>
  <c r="AZ22" i="3"/>
  <c r="AK62" i="9"/>
  <c r="BB7" i="6"/>
  <c r="BB12" i="6"/>
  <c r="BB7" i="2"/>
  <c r="BB6" i="2"/>
  <c r="BB5" i="2"/>
  <c r="BB10" i="2"/>
  <c r="AW65" i="9"/>
  <c r="AW25" i="3" s="1" a="1"/>
  <c r="AW25" i="3" s="1"/>
  <c r="AW26" i="3" s="1"/>
  <c r="BB5" i="11"/>
  <c r="BB9" i="11"/>
  <c r="BB6" i="11"/>
  <c r="BB7" i="11"/>
  <c r="BC4" i="11"/>
  <c r="AZ5" i="3"/>
  <c r="BA4" i="3"/>
  <c r="AX12" i="9"/>
  <c r="AX11" i="9"/>
  <c r="AY16" i="9"/>
  <c r="AX13" i="9"/>
  <c r="AX10" i="9"/>
  <c r="AW51" i="9"/>
  <c r="AW38" i="9"/>
  <c r="AW49" i="9"/>
  <c r="AW42" i="9"/>
  <c r="AW45" i="9"/>
  <c r="BB8" i="2"/>
  <c r="BA16" i="7"/>
  <c r="BC4" i="7"/>
  <c r="BC9" i="7" s="1"/>
  <c r="BC4" i="6"/>
  <c r="BC8" i="6" s="1"/>
  <c r="BC4" i="2"/>
  <c r="BC9" i="2" s="1"/>
  <c r="BB6" i="6"/>
  <c r="BB13" i="6"/>
  <c r="BB11" i="6"/>
  <c r="BB10" i="6"/>
  <c r="BB5" i="6"/>
  <c r="BB9" i="6"/>
  <c r="BB7" i="7"/>
  <c r="BB10" i="7"/>
  <c r="BB5" i="7"/>
  <c r="BB6" i="7"/>
  <c r="AZ3" i="3"/>
  <c r="BA2" i="3"/>
  <c r="AX44" i="9" l="1"/>
  <c r="AX43" i="9"/>
  <c r="AY15" i="9"/>
  <c r="AY18" i="9"/>
  <c r="AY19" i="9"/>
  <c r="AX37" i="9"/>
  <c r="AX41" i="9"/>
  <c r="AD31" i="9"/>
  <c r="AD29" i="9"/>
  <c r="AD30" i="9"/>
  <c r="AD28" i="9"/>
  <c r="AX25" i="9"/>
  <c r="AX24" i="9"/>
  <c r="AX22" i="9"/>
  <c r="AX23" i="9"/>
  <c r="AV33" i="9"/>
  <c r="AW26" i="9"/>
  <c r="AZ104" i="3"/>
  <c r="AZ97" i="3"/>
  <c r="BA14" i="9"/>
  <c r="BA124" i="3"/>
  <c r="P102" i="23"/>
  <c r="Q102" i="23"/>
  <c r="M103" i="23"/>
  <c r="O102" i="23"/>
  <c r="R101" i="23"/>
  <c r="AD39" i="9"/>
  <c r="AX47" i="9"/>
  <c r="AX46" i="9"/>
  <c r="BC8" i="7"/>
  <c r="BA65" i="3"/>
  <c r="BC8" i="11"/>
  <c r="BC16" i="6"/>
  <c r="BC17" i="6"/>
  <c r="BC18" i="6"/>
  <c r="BC15" i="7"/>
  <c r="BC11" i="7"/>
  <c r="BC13" i="7"/>
  <c r="BC12" i="7"/>
  <c r="AC50" i="9"/>
  <c r="AC58" i="9"/>
  <c r="AC59" i="9" s="1"/>
  <c r="AE17" i="9"/>
  <c r="AD40" i="9"/>
  <c r="AL62" i="9"/>
  <c r="BC11" i="2"/>
  <c r="BC15" i="6"/>
  <c r="BC14" i="6"/>
  <c r="BC14" i="7"/>
  <c r="AX6" i="3" a="1"/>
  <c r="AX6" i="3" s="1"/>
  <c r="AX9" i="3" a="1"/>
  <c r="AX9" i="3" s="1"/>
  <c r="BA114" i="3" a="1"/>
  <c r="BA114" i="3" s="1"/>
  <c r="BB12" i="2"/>
  <c r="AY7" i="3" s="1" a="1"/>
  <c r="AY7" i="3" s="1"/>
  <c r="BA76" i="3"/>
  <c r="BB19" i="6"/>
  <c r="AY61" i="9" a="1"/>
  <c r="AY61" i="9" s="1"/>
  <c r="AM62" i="9" s="1"/>
  <c r="BA16" i="3"/>
  <c r="BA18" i="3"/>
  <c r="BA17" i="3"/>
  <c r="BA21" i="3"/>
  <c r="BA20" i="3"/>
  <c r="BA22" i="3"/>
  <c r="BC7" i="6"/>
  <c r="BC12" i="6"/>
  <c r="BC7" i="2"/>
  <c r="BC6" i="2"/>
  <c r="BC5" i="2"/>
  <c r="BC10" i="2"/>
  <c r="BC10" i="11"/>
  <c r="AX65" i="9"/>
  <c r="AX25" i="3" s="1" a="1"/>
  <c r="AX25" i="3" s="1"/>
  <c r="AX26" i="3" s="1"/>
  <c r="BC5" i="11"/>
  <c r="BD4" i="11"/>
  <c r="BA5" i="3"/>
  <c r="BB4" i="3"/>
  <c r="BB58" i="3" s="1"/>
  <c r="BC9" i="11"/>
  <c r="BC7" i="11"/>
  <c r="BC11" i="11"/>
  <c r="BC6" i="11"/>
  <c r="AY12" i="9"/>
  <c r="AY10" i="9"/>
  <c r="AZ16" i="9"/>
  <c r="AY13" i="9"/>
  <c r="AY11" i="9"/>
  <c r="AX42" i="9"/>
  <c r="AX51" i="9"/>
  <c r="AX49" i="9"/>
  <c r="AX38" i="9"/>
  <c r="AX45" i="9"/>
  <c r="BB16" i="7"/>
  <c r="BD4" i="7"/>
  <c r="BD9" i="7" s="1"/>
  <c r="BD4" i="2"/>
  <c r="BD9" i="2" s="1"/>
  <c r="BD4" i="6"/>
  <c r="BD8" i="6" s="1"/>
  <c r="BC8" i="2"/>
  <c r="BC5" i="6"/>
  <c r="BC13" i="6"/>
  <c r="BC9" i="6"/>
  <c r="BC10" i="6"/>
  <c r="BC11" i="6"/>
  <c r="BC6" i="6"/>
  <c r="BC6" i="7"/>
  <c r="BC7" i="7"/>
  <c r="BC5" i="7"/>
  <c r="BC10" i="7"/>
  <c r="BA3" i="3"/>
  <c r="BB2" i="3"/>
  <c r="AY44" i="9" l="1"/>
  <c r="AY43" i="9"/>
  <c r="AZ15" i="9"/>
  <c r="AZ19" i="9"/>
  <c r="AZ18" i="9"/>
  <c r="AY37" i="9"/>
  <c r="AY41" i="9"/>
  <c r="AD34" i="9"/>
  <c r="AY25" i="9"/>
  <c r="AY23" i="9"/>
  <c r="AY22" i="9"/>
  <c r="AY24" i="9"/>
  <c r="AY32" i="9" s="1"/>
  <c r="AW27" i="9"/>
  <c r="AX26" i="9"/>
  <c r="AX27" i="9" s="1"/>
  <c r="AW33" i="9"/>
  <c r="AX32" i="9"/>
  <c r="BA104" i="3"/>
  <c r="BA97" i="3"/>
  <c r="BB14" i="9"/>
  <c r="BB124" i="3"/>
  <c r="M104" i="23"/>
  <c r="Q103" i="23"/>
  <c r="P103" i="23"/>
  <c r="O103" i="23"/>
  <c r="R102" i="23"/>
  <c r="AY47" i="9"/>
  <c r="AY46" i="9"/>
  <c r="BD8" i="7"/>
  <c r="BB65" i="3"/>
  <c r="BB40" i="3"/>
  <c r="BB63" i="3"/>
  <c r="BD8" i="11"/>
  <c r="BD16" i="6"/>
  <c r="BD17" i="6"/>
  <c r="BD18" i="6"/>
  <c r="BD15" i="7"/>
  <c r="BD11" i="7"/>
  <c r="BD12" i="7"/>
  <c r="BD13" i="7"/>
  <c r="AE20" i="9"/>
  <c r="AY24" i="3" a="1"/>
  <c r="AY24" i="3" s="1"/>
  <c r="BB114" i="3" a="1"/>
  <c r="BB114" i="3" s="1"/>
  <c r="BD11" i="2"/>
  <c r="BD14" i="6"/>
  <c r="BD15" i="6"/>
  <c r="BD14" i="7"/>
  <c r="AY6" i="3" a="1"/>
  <c r="AY6" i="3" s="1"/>
  <c r="AY9" i="3" a="1"/>
  <c r="AY9" i="3" s="1"/>
  <c r="BB76" i="3"/>
  <c r="BC12" i="11"/>
  <c r="BC12" i="2"/>
  <c r="AZ7" i="3" s="1" a="1"/>
  <c r="AZ7" i="3" s="1"/>
  <c r="BC19" i="6"/>
  <c r="AZ61" i="9" a="1"/>
  <c r="AZ61" i="9" s="1"/>
  <c r="AN62" i="9" s="1"/>
  <c r="BB18" i="3"/>
  <c r="BB20" i="3"/>
  <c r="BB16" i="3"/>
  <c r="BB17" i="3"/>
  <c r="BB21" i="3"/>
  <c r="BB22" i="3"/>
  <c r="BD7" i="6"/>
  <c r="BD12" i="6"/>
  <c r="BD6" i="2"/>
  <c r="BD7" i="2"/>
  <c r="BD5" i="2"/>
  <c r="BD10" i="2"/>
  <c r="BD10" i="11"/>
  <c r="AY65" i="9"/>
  <c r="AY25" i="3" s="1" a="1"/>
  <c r="AY25" i="3" s="1"/>
  <c r="BD5" i="11"/>
  <c r="BD9" i="11"/>
  <c r="BD6" i="11"/>
  <c r="BD11" i="11"/>
  <c r="BD7" i="11"/>
  <c r="BE4" i="11"/>
  <c r="BB5" i="3"/>
  <c r="BC4" i="3"/>
  <c r="AZ12" i="9"/>
  <c r="AZ11" i="9"/>
  <c r="AZ13" i="9"/>
  <c r="BA16" i="9"/>
  <c r="AZ10" i="9"/>
  <c r="AY49" i="9"/>
  <c r="AY51" i="9"/>
  <c r="AY38" i="9"/>
  <c r="AY42" i="9"/>
  <c r="AY45" i="9"/>
  <c r="BC16" i="7"/>
  <c r="BD6" i="7"/>
  <c r="BD5" i="7"/>
  <c r="BD10" i="7"/>
  <c r="BD7" i="7"/>
  <c r="BD11" i="6"/>
  <c r="BD13" i="6"/>
  <c r="BD10" i="6"/>
  <c r="BD5" i="6"/>
  <c r="BD9" i="6"/>
  <c r="BD6" i="6"/>
  <c r="BE4" i="7"/>
  <c r="BE9" i="7" s="1"/>
  <c r="BE4" i="6"/>
  <c r="BE8" i="6" s="1"/>
  <c r="BE4" i="2"/>
  <c r="BE9" i="2" s="1"/>
  <c r="BD8" i="2"/>
  <c r="BB3" i="3"/>
  <c r="BC2" i="3"/>
  <c r="AZ44" i="9" l="1"/>
  <c r="AZ43" i="9"/>
  <c r="BA15" i="9"/>
  <c r="BA19" i="9"/>
  <c r="BA18" i="9"/>
  <c r="AZ37" i="9"/>
  <c r="AZ41" i="9"/>
  <c r="AX33" i="9"/>
  <c r="AE31" i="9"/>
  <c r="AE29" i="9"/>
  <c r="AE28" i="9"/>
  <c r="AE30" i="9"/>
  <c r="AZ25" i="9"/>
  <c r="AZ22" i="9"/>
  <c r="AZ24" i="9"/>
  <c r="AZ23" i="9"/>
  <c r="AY26" i="9"/>
  <c r="AY27" i="9" s="1"/>
  <c r="BB104" i="3"/>
  <c r="BB97" i="3"/>
  <c r="BC14" i="9"/>
  <c r="BC124" i="3"/>
  <c r="R103" i="23"/>
  <c r="O104" i="23"/>
  <c r="Q104" i="23"/>
  <c r="M105" i="23"/>
  <c r="P104" i="23"/>
  <c r="AE39" i="9"/>
  <c r="AZ47" i="9"/>
  <c r="AZ46" i="9"/>
  <c r="BE8" i="7"/>
  <c r="BC65" i="3"/>
  <c r="BE8" i="11"/>
  <c r="BE16" i="6"/>
  <c r="BE17" i="6"/>
  <c r="BE18" i="6"/>
  <c r="BE15" i="7"/>
  <c r="BE11" i="7"/>
  <c r="BE12" i="7"/>
  <c r="BE13" i="7"/>
  <c r="AD50" i="9"/>
  <c r="AD58" i="9"/>
  <c r="AD59" i="9" s="1"/>
  <c r="AF17" i="9"/>
  <c r="AE40" i="9"/>
  <c r="BA61" i="9" a="1"/>
  <c r="BA61" i="9" s="1"/>
  <c r="BA24" i="3" s="1" a="1"/>
  <c r="BA24" i="3" s="1"/>
  <c r="AZ24" i="3" a="1"/>
  <c r="AZ24" i="3" s="1"/>
  <c r="AY26" i="3"/>
  <c r="BC114" i="3" a="1"/>
  <c r="BC114" i="3" s="1"/>
  <c r="BE11" i="2"/>
  <c r="BE15" i="6"/>
  <c r="BE14" i="6"/>
  <c r="BE14" i="7"/>
  <c r="AZ8" i="3" a="1"/>
  <c r="AZ8" i="3" s="1"/>
  <c r="AZ6" i="3" a="1"/>
  <c r="AZ6" i="3" s="1"/>
  <c r="AZ9" i="3" a="1"/>
  <c r="AZ9" i="3" s="1"/>
  <c r="BC76" i="3"/>
  <c r="BD12" i="11"/>
  <c r="BD12" i="2"/>
  <c r="BA7" i="3" s="1" a="1"/>
  <c r="BA7" i="3" s="1"/>
  <c r="BD19" i="6"/>
  <c r="BC16" i="3"/>
  <c r="BC17" i="3"/>
  <c r="BC18" i="3"/>
  <c r="BC20" i="3"/>
  <c r="BC21" i="3"/>
  <c r="BC22" i="3"/>
  <c r="BE7" i="6"/>
  <c r="BE12" i="6"/>
  <c r="BE6" i="2"/>
  <c r="BE7" i="2"/>
  <c r="BE5" i="2"/>
  <c r="BE10" i="2"/>
  <c r="BE10" i="11"/>
  <c r="AZ65" i="9"/>
  <c r="AZ25" i="3" s="1" a="1"/>
  <c r="AZ25" i="3" s="1"/>
  <c r="BE5" i="11"/>
  <c r="BE11" i="11"/>
  <c r="BE9" i="11"/>
  <c r="BE7" i="11"/>
  <c r="BE6" i="11"/>
  <c r="BF4" i="11"/>
  <c r="BC5" i="3"/>
  <c r="BD4" i="3"/>
  <c r="BA12" i="9"/>
  <c r="BB16" i="9"/>
  <c r="BA13" i="9"/>
  <c r="BA10" i="9"/>
  <c r="BA11" i="9"/>
  <c r="AZ42" i="9"/>
  <c r="AZ51" i="9"/>
  <c r="AZ38" i="9"/>
  <c r="AZ49" i="9"/>
  <c r="AZ45" i="9"/>
  <c r="BF4" i="7"/>
  <c r="BF9" i="7" s="1"/>
  <c r="BF4" i="6"/>
  <c r="BF8" i="6" s="1"/>
  <c r="BF4" i="2"/>
  <c r="BF9" i="2" s="1"/>
  <c r="BE8" i="2"/>
  <c r="BE5" i="6"/>
  <c r="BE9" i="6"/>
  <c r="BE13" i="6"/>
  <c r="BE11" i="6"/>
  <c r="BE10" i="6"/>
  <c r="BE6" i="6"/>
  <c r="BE7" i="7"/>
  <c r="BE6" i="7"/>
  <c r="BE5" i="7"/>
  <c r="BE10" i="7"/>
  <c r="BD16" i="7"/>
  <c r="BC3" i="3"/>
  <c r="BD2" i="3"/>
  <c r="BA44" i="9" l="1"/>
  <c r="BA43" i="9"/>
  <c r="BB15" i="9"/>
  <c r="BB19" i="9"/>
  <c r="BB18" i="9"/>
  <c r="BA37" i="9"/>
  <c r="BA41" i="9"/>
  <c r="AZ26" i="9"/>
  <c r="AZ27" i="9" s="1"/>
  <c r="AZ32" i="9"/>
  <c r="BA25" i="9"/>
  <c r="BA24" i="9"/>
  <c r="BA32" i="9" s="1"/>
  <c r="BA23" i="9"/>
  <c r="BA22" i="9"/>
  <c r="AE34" i="9"/>
  <c r="AY33" i="9"/>
  <c r="BC104" i="3"/>
  <c r="BC97" i="3"/>
  <c r="BD14" i="9"/>
  <c r="BD124" i="3"/>
  <c r="R104" i="23"/>
  <c r="P105" i="23"/>
  <c r="M106" i="23"/>
  <c r="O105" i="23"/>
  <c r="Q105" i="23"/>
  <c r="BA47" i="9"/>
  <c r="BA46" i="9"/>
  <c r="BF8" i="7"/>
  <c r="BD65" i="3"/>
  <c r="BF8" i="11"/>
  <c r="BF16" i="6"/>
  <c r="BF17" i="6"/>
  <c r="BF18" i="6"/>
  <c r="BF15" i="7"/>
  <c r="BF11" i="7"/>
  <c r="BF12" i="7"/>
  <c r="BF13" i="7"/>
  <c r="AF20" i="9"/>
  <c r="AO62" i="9"/>
  <c r="AZ26" i="3"/>
  <c r="BD114" i="3" a="1"/>
  <c r="BD114" i="3" s="1"/>
  <c r="BF11" i="2"/>
  <c r="BF14" i="6"/>
  <c r="BF15" i="6"/>
  <c r="AZ10" i="3"/>
  <c r="AZ33" i="3" s="1"/>
  <c r="BF14" i="7"/>
  <c r="BA8" i="3" a="1"/>
  <c r="BA8" i="3" s="1"/>
  <c r="BA6" i="3" a="1"/>
  <c r="BA6" i="3" s="1"/>
  <c r="BA9" i="3" a="1"/>
  <c r="BA9" i="3" s="1"/>
  <c r="BD76" i="3"/>
  <c r="BE12" i="11"/>
  <c r="BE12" i="2"/>
  <c r="BB7" i="3" s="1" a="1"/>
  <c r="BB7" i="3" s="1"/>
  <c r="BE19" i="6"/>
  <c r="BB61" i="9" a="1"/>
  <c r="BB61" i="9" s="1"/>
  <c r="AP62" i="9" s="1"/>
  <c r="BD17" i="3"/>
  <c r="BD18" i="3"/>
  <c r="BD20" i="3"/>
  <c r="BD16" i="3"/>
  <c r="BD21" i="3"/>
  <c r="BD22" i="3"/>
  <c r="BF7" i="6"/>
  <c r="BF12" i="6"/>
  <c r="BF7" i="2"/>
  <c r="BF6" i="2"/>
  <c r="BF5" i="2"/>
  <c r="BF10" i="2"/>
  <c r="BF10" i="11"/>
  <c r="BA65" i="9"/>
  <c r="BA25" i="3" s="1" a="1"/>
  <c r="BA25" i="3" s="1"/>
  <c r="BA26" i="3" s="1"/>
  <c r="BF5" i="11"/>
  <c r="BF9" i="11"/>
  <c r="BF7" i="11"/>
  <c r="BF11" i="11"/>
  <c r="BF6" i="11"/>
  <c r="BG4" i="11"/>
  <c r="BD5" i="3"/>
  <c r="BE4" i="3"/>
  <c r="BB13" i="9"/>
  <c r="BB12" i="9"/>
  <c r="BB10" i="9"/>
  <c r="BC16" i="9"/>
  <c r="BB11" i="9"/>
  <c r="BA49" i="9"/>
  <c r="BA45" i="9"/>
  <c r="BA42" i="9"/>
  <c r="BA51" i="9"/>
  <c r="BA38" i="9"/>
  <c r="BG4" i="7"/>
  <c r="BG9" i="7" s="1"/>
  <c r="BG4" i="6"/>
  <c r="BG8" i="6" s="1"/>
  <c r="BG4" i="2"/>
  <c r="BG9" i="2" s="1"/>
  <c r="BF8" i="2"/>
  <c r="BE16" i="7"/>
  <c r="BF9" i="6"/>
  <c r="BF5" i="6"/>
  <c r="BF10" i="6"/>
  <c r="BF6" i="6"/>
  <c r="BF11" i="6"/>
  <c r="BF13" i="6"/>
  <c r="BF5" i="7"/>
  <c r="BF7" i="7"/>
  <c r="BF10" i="7"/>
  <c r="BF6" i="7"/>
  <c r="BE2" i="3"/>
  <c r="BD3" i="3"/>
  <c r="BB44" i="9" l="1"/>
  <c r="BB43" i="9"/>
  <c r="BC15" i="9"/>
  <c r="BC18" i="9"/>
  <c r="BC19" i="9"/>
  <c r="BB37" i="9"/>
  <c r="BB41" i="9"/>
  <c r="BA26" i="9"/>
  <c r="BA27" i="9" s="1"/>
  <c r="BB25" i="9"/>
  <c r="BB24" i="9"/>
  <c r="BB32" i="9" s="1"/>
  <c r="BB23" i="9"/>
  <c r="BB22" i="9"/>
  <c r="AF31" i="9"/>
  <c r="AF29" i="9"/>
  <c r="AF28" i="9"/>
  <c r="AF30" i="9"/>
  <c r="AZ33" i="9"/>
  <c r="BD104" i="3"/>
  <c r="BD97" i="3"/>
  <c r="BE14" i="9"/>
  <c r="BE124" i="3"/>
  <c r="O106" i="23"/>
  <c r="P106" i="23"/>
  <c r="M107" i="23"/>
  <c r="Q106" i="23"/>
  <c r="R105" i="23"/>
  <c r="AF39" i="9"/>
  <c r="BB47" i="9"/>
  <c r="BB46" i="9"/>
  <c r="BG8" i="7"/>
  <c r="BE65" i="3"/>
  <c r="BG8" i="11"/>
  <c r="AZ38" i="3"/>
  <c r="BG16" i="6"/>
  <c r="BG17" i="6"/>
  <c r="BG18" i="6"/>
  <c r="BG15" i="7"/>
  <c r="BG11" i="7"/>
  <c r="BG13" i="7"/>
  <c r="BG12" i="7"/>
  <c r="AE50" i="9"/>
  <c r="AE58" i="9"/>
  <c r="AE59" i="9" s="1"/>
  <c r="AG17" i="9"/>
  <c r="AF40" i="9"/>
  <c r="BC61" i="9" a="1"/>
  <c r="BC61" i="9" s="1"/>
  <c r="BC24" i="3" s="1" a="1"/>
  <c r="BC24" i="3" s="1"/>
  <c r="BB24" i="3" a="1"/>
  <c r="BB24" i="3" s="1"/>
  <c r="BE114" i="3" a="1"/>
  <c r="BE114" i="3" s="1"/>
  <c r="BG11" i="2"/>
  <c r="BG14" i="6"/>
  <c r="BG15" i="6"/>
  <c r="BG14" i="7"/>
  <c r="BB8" i="3" a="1"/>
  <c r="BB8" i="3" s="1"/>
  <c r="BA10" i="3"/>
  <c r="BA33" i="3" s="1"/>
  <c r="BB6" i="3" a="1"/>
  <c r="BB6" i="3" s="1"/>
  <c r="BB9" i="3" a="1"/>
  <c r="BB9" i="3" s="1"/>
  <c r="BE76" i="3"/>
  <c r="BF12" i="11"/>
  <c r="BF12" i="2"/>
  <c r="BC7" i="3" s="1" a="1"/>
  <c r="BC7" i="3" s="1"/>
  <c r="BF19" i="6"/>
  <c r="BE18" i="3"/>
  <c r="BE22" i="3"/>
  <c r="BE16" i="3"/>
  <c r="BE17" i="3"/>
  <c r="BE21" i="3"/>
  <c r="BE20" i="3"/>
  <c r="BG7" i="6"/>
  <c r="BG12" i="6"/>
  <c r="BG7" i="2"/>
  <c r="BG6" i="2"/>
  <c r="BG5" i="2"/>
  <c r="BG10" i="2"/>
  <c r="BG10" i="11"/>
  <c r="BB65" i="9"/>
  <c r="BB25" i="3" s="1" a="1"/>
  <c r="BB25" i="3" s="1"/>
  <c r="BG5" i="11"/>
  <c r="BH4" i="11"/>
  <c r="BE5" i="3"/>
  <c r="BF4" i="3"/>
  <c r="BG7" i="11"/>
  <c r="BG6" i="11"/>
  <c r="BG9" i="11"/>
  <c r="BG11" i="11"/>
  <c r="BC11" i="9"/>
  <c r="BC10" i="9"/>
  <c r="BC12" i="9"/>
  <c r="BC13" i="9"/>
  <c r="BD16" i="9"/>
  <c r="BB51" i="9"/>
  <c r="BB38" i="9"/>
  <c r="BB49" i="9"/>
  <c r="BB42" i="9"/>
  <c r="BB45" i="9"/>
  <c r="BG8" i="2"/>
  <c r="BH4" i="7"/>
  <c r="BH9" i="7" s="1"/>
  <c r="BH4" i="2"/>
  <c r="BH9" i="2" s="1"/>
  <c r="BH4" i="6"/>
  <c r="BH8" i="6" s="1"/>
  <c r="BF16" i="7"/>
  <c r="BG11" i="6"/>
  <c r="BG5" i="6"/>
  <c r="BG9" i="6"/>
  <c r="BG6" i="6"/>
  <c r="BG10" i="6"/>
  <c r="BG13" i="6"/>
  <c r="BG6" i="7"/>
  <c r="BG10" i="7"/>
  <c r="BG7" i="7"/>
  <c r="BG5" i="7"/>
  <c r="BE3" i="3"/>
  <c r="BF2" i="3"/>
  <c r="BC44" i="9" l="1"/>
  <c r="BC43" i="9"/>
  <c r="BD15" i="9"/>
  <c r="BD18" i="9"/>
  <c r="BD19" i="9"/>
  <c r="BC37" i="9"/>
  <c r="BC41" i="9"/>
  <c r="BB26" i="9"/>
  <c r="BB27" i="9" s="1"/>
  <c r="BC25" i="9"/>
  <c r="BC22" i="9"/>
  <c r="BC23" i="9"/>
  <c r="BC24" i="9"/>
  <c r="BC32" i="9" s="1"/>
  <c r="AF34" i="9"/>
  <c r="BA33" i="9"/>
  <c r="BE104" i="3"/>
  <c r="BE97" i="3"/>
  <c r="BF14" i="9"/>
  <c r="BF124" i="3"/>
  <c r="R106" i="23"/>
  <c r="O107" i="23"/>
  <c r="M108" i="23"/>
  <c r="P107" i="23"/>
  <c r="Q107" i="23"/>
  <c r="AZ39" i="3"/>
  <c r="BC47" i="9"/>
  <c r="BC46" i="9"/>
  <c r="BH8" i="7"/>
  <c r="BF65" i="3"/>
  <c r="BH8" i="11"/>
  <c r="BA38" i="3"/>
  <c r="BH16" i="6"/>
  <c r="BH17" i="6"/>
  <c r="BH18" i="6"/>
  <c r="BH15" i="7"/>
  <c r="BH11" i="7"/>
  <c r="BH12" i="7"/>
  <c r="BH13" i="7"/>
  <c r="AQ62" i="9"/>
  <c r="AG20" i="9"/>
  <c r="BD61" i="9" a="1"/>
  <c r="BD61" i="9" s="1"/>
  <c r="AR62" i="9" s="1"/>
  <c r="BB26" i="3"/>
  <c r="BF114" i="3" a="1"/>
  <c r="BF114" i="3" s="1"/>
  <c r="BH11" i="2"/>
  <c r="BH14" i="6"/>
  <c r="BH15" i="6"/>
  <c r="BH14" i="7"/>
  <c r="BB10" i="3"/>
  <c r="BB33" i="3" s="1"/>
  <c r="BC8" i="3" a="1"/>
  <c r="BC8" i="3" s="1"/>
  <c r="BC6" i="3" a="1"/>
  <c r="BC6" i="3" s="1"/>
  <c r="BC9" i="3" a="1"/>
  <c r="BC9" i="3" s="1"/>
  <c r="BG12" i="11"/>
  <c r="BG12" i="2"/>
  <c r="BD7" i="3" s="1" a="1"/>
  <c r="BD7" i="3" s="1"/>
  <c r="BF76" i="3"/>
  <c r="BG19" i="6"/>
  <c r="BF16" i="3"/>
  <c r="BF18" i="3"/>
  <c r="BF20" i="3"/>
  <c r="BF22" i="3"/>
  <c r="BF17" i="3"/>
  <c r="BF21" i="3"/>
  <c r="BH7" i="6"/>
  <c r="BH12" i="6"/>
  <c r="BH6" i="2"/>
  <c r="BH7" i="2"/>
  <c r="BH5" i="2"/>
  <c r="BH10" i="2"/>
  <c r="BH10" i="11"/>
  <c r="BC65" i="9"/>
  <c r="BC25" i="3" s="1" a="1"/>
  <c r="BC25" i="3" s="1"/>
  <c r="BC26" i="3" s="1"/>
  <c r="BH5" i="11"/>
  <c r="BI4" i="11"/>
  <c r="BF5" i="3"/>
  <c r="BG4" i="3"/>
  <c r="BH9" i="11"/>
  <c r="BH7" i="11"/>
  <c r="BH6" i="11"/>
  <c r="BH11" i="11"/>
  <c r="BC49" i="9"/>
  <c r="BC38" i="9"/>
  <c r="BC51" i="9"/>
  <c r="BC42" i="9"/>
  <c r="BC45" i="9"/>
  <c r="BD11" i="9"/>
  <c r="BD13" i="9"/>
  <c r="BD12" i="9"/>
  <c r="BE16" i="9"/>
  <c r="BD10" i="9"/>
  <c r="BG16" i="7"/>
  <c r="BI4" i="7"/>
  <c r="BI9" i="7" s="1"/>
  <c r="BI4" i="6"/>
  <c r="BI8" i="6" s="1"/>
  <c r="BI4" i="2"/>
  <c r="BI9" i="2" s="1"/>
  <c r="BH8" i="2"/>
  <c r="BH6" i="7"/>
  <c r="BH5" i="7"/>
  <c r="BH10" i="7"/>
  <c r="BH7" i="7"/>
  <c r="BH13" i="6"/>
  <c r="BH6" i="6"/>
  <c r="BH10" i="6"/>
  <c r="BH9" i="6"/>
  <c r="BH11" i="6"/>
  <c r="BH5" i="6"/>
  <c r="BF3" i="3"/>
  <c r="BG2" i="3"/>
  <c r="BD44" i="9" l="1"/>
  <c r="BD43" i="9"/>
  <c r="BE15" i="9"/>
  <c r="BE18" i="9"/>
  <c r="BE19" i="9"/>
  <c r="BD37" i="9"/>
  <c r="BD41" i="9"/>
  <c r="BC26" i="9"/>
  <c r="BC27" i="9" s="1"/>
  <c r="AG31" i="9"/>
  <c r="AG29" i="9"/>
  <c r="AG28" i="9"/>
  <c r="AG30" i="9"/>
  <c r="BD25" i="9"/>
  <c r="BD24" i="9"/>
  <c r="BD23" i="9"/>
  <c r="BD22" i="9"/>
  <c r="BB33" i="9"/>
  <c r="BF104" i="3"/>
  <c r="BF97" i="3"/>
  <c r="BG14" i="9"/>
  <c r="BG124" i="3"/>
  <c r="R107" i="23"/>
  <c r="P108" i="23"/>
  <c r="O108" i="23"/>
  <c r="Q108" i="23"/>
  <c r="H84" i="3"/>
  <c r="H66" i="3" s="1"/>
  <c r="G84" i="3"/>
  <c r="G66" i="3" s="1"/>
  <c r="G64" i="3"/>
  <c r="H64" i="3"/>
  <c r="AG39" i="9"/>
  <c r="BA39" i="3"/>
  <c r="BD47" i="9"/>
  <c r="BD46" i="9"/>
  <c r="BI8" i="7"/>
  <c r="BG65" i="3"/>
  <c r="BI8" i="11"/>
  <c r="BB38" i="3"/>
  <c r="BI16" i="6"/>
  <c r="BI17" i="6"/>
  <c r="BI18" i="6"/>
  <c r="BI15" i="7"/>
  <c r="BI13" i="7"/>
  <c r="BI12" i="7"/>
  <c r="BI11" i="7"/>
  <c r="AF50" i="9"/>
  <c r="AF58" i="9"/>
  <c r="AF59" i="9" s="1"/>
  <c r="AH17" i="9"/>
  <c r="AG40" i="9"/>
  <c r="BD24" i="3" a="1"/>
  <c r="BD24" i="3" s="1"/>
  <c r="BE61" i="9" a="1"/>
  <c r="BE61" i="9" s="1"/>
  <c r="BE24" i="3" s="1" a="1"/>
  <c r="BE24" i="3" s="1"/>
  <c r="BG114" i="3" a="1"/>
  <c r="BG114" i="3" s="1"/>
  <c r="BI11" i="2"/>
  <c r="BI15" i="6"/>
  <c r="BI14" i="6"/>
  <c r="BC10" i="3"/>
  <c r="BC33" i="3" s="1"/>
  <c r="BI14" i="7"/>
  <c r="BD8" i="3" a="1"/>
  <c r="BD8" i="3" s="1"/>
  <c r="BD6" i="3" a="1"/>
  <c r="BD6" i="3" s="1"/>
  <c r="BD9" i="3" a="1"/>
  <c r="BD9" i="3" s="1"/>
  <c r="BG76" i="3"/>
  <c r="BH12" i="11"/>
  <c r="BH12" i="2"/>
  <c r="BE7" i="3" s="1" a="1"/>
  <c r="BE7" i="3" s="1"/>
  <c r="BH19" i="6"/>
  <c r="BG16" i="3"/>
  <c r="BG17" i="3"/>
  <c r="BG18" i="3"/>
  <c r="BG20" i="3"/>
  <c r="BG21" i="3"/>
  <c r="BG22" i="3"/>
  <c r="BI7" i="6"/>
  <c r="BI12" i="6"/>
  <c r="BI6" i="2"/>
  <c r="BI7" i="2"/>
  <c r="BI5" i="2"/>
  <c r="BI10" i="2"/>
  <c r="BI10" i="11"/>
  <c r="BD65" i="9"/>
  <c r="BD25" i="3" s="1" a="1"/>
  <c r="BD25" i="3" s="1"/>
  <c r="BI5" i="11"/>
  <c r="BJ4" i="11"/>
  <c r="BG5" i="3"/>
  <c r="BH4" i="3"/>
  <c r="BH58" i="3" s="1"/>
  <c r="BI7" i="11"/>
  <c r="BI6" i="11"/>
  <c r="BI9" i="11"/>
  <c r="BI11" i="11"/>
  <c r="BE11" i="9"/>
  <c r="BF16" i="9"/>
  <c r="BE12" i="9"/>
  <c r="BE10" i="9"/>
  <c r="BE13" i="9"/>
  <c r="BD49" i="9"/>
  <c r="BD51" i="9"/>
  <c r="BD38" i="9"/>
  <c r="BD42" i="9"/>
  <c r="BD45" i="9"/>
  <c r="BI8" i="2"/>
  <c r="BJ4" i="7"/>
  <c r="BJ9" i="7" s="1"/>
  <c r="BJ4" i="6"/>
  <c r="BJ8" i="6" s="1"/>
  <c r="BJ4" i="2"/>
  <c r="BJ9" i="2" s="1"/>
  <c r="BI5" i="6"/>
  <c r="BI10" i="6"/>
  <c r="BI6" i="6"/>
  <c r="BI13" i="6"/>
  <c r="BI11" i="6"/>
  <c r="BI9" i="6"/>
  <c r="BI5" i="7"/>
  <c r="BI7" i="7"/>
  <c r="BI6" i="7"/>
  <c r="BI10" i="7"/>
  <c r="BH16" i="7"/>
  <c r="BH2" i="3"/>
  <c r="BG3" i="3"/>
  <c r="BE44" i="9" l="1"/>
  <c r="BE43" i="9"/>
  <c r="BF15" i="9"/>
  <c r="BF18" i="9"/>
  <c r="BF19" i="9"/>
  <c r="BE37" i="9"/>
  <c r="BE41" i="9"/>
  <c r="AG34" i="9"/>
  <c r="BE25" i="9"/>
  <c r="BE22" i="9"/>
  <c r="BE23" i="9"/>
  <c r="BE24" i="9"/>
  <c r="BE32" i="9" s="1"/>
  <c r="BD26" i="9"/>
  <c r="BD33" i="9" s="1"/>
  <c r="BD32" i="9"/>
  <c r="BC33" i="9"/>
  <c r="G67" i="3"/>
  <c r="H62" i="3" s="1"/>
  <c r="BG104" i="3"/>
  <c r="BG97" i="3"/>
  <c r="BH14" i="9"/>
  <c r="BH124" i="3"/>
  <c r="R108" i="23"/>
  <c r="BB39" i="3"/>
  <c r="BE47" i="9"/>
  <c r="BE46" i="9"/>
  <c r="BJ8" i="7"/>
  <c r="BH65" i="3"/>
  <c r="BH40" i="3"/>
  <c r="BH63" i="3"/>
  <c r="BJ8" i="11"/>
  <c r="BC38" i="3"/>
  <c r="BD26" i="3"/>
  <c r="BJ16" i="6"/>
  <c r="BJ17" i="6"/>
  <c r="BJ18" i="6"/>
  <c r="BJ15" i="7"/>
  <c r="BJ11" i="7"/>
  <c r="BJ12" i="7"/>
  <c r="BJ13" i="7"/>
  <c r="AH20" i="9"/>
  <c r="AS62" i="9"/>
  <c r="BF61" i="9" a="1"/>
  <c r="BF61" i="9" s="1"/>
  <c r="BF24" i="3" s="1" a="1"/>
  <c r="BF24" i="3" s="1"/>
  <c r="BH114" i="3" a="1"/>
  <c r="BH114" i="3" s="1"/>
  <c r="BJ11" i="2"/>
  <c r="BJ14" i="6"/>
  <c r="BJ15" i="6"/>
  <c r="BJ14" i="7"/>
  <c r="BD10" i="3"/>
  <c r="BD33" i="3" s="1"/>
  <c r="BE8" i="3" a="1"/>
  <c r="BE8" i="3" s="1"/>
  <c r="BE6" i="3" a="1"/>
  <c r="BE6" i="3" s="1"/>
  <c r="BE9" i="3" a="1"/>
  <c r="BE9" i="3" s="1"/>
  <c r="BI12" i="11"/>
  <c r="BH76" i="3"/>
  <c r="BI12" i="2"/>
  <c r="BF7" i="3" s="1" a="1"/>
  <c r="BF7" i="3" s="1"/>
  <c r="BI19" i="6"/>
  <c r="BH16" i="3"/>
  <c r="BH17" i="3"/>
  <c r="BH20" i="3"/>
  <c r="BH21" i="3"/>
  <c r="BH18" i="3"/>
  <c r="BH22" i="3"/>
  <c r="BJ7" i="6"/>
  <c r="BJ12" i="6"/>
  <c r="BJ7" i="2"/>
  <c r="BJ6" i="2"/>
  <c r="BJ5" i="2"/>
  <c r="BJ10" i="2"/>
  <c r="BE65" i="9"/>
  <c r="BE25" i="3" s="1" a="1"/>
  <c r="BE25" i="3" s="1"/>
  <c r="BE26" i="3" s="1"/>
  <c r="BJ10" i="11"/>
  <c r="BJ5" i="11"/>
  <c r="BJ9" i="11"/>
  <c r="BJ7" i="11"/>
  <c r="BJ11" i="11"/>
  <c r="BJ6" i="11"/>
  <c r="BK4" i="11"/>
  <c r="BH5" i="3"/>
  <c r="BI4" i="3"/>
  <c r="BE51" i="9"/>
  <c r="BE38" i="9"/>
  <c r="BE45" i="9"/>
  <c r="BE42" i="9"/>
  <c r="BE49" i="9"/>
  <c r="BF12" i="9"/>
  <c r="BG16" i="9"/>
  <c r="BF10" i="9"/>
  <c r="BF11" i="9"/>
  <c r="BF13" i="9"/>
  <c r="BJ6" i="7"/>
  <c r="BJ7" i="7"/>
  <c r="BJ10" i="7"/>
  <c r="BJ5" i="7"/>
  <c r="BK4" i="7"/>
  <c r="BK9" i="7" s="1"/>
  <c r="BK4" i="6"/>
  <c r="BK8" i="6" s="1"/>
  <c r="BK4" i="2"/>
  <c r="BK9" i="2" s="1"/>
  <c r="BI16" i="7"/>
  <c r="BJ8" i="2"/>
  <c r="BJ5" i="6"/>
  <c r="BJ11" i="6"/>
  <c r="BJ10" i="6"/>
  <c r="BJ9" i="6"/>
  <c r="BJ13" i="6"/>
  <c r="BJ6" i="6"/>
  <c r="BH3" i="3"/>
  <c r="BI2" i="3"/>
  <c r="BF44" i="9" l="1"/>
  <c r="BF43" i="9"/>
  <c r="BG15" i="9"/>
  <c r="BG18" i="9"/>
  <c r="BG19" i="9"/>
  <c r="BF37" i="9"/>
  <c r="BF41" i="9"/>
  <c r="AH31" i="9"/>
  <c r="AH29" i="9"/>
  <c r="AH30" i="9"/>
  <c r="AH28" i="9"/>
  <c r="BD27" i="9"/>
  <c r="BF25" i="9"/>
  <c r="BF22" i="9"/>
  <c r="BF24" i="9"/>
  <c r="BF23" i="9"/>
  <c r="BE26" i="9"/>
  <c r="BE27" i="9" s="1"/>
  <c r="BH104" i="3"/>
  <c r="BH97" i="3"/>
  <c r="BI14" i="9"/>
  <c r="BI124" i="3"/>
  <c r="BI97" i="3" s="1"/>
  <c r="AH39" i="9"/>
  <c r="BC39" i="3"/>
  <c r="BF47" i="9"/>
  <c r="BF46" i="9"/>
  <c r="BK8" i="7"/>
  <c r="BI65" i="3"/>
  <c r="BK8" i="11"/>
  <c r="BD38" i="3"/>
  <c r="BK16" i="6"/>
  <c r="BK17" i="6"/>
  <c r="BK18" i="6"/>
  <c r="BK15" i="7"/>
  <c r="BK11" i="7"/>
  <c r="BK13" i="7"/>
  <c r="BK12" i="7"/>
  <c r="AG50" i="9"/>
  <c r="AG58" i="9"/>
  <c r="AG59" i="9" s="1"/>
  <c r="AT62" i="9"/>
  <c r="AI17" i="9"/>
  <c r="AH40" i="9"/>
  <c r="BG61" i="9" a="1"/>
  <c r="BG61" i="9" s="1"/>
  <c r="BG24" i="3" s="1" a="1"/>
  <c r="BG24" i="3" s="1"/>
  <c r="BI114" i="3" a="1"/>
  <c r="BI114" i="3" s="1"/>
  <c r="BK11" i="2"/>
  <c r="BK15" i="6"/>
  <c r="BK14" i="6"/>
  <c r="BK14" i="7"/>
  <c r="BE10" i="3"/>
  <c r="BE33" i="3" s="1"/>
  <c r="BF8" i="3" a="1"/>
  <c r="BF8" i="3" s="1"/>
  <c r="BF6" i="3" a="1"/>
  <c r="BF6" i="3" s="1"/>
  <c r="BF9" i="3" a="1"/>
  <c r="BF9" i="3" s="1"/>
  <c r="BJ12" i="11"/>
  <c r="BJ12" i="2"/>
  <c r="BG7" i="3" s="1" a="1"/>
  <c r="BG7" i="3" s="1"/>
  <c r="BI76" i="3"/>
  <c r="BJ19" i="6"/>
  <c r="BI17" i="3"/>
  <c r="BI18" i="3"/>
  <c r="BI16" i="3"/>
  <c r="BI20" i="3"/>
  <c r="BI21" i="3"/>
  <c r="BI22" i="3"/>
  <c r="BK7" i="6"/>
  <c r="BK12" i="6"/>
  <c r="BK6" i="2"/>
  <c r="BK7" i="2"/>
  <c r="BK5" i="2"/>
  <c r="BK10" i="2"/>
  <c r="BK10" i="11"/>
  <c r="BF65" i="9"/>
  <c r="BF25" i="3" s="1" a="1"/>
  <c r="BF25" i="3" s="1"/>
  <c r="BF26" i="3" s="1"/>
  <c r="BK5" i="11"/>
  <c r="BL4" i="11"/>
  <c r="BI5" i="3"/>
  <c r="BJ4" i="3"/>
  <c r="BK11" i="11"/>
  <c r="BK9" i="11"/>
  <c r="BK7" i="11"/>
  <c r="BK6" i="11"/>
  <c r="BG12" i="9"/>
  <c r="BG11" i="9"/>
  <c r="BG13" i="9"/>
  <c r="BG10" i="9"/>
  <c r="BH16" i="9"/>
  <c r="BF51" i="9"/>
  <c r="BF49" i="9"/>
  <c r="BF42" i="9"/>
  <c r="BF45" i="9"/>
  <c r="BF38" i="9"/>
  <c r="BJ16" i="7"/>
  <c r="BL4" i="7"/>
  <c r="BL9" i="7" s="1"/>
  <c r="BL4" i="2"/>
  <c r="BL9" i="2" s="1"/>
  <c r="BL4" i="6"/>
  <c r="BL8" i="6" s="1"/>
  <c r="BK6" i="7"/>
  <c r="BK10" i="7"/>
  <c r="BK5" i="7"/>
  <c r="BK7" i="7"/>
  <c r="BK8" i="2"/>
  <c r="BK5" i="6"/>
  <c r="BK11" i="6"/>
  <c r="BK10" i="6"/>
  <c r="BK6" i="6"/>
  <c r="BK13" i="6"/>
  <c r="BK9" i="6"/>
  <c r="BJ2" i="3"/>
  <c r="BI3" i="3"/>
  <c r="BG44" i="9" l="1"/>
  <c r="BG43" i="9"/>
  <c r="BH15" i="9"/>
  <c r="BH19" i="9"/>
  <c r="BH18" i="9"/>
  <c r="BG37" i="9"/>
  <c r="BG41" i="9"/>
  <c r="AH34" i="9"/>
  <c r="BE33" i="9"/>
  <c r="BF32" i="9"/>
  <c r="BG25" i="9"/>
  <c r="BG24" i="9"/>
  <c r="BG32" i="9" s="1"/>
  <c r="BG22" i="9"/>
  <c r="BG23" i="9"/>
  <c r="BF26" i="9"/>
  <c r="BI104" i="3"/>
  <c r="BJ14" i="9"/>
  <c r="BJ124" i="3"/>
  <c r="BD39" i="3"/>
  <c r="BG47" i="9"/>
  <c r="BG46" i="9"/>
  <c r="BL8" i="7"/>
  <c r="BJ65" i="3"/>
  <c r="BL8" i="11"/>
  <c r="BE38" i="3"/>
  <c r="BL16" i="6"/>
  <c r="BL17" i="6"/>
  <c r="BL18" i="6"/>
  <c r="BL15" i="7"/>
  <c r="BL11" i="7"/>
  <c r="BL12" i="7"/>
  <c r="BL13" i="7"/>
  <c r="AI20" i="9"/>
  <c r="AU62" i="9"/>
  <c r="BH61" i="9" a="1"/>
  <c r="BH61" i="9" s="1"/>
  <c r="BH24" i="3" s="1" a="1"/>
  <c r="BH24" i="3" s="1"/>
  <c r="BJ114" i="3" a="1"/>
  <c r="BJ114" i="3" s="1"/>
  <c r="BL11" i="2"/>
  <c r="BL14" i="6"/>
  <c r="BL15" i="6"/>
  <c r="BL14" i="7"/>
  <c r="BG8" i="3" a="1"/>
  <c r="BG8" i="3" s="1"/>
  <c r="BF10" i="3"/>
  <c r="BF33" i="3" s="1"/>
  <c r="BG6" i="3" a="1"/>
  <c r="BG6" i="3" s="1"/>
  <c r="BG9" i="3" a="1"/>
  <c r="BG9" i="3" s="1"/>
  <c r="BJ76" i="3"/>
  <c r="BK12" i="11"/>
  <c r="BK12" i="2"/>
  <c r="BH7" i="3" s="1" a="1"/>
  <c r="BH7" i="3" s="1"/>
  <c r="BK19" i="6"/>
  <c r="BJ17" i="3"/>
  <c r="BJ18" i="3"/>
  <c r="BJ16" i="3"/>
  <c r="BJ22" i="3"/>
  <c r="BJ20" i="3"/>
  <c r="BJ21" i="3"/>
  <c r="BL7" i="6"/>
  <c r="BL12" i="6"/>
  <c r="BL6" i="2"/>
  <c r="BL7" i="2"/>
  <c r="BL5" i="2"/>
  <c r="BL10" i="2"/>
  <c r="BL10" i="11"/>
  <c r="BG65" i="9"/>
  <c r="BG25" i="3" s="1" a="1"/>
  <c r="BG25" i="3" s="1"/>
  <c r="BG26" i="3" s="1"/>
  <c r="BL5" i="11"/>
  <c r="BM4" i="11"/>
  <c r="BJ5" i="3"/>
  <c r="BK4" i="3"/>
  <c r="BL7" i="11"/>
  <c r="BL6" i="11"/>
  <c r="BL9" i="11"/>
  <c r="BL11" i="11"/>
  <c r="BH11" i="9"/>
  <c r="BI16" i="9"/>
  <c r="BH10" i="9"/>
  <c r="BH13" i="9"/>
  <c r="BH12" i="9"/>
  <c r="BG51" i="9"/>
  <c r="BG49" i="9"/>
  <c r="BG42" i="9"/>
  <c r="BG45" i="9"/>
  <c r="BG38" i="9"/>
  <c r="BM4" i="7"/>
  <c r="BM9" i="7" s="1"/>
  <c r="BM4" i="6"/>
  <c r="BM8" i="6" s="1"/>
  <c r="BM4" i="2"/>
  <c r="BM9" i="2" s="1"/>
  <c r="BL11" i="6"/>
  <c r="BL13" i="6"/>
  <c r="BL10" i="6"/>
  <c r="BL6" i="6"/>
  <c r="BL9" i="6"/>
  <c r="BL5" i="6"/>
  <c r="BK16" i="7"/>
  <c r="BL8" i="2"/>
  <c r="BL6" i="7"/>
  <c r="BL5" i="7"/>
  <c r="BL7" i="7"/>
  <c r="BL10" i="7"/>
  <c r="BJ3" i="3"/>
  <c r="BK2" i="3"/>
  <c r="BH44" i="9" l="1"/>
  <c r="BH43" i="9"/>
  <c r="BI15" i="9"/>
  <c r="BI19" i="9"/>
  <c r="BI18" i="9"/>
  <c r="BH37" i="9"/>
  <c r="BH41" i="9"/>
  <c r="BG26" i="9"/>
  <c r="BG27" i="9" s="1"/>
  <c r="AI31" i="9"/>
  <c r="AI29" i="9"/>
  <c r="AI30" i="9"/>
  <c r="AI28" i="9"/>
  <c r="BH25" i="9"/>
  <c r="BH22" i="9"/>
  <c r="BH23" i="9"/>
  <c r="BH24" i="9"/>
  <c r="BF27" i="9"/>
  <c r="BF33" i="9"/>
  <c r="BJ104" i="3"/>
  <c r="BJ97" i="3"/>
  <c r="BK14" i="9"/>
  <c r="BK124" i="3"/>
  <c r="AI39" i="9"/>
  <c r="BE39" i="3"/>
  <c r="BH47" i="9"/>
  <c r="BH46" i="9"/>
  <c r="BM8" i="7"/>
  <c r="BK65" i="3"/>
  <c r="BM8" i="11"/>
  <c r="BF38" i="3"/>
  <c r="BM16" i="6"/>
  <c r="BM17" i="6"/>
  <c r="BM18" i="6"/>
  <c r="BM15" i="7"/>
  <c r="BM13" i="7"/>
  <c r="BM12" i="7"/>
  <c r="BM11" i="7"/>
  <c r="AH50" i="9"/>
  <c r="AH58" i="9"/>
  <c r="AH59" i="9" s="1"/>
  <c r="AJ17" i="9"/>
  <c r="AI40" i="9"/>
  <c r="AV62" i="9"/>
  <c r="BI61" i="9" a="1"/>
  <c r="BI61" i="9" s="1"/>
  <c r="BI24" i="3" s="1" a="1"/>
  <c r="BI24" i="3" s="1"/>
  <c r="BK114" i="3" a="1"/>
  <c r="BK114" i="3" s="1"/>
  <c r="BM11" i="2"/>
  <c r="BM15" i="6"/>
  <c r="BM14" i="6"/>
  <c r="BM14" i="7"/>
  <c r="BG10" i="3"/>
  <c r="BG33" i="3" s="1"/>
  <c r="BH8" i="3" a="1"/>
  <c r="BH8" i="3" s="1"/>
  <c r="BH6" i="3" a="1"/>
  <c r="BH6" i="3" s="1"/>
  <c r="BH9" i="3" a="1"/>
  <c r="BH9" i="3" s="1"/>
  <c r="BK76" i="3"/>
  <c r="BL12" i="11"/>
  <c r="BL12" i="2"/>
  <c r="BI7" i="3" s="1" a="1"/>
  <c r="BI7" i="3" s="1"/>
  <c r="BL19" i="6"/>
  <c r="BK16" i="3"/>
  <c r="BK17" i="3"/>
  <c r="BK18" i="3"/>
  <c r="BK20" i="3"/>
  <c r="BK21" i="3"/>
  <c r="BK22" i="3"/>
  <c r="BM7" i="6"/>
  <c r="BM12" i="6"/>
  <c r="BM7" i="2"/>
  <c r="BM6" i="2"/>
  <c r="BM5" i="2"/>
  <c r="BM10" i="2"/>
  <c r="BM10" i="11"/>
  <c r="BH65" i="9"/>
  <c r="BH25" i="3" s="1" a="1"/>
  <c r="BH25" i="3" s="1"/>
  <c r="BH26" i="3" s="1"/>
  <c r="BM5" i="11"/>
  <c r="BM6" i="11"/>
  <c r="BM9" i="11"/>
  <c r="BM11" i="11"/>
  <c r="BM7" i="11"/>
  <c r="BN4" i="11"/>
  <c r="BK5" i="3"/>
  <c r="BL4" i="3"/>
  <c r="BI11" i="9"/>
  <c r="BI13" i="9"/>
  <c r="BI10" i="9"/>
  <c r="BJ16" i="9"/>
  <c r="BI12" i="9"/>
  <c r="BH49" i="9"/>
  <c r="BH42" i="9"/>
  <c r="BH51" i="9"/>
  <c r="BH38" i="9"/>
  <c r="BH45" i="9"/>
  <c r="BM5" i="6"/>
  <c r="BM10" i="6"/>
  <c r="BM13" i="6"/>
  <c r="BM9" i="6"/>
  <c r="BM6" i="6"/>
  <c r="BM11" i="6"/>
  <c r="BN4" i="7"/>
  <c r="BN9" i="7" s="1"/>
  <c r="BN4" i="6"/>
  <c r="BN8" i="6" s="1"/>
  <c r="BN4" i="2"/>
  <c r="BN9" i="2" s="1"/>
  <c r="BL16" i="7"/>
  <c r="BM6" i="7"/>
  <c r="BM7" i="7"/>
  <c r="BM5" i="7"/>
  <c r="BM10" i="7"/>
  <c r="BM8" i="2"/>
  <c r="BL2" i="3"/>
  <c r="BK3" i="3"/>
  <c r="BI44" i="9" l="1"/>
  <c r="BI43" i="9"/>
  <c r="BJ15" i="9"/>
  <c r="BJ19" i="9"/>
  <c r="BJ18" i="9"/>
  <c r="BI37" i="9"/>
  <c r="BI41" i="9"/>
  <c r="AI34" i="9"/>
  <c r="BI25" i="9"/>
  <c r="BI23" i="9"/>
  <c r="BI22" i="9"/>
  <c r="BI24" i="9"/>
  <c r="BI32" i="9" s="1"/>
  <c r="BH32" i="9"/>
  <c r="BG33" i="9"/>
  <c r="BH26" i="9"/>
  <c r="BK104" i="3"/>
  <c r="BK97" i="3"/>
  <c r="BL14" i="9"/>
  <c r="BL124" i="3"/>
  <c r="BF39" i="3"/>
  <c r="BI47" i="9"/>
  <c r="BI46" i="9"/>
  <c r="BN8" i="7"/>
  <c r="BL65" i="3"/>
  <c r="BN8" i="11"/>
  <c r="BG38" i="3"/>
  <c r="BN16" i="6"/>
  <c r="BN17" i="6"/>
  <c r="BN18" i="6"/>
  <c r="BN15" i="7"/>
  <c r="BN11" i="7"/>
  <c r="BN12" i="7"/>
  <c r="BN13" i="7"/>
  <c r="AJ20" i="9"/>
  <c r="AW62" i="9"/>
  <c r="BJ61" i="9" a="1"/>
  <c r="BJ61" i="9" s="1"/>
  <c r="BJ24" i="3" s="1" a="1"/>
  <c r="BJ24" i="3" s="1"/>
  <c r="BL114" i="3" a="1"/>
  <c r="BL114" i="3" s="1"/>
  <c r="BN11" i="2"/>
  <c r="BN14" i="6"/>
  <c r="BN15" i="6"/>
  <c r="BN14" i="7"/>
  <c r="BH10" i="3"/>
  <c r="BH33" i="3" s="1"/>
  <c r="BI8" i="3" a="1"/>
  <c r="BI8" i="3" s="1"/>
  <c r="BI6" i="3" a="1"/>
  <c r="BI6" i="3" s="1"/>
  <c r="BI9" i="3" a="1"/>
  <c r="BI9" i="3" s="1"/>
  <c r="BL76" i="3"/>
  <c r="BM12" i="11"/>
  <c r="BM12" i="2"/>
  <c r="BJ7" i="3" s="1" a="1"/>
  <c r="BJ7" i="3" s="1"/>
  <c r="BM19" i="6"/>
  <c r="BL16" i="3"/>
  <c r="BL18" i="3"/>
  <c r="BL17" i="3"/>
  <c r="BL21" i="3"/>
  <c r="BL20" i="3"/>
  <c r="BL22" i="3"/>
  <c r="BN7" i="6"/>
  <c r="BN12" i="6"/>
  <c r="BN7" i="2"/>
  <c r="BN6" i="2"/>
  <c r="BN5" i="2"/>
  <c r="BN10" i="2"/>
  <c r="BN10" i="11"/>
  <c r="BI65" i="9"/>
  <c r="BI25" i="3" s="1" a="1"/>
  <c r="BI25" i="3" s="1"/>
  <c r="BI26" i="3" s="1"/>
  <c r="BN5" i="11"/>
  <c r="BN6" i="11"/>
  <c r="BN9" i="11"/>
  <c r="BN7" i="11"/>
  <c r="BN11" i="11"/>
  <c r="BO4" i="11"/>
  <c r="BL5" i="3"/>
  <c r="BM4" i="3"/>
  <c r="BJ12" i="9"/>
  <c r="BK16" i="9"/>
  <c r="BJ10" i="9"/>
  <c r="BJ13" i="9"/>
  <c r="BJ11" i="9"/>
  <c r="BI51" i="9"/>
  <c r="BI38" i="9"/>
  <c r="BI42" i="9"/>
  <c r="BI45" i="9"/>
  <c r="BI49" i="9"/>
  <c r="BO4" i="7"/>
  <c r="BO9" i="7" s="1"/>
  <c r="BO4" i="6"/>
  <c r="BO8" i="6" s="1"/>
  <c r="BO4" i="2"/>
  <c r="BO9" i="2" s="1"/>
  <c r="BN5" i="6"/>
  <c r="BN6" i="6"/>
  <c r="BN11" i="6"/>
  <c r="BN13" i="6"/>
  <c r="BN10" i="6"/>
  <c r="BN9" i="6"/>
  <c r="BM16" i="7"/>
  <c r="BN5" i="7"/>
  <c r="BN6" i="7"/>
  <c r="BN10" i="7"/>
  <c r="BN7" i="7"/>
  <c r="BN8" i="2"/>
  <c r="BL3" i="3"/>
  <c r="BM2" i="3"/>
  <c r="BJ44" i="9" l="1"/>
  <c r="BJ43" i="9"/>
  <c r="BK15" i="9"/>
  <c r="BK19" i="9"/>
  <c r="BK18" i="9"/>
  <c r="BJ37" i="9"/>
  <c r="BJ41" i="9"/>
  <c r="AJ31" i="9"/>
  <c r="AJ29" i="9"/>
  <c r="AJ30" i="9"/>
  <c r="AJ28" i="9"/>
  <c r="BJ25" i="9"/>
  <c r="BJ22" i="9"/>
  <c r="BJ24" i="9"/>
  <c r="BJ23" i="9"/>
  <c r="BI26" i="9"/>
  <c r="BI27" i="9" s="1"/>
  <c r="BH27" i="9"/>
  <c r="BH33" i="9"/>
  <c r="BL104" i="3"/>
  <c r="BL97" i="3"/>
  <c r="BM14" i="9"/>
  <c r="BM124" i="3"/>
  <c r="AJ39" i="9"/>
  <c r="BG39" i="3"/>
  <c r="BJ47" i="9"/>
  <c r="BJ46" i="9"/>
  <c r="BO8" i="7"/>
  <c r="BM65" i="3"/>
  <c r="BO8" i="11"/>
  <c r="BH38" i="3"/>
  <c r="BO16" i="6"/>
  <c r="BO17" i="6"/>
  <c r="BO18" i="6"/>
  <c r="BO15" i="7"/>
  <c r="BO11" i="7"/>
  <c r="BO13" i="7"/>
  <c r="BO12" i="7"/>
  <c r="AI50" i="9"/>
  <c r="AI58" i="9"/>
  <c r="AI59" i="9" s="1"/>
  <c r="AK17" i="9"/>
  <c r="AJ40" i="9"/>
  <c r="AX62" i="9"/>
  <c r="BK61" i="9" a="1"/>
  <c r="BK61" i="9" s="1"/>
  <c r="BK24" i="3" s="1" a="1"/>
  <c r="BK24" i="3" s="1"/>
  <c r="BM114" i="3" a="1"/>
  <c r="BM114" i="3" s="1"/>
  <c r="BO11" i="2"/>
  <c r="BO14" i="6"/>
  <c r="BO15" i="6"/>
  <c r="BO14" i="7"/>
  <c r="BI10" i="3"/>
  <c r="BI33" i="3" s="1"/>
  <c r="BJ8" i="3" a="1"/>
  <c r="BJ8" i="3" s="1"/>
  <c r="BJ6" i="3" a="1"/>
  <c r="BJ6" i="3" s="1"/>
  <c r="BJ9" i="3" a="1"/>
  <c r="BJ9" i="3" s="1"/>
  <c r="BN12" i="11"/>
  <c r="BM76" i="3"/>
  <c r="BN12" i="2"/>
  <c r="BK7" i="3" s="1" a="1"/>
  <c r="BK7" i="3" s="1"/>
  <c r="BN19" i="6"/>
  <c r="BM20" i="3"/>
  <c r="BM21" i="3"/>
  <c r="BM22" i="3"/>
  <c r="BM17" i="3"/>
  <c r="BM16" i="3"/>
  <c r="BM18" i="3"/>
  <c r="BO7" i="6"/>
  <c r="BO12" i="6"/>
  <c r="BO6" i="2"/>
  <c r="BO7" i="2"/>
  <c r="BO5" i="2"/>
  <c r="BO10" i="2"/>
  <c r="BO10" i="11"/>
  <c r="BJ65" i="9"/>
  <c r="BJ25" i="3" s="1" a="1"/>
  <c r="BJ25" i="3" s="1"/>
  <c r="BJ26" i="3" s="1"/>
  <c r="BO5" i="11"/>
  <c r="BP4" i="11"/>
  <c r="BM5" i="3"/>
  <c r="BN4" i="3"/>
  <c r="BO9" i="11"/>
  <c r="BO6" i="11"/>
  <c r="BO11" i="11"/>
  <c r="BO7" i="11"/>
  <c r="BK12" i="9"/>
  <c r="BK13" i="9"/>
  <c r="BK10" i="9"/>
  <c r="BL16" i="9"/>
  <c r="BK11" i="9"/>
  <c r="BJ51" i="9"/>
  <c r="BJ42" i="9"/>
  <c r="BJ45" i="9"/>
  <c r="BJ49" i="9"/>
  <c r="BJ38" i="9"/>
  <c r="BO8" i="2"/>
  <c r="BO5" i="6"/>
  <c r="BO11" i="6"/>
  <c r="BO13" i="6"/>
  <c r="BO6" i="6"/>
  <c r="BO9" i="6"/>
  <c r="BO10" i="6"/>
  <c r="BP4" i="7"/>
  <c r="BP9" i="7" s="1"/>
  <c r="BP4" i="2"/>
  <c r="BP9" i="2" s="1"/>
  <c r="BP4" i="6"/>
  <c r="BP8" i="6" s="1"/>
  <c r="BN16" i="7"/>
  <c r="BO6" i="7"/>
  <c r="BO7" i="7"/>
  <c r="BO5" i="7"/>
  <c r="BO10" i="7"/>
  <c r="BN2" i="3"/>
  <c r="BM3" i="3"/>
  <c r="BK44" i="9" l="1"/>
  <c r="BK43" i="9"/>
  <c r="BL15" i="9"/>
  <c r="BL18" i="9"/>
  <c r="BL19" i="9"/>
  <c r="BK37" i="9"/>
  <c r="BK41" i="9"/>
  <c r="AJ34" i="9"/>
  <c r="BJ32" i="9"/>
  <c r="BK25" i="9"/>
  <c r="BK23" i="9"/>
  <c r="BK22" i="9"/>
  <c r="BK24" i="9"/>
  <c r="BK32" i="9" s="1"/>
  <c r="BJ26" i="9"/>
  <c r="BJ33" i="9" s="1"/>
  <c r="BI33" i="9"/>
  <c r="BM104" i="3"/>
  <c r="BM97" i="3"/>
  <c r="BN14" i="9"/>
  <c r="BN124" i="3"/>
  <c r="BH39" i="3"/>
  <c r="BK47" i="9"/>
  <c r="BK46" i="9"/>
  <c r="BP8" i="7"/>
  <c r="BN65" i="3"/>
  <c r="BP8" i="11"/>
  <c r="BI38" i="3"/>
  <c r="BP16" i="6"/>
  <c r="BP17" i="6"/>
  <c r="BP18" i="6"/>
  <c r="BP15" i="7"/>
  <c r="BP11" i="7"/>
  <c r="BP12" i="7"/>
  <c r="BP13" i="7"/>
  <c r="AY62" i="9"/>
  <c r="AK20" i="9"/>
  <c r="BL61" i="9" a="1"/>
  <c r="BL61" i="9" s="1"/>
  <c r="BL24" i="3" s="1" a="1"/>
  <c r="BL24" i="3" s="1"/>
  <c r="BN114" i="3" a="1"/>
  <c r="BN114" i="3" s="1"/>
  <c r="BP11" i="2"/>
  <c r="BP14" i="6"/>
  <c r="BP15" i="6"/>
  <c r="BP14" i="7"/>
  <c r="BJ10" i="3"/>
  <c r="BJ33" i="3" s="1"/>
  <c r="BK8" i="3" a="1"/>
  <c r="BK8" i="3" s="1"/>
  <c r="BK6" i="3" a="1"/>
  <c r="BK6" i="3" s="1"/>
  <c r="BK9" i="3" a="1"/>
  <c r="BK9" i="3" s="1"/>
  <c r="BN76" i="3"/>
  <c r="BO12" i="11"/>
  <c r="BO12" i="2"/>
  <c r="BL7" i="3" s="1" a="1"/>
  <c r="BL7" i="3" s="1"/>
  <c r="BO19" i="6"/>
  <c r="BN17" i="3"/>
  <c r="BN16" i="3"/>
  <c r="BN20" i="3"/>
  <c r="BN22" i="3"/>
  <c r="BN21" i="3"/>
  <c r="BN18" i="3"/>
  <c r="BP7" i="6"/>
  <c r="BP12" i="6"/>
  <c r="BP6" i="2"/>
  <c r="BP7" i="2"/>
  <c r="BP5" i="2"/>
  <c r="BP10" i="2"/>
  <c r="BP10" i="11"/>
  <c r="BK65" i="9"/>
  <c r="BK25" i="3" s="1" a="1"/>
  <c r="BK25" i="3" s="1"/>
  <c r="BK26" i="3" s="1"/>
  <c r="BP5" i="11"/>
  <c r="BQ4" i="11"/>
  <c r="BN5" i="3"/>
  <c r="BO4" i="3"/>
  <c r="BO58" i="3" s="1"/>
  <c r="BP7" i="11"/>
  <c r="BP6" i="11"/>
  <c r="BP11" i="11"/>
  <c r="BP9" i="11"/>
  <c r="BL11" i="9"/>
  <c r="BL13" i="9"/>
  <c r="BL12" i="9"/>
  <c r="BM16" i="9"/>
  <c r="BL10" i="9"/>
  <c r="BK51" i="9"/>
  <c r="BK42" i="9"/>
  <c r="BK45" i="9"/>
  <c r="BK49" i="9"/>
  <c r="BK38" i="9"/>
  <c r="BP5" i="7"/>
  <c r="BP6" i="7"/>
  <c r="BP7" i="7"/>
  <c r="BP10" i="7"/>
  <c r="BP11" i="6"/>
  <c r="BP13" i="6"/>
  <c r="BP9" i="6"/>
  <c r="BP10" i="6"/>
  <c r="BP6" i="6"/>
  <c r="BP5" i="6"/>
  <c r="BQ4" i="7"/>
  <c r="BQ9" i="7" s="1"/>
  <c r="BQ4" i="6"/>
  <c r="BQ8" i="6" s="1"/>
  <c r="BQ4" i="2"/>
  <c r="BQ9" i="2" s="1"/>
  <c r="BO16" i="7"/>
  <c r="BP8" i="2"/>
  <c r="BN3" i="3"/>
  <c r="BO2" i="3"/>
  <c r="BL44" i="9" l="1"/>
  <c r="BL43" i="9"/>
  <c r="BM15" i="9"/>
  <c r="BM18" i="9"/>
  <c r="BM19" i="9"/>
  <c r="BL37" i="9"/>
  <c r="BL41" i="9"/>
  <c r="BK26" i="9"/>
  <c r="BK27" i="9" s="1"/>
  <c r="AK31" i="9"/>
  <c r="AK29" i="9"/>
  <c r="AK28" i="9"/>
  <c r="AK30" i="9"/>
  <c r="BL25" i="9"/>
  <c r="BL23" i="9"/>
  <c r="BL22" i="9"/>
  <c r="BL24" i="9"/>
  <c r="BL32" i="9" s="1"/>
  <c r="BJ27" i="9"/>
  <c r="BN104" i="3"/>
  <c r="BN97" i="3"/>
  <c r="BO14" i="9"/>
  <c r="BO124" i="3"/>
  <c r="AK39" i="9"/>
  <c r="BI39" i="3"/>
  <c r="BL47" i="9"/>
  <c r="BL46" i="9"/>
  <c r="BQ8" i="7"/>
  <c r="BO63" i="3"/>
  <c r="BQ8" i="11"/>
  <c r="BJ38" i="3"/>
  <c r="BQ16" i="6"/>
  <c r="BQ17" i="6"/>
  <c r="BQ18" i="6"/>
  <c r="BQ15" i="7"/>
  <c r="BQ11" i="7"/>
  <c r="BQ12" i="7"/>
  <c r="BQ13" i="7"/>
  <c r="AJ50" i="9"/>
  <c r="AJ58" i="9"/>
  <c r="AJ59" i="9" s="1"/>
  <c r="AL17" i="9"/>
  <c r="AK40" i="9"/>
  <c r="AZ62" i="9"/>
  <c r="BM61" i="9" a="1"/>
  <c r="BM61" i="9" s="1"/>
  <c r="BA62" i="9" s="1"/>
  <c r="BO114" i="3" a="1"/>
  <c r="BO114" i="3" s="1"/>
  <c r="BQ11" i="2"/>
  <c r="BQ15" i="6"/>
  <c r="BQ14" i="6"/>
  <c r="BQ14" i="7"/>
  <c r="BK10" i="3"/>
  <c r="BK33" i="3" s="1"/>
  <c r="BL8" i="3" a="1"/>
  <c r="BL8" i="3" s="1"/>
  <c r="BL6" i="3" a="1"/>
  <c r="BL6" i="3" s="1"/>
  <c r="BL9" i="3" a="1"/>
  <c r="BL9" i="3" s="1"/>
  <c r="BO76" i="3"/>
  <c r="BP12" i="11"/>
  <c r="BP12" i="2"/>
  <c r="BM7" i="3" s="1" a="1"/>
  <c r="BM7" i="3" s="1"/>
  <c r="BP19" i="6"/>
  <c r="BQ7" i="6"/>
  <c r="BQ12" i="6"/>
  <c r="BQ7" i="2"/>
  <c r="BQ6" i="2"/>
  <c r="BQ5" i="2"/>
  <c r="BQ10" i="2"/>
  <c r="BQ10" i="11"/>
  <c r="BL65" i="9"/>
  <c r="BL25" i="3" s="1" a="1"/>
  <c r="BL25" i="3" s="1"/>
  <c r="BL26" i="3" s="1"/>
  <c r="BQ5" i="11"/>
  <c r="BQ7" i="11"/>
  <c r="BQ6" i="11"/>
  <c r="BQ11" i="11"/>
  <c r="BQ9" i="11"/>
  <c r="BR4" i="11"/>
  <c r="BO5" i="3"/>
  <c r="BP4" i="3"/>
  <c r="BM11" i="9"/>
  <c r="BN16" i="9"/>
  <c r="BM12" i="9"/>
  <c r="BM13" i="9"/>
  <c r="BM10" i="9"/>
  <c r="BL49" i="9"/>
  <c r="BL51" i="9"/>
  <c r="BL38" i="9"/>
  <c r="BL42" i="9"/>
  <c r="BL45" i="9"/>
  <c r="BQ5" i="7"/>
  <c r="BQ7" i="7"/>
  <c r="BQ6" i="7"/>
  <c r="BQ10" i="7"/>
  <c r="BQ8" i="2"/>
  <c r="BP16" i="7"/>
  <c r="BR4" i="7"/>
  <c r="BR9" i="7" s="1"/>
  <c r="BR4" i="6"/>
  <c r="BR8" i="6" s="1"/>
  <c r="BR4" i="2"/>
  <c r="BR9" i="2" s="1"/>
  <c r="BQ5" i="6"/>
  <c r="BQ6" i="6"/>
  <c r="BQ11" i="6"/>
  <c r="BQ13" i="6"/>
  <c r="BQ9" i="6"/>
  <c r="BQ10" i="6"/>
  <c r="BP2" i="3"/>
  <c r="BO3" i="3"/>
  <c r="BM44" i="9" l="1"/>
  <c r="BM43" i="9"/>
  <c r="BN15" i="9"/>
  <c r="BN18" i="9"/>
  <c r="BN19" i="9"/>
  <c r="BM37" i="9"/>
  <c r="BM41" i="9"/>
  <c r="AK34" i="9"/>
  <c r="BM25" i="9"/>
  <c r="BM24" i="9"/>
  <c r="BM32" i="9" s="1"/>
  <c r="BM22" i="9"/>
  <c r="BM23" i="9"/>
  <c r="BL26" i="9"/>
  <c r="BK33" i="9"/>
  <c r="BO104" i="3"/>
  <c r="BO97" i="3"/>
  <c r="BP14" i="9"/>
  <c r="BP124" i="3"/>
  <c r="BJ39" i="3"/>
  <c r="BM47" i="9"/>
  <c r="BM46" i="9"/>
  <c r="BR8" i="7"/>
  <c r="BP80" i="3"/>
  <c r="BP45" i="3"/>
  <c r="BP65" i="3"/>
  <c r="BR8" i="11"/>
  <c r="BK38" i="3"/>
  <c r="BR16" i="6"/>
  <c r="BR17" i="6"/>
  <c r="BR18" i="6"/>
  <c r="BR15" i="7"/>
  <c r="BR11" i="7"/>
  <c r="BR12" i="7"/>
  <c r="BR13" i="7"/>
  <c r="AL20" i="9"/>
  <c r="BM24" i="3" a="1"/>
  <c r="BM24" i="3" s="1"/>
  <c r="BN61" i="9" a="1"/>
  <c r="BN61" i="9" s="1"/>
  <c r="BN24" i="3" s="1" a="1"/>
  <c r="BN24" i="3" s="1"/>
  <c r="BR11" i="2"/>
  <c r="BR14" i="6"/>
  <c r="BR15" i="6"/>
  <c r="BR14" i="7"/>
  <c r="BL10" i="3"/>
  <c r="BL33" i="3" s="1"/>
  <c r="BM8" i="3" a="1"/>
  <c r="BM8" i="3" s="1"/>
  <c r="BM6" i="3" a="1"/>
  <c r="BM6" i="3" s="1"/>
  <c r="BM9" i="3" a="1"/>
  <c r="BM9" i="3" s="1"/>
  <c r="BP114" i="3" a="1"/>
  <c r="BP114" i="3" s="1"/>
  <c r="BQ12" i="11"/>
  <c r="BP76" i="3"/>
  <c r="BQ12" i="2"/>
  <c r="BN7" i="3" s="1" a="1"/>
  <c r="BN7" i="3" s="1"/>
  <c r="BQ19" i="6"/>
  <c r="BP17" i="3"/>
  <c r="BP18" i="3"/>
  <c r="BP16" i="3"/>
  <c r="BP20" i="3"/>
  <c r="BP21" i="3"/>
  <c r="BP22" i="3"/>
  <c r="BP32" i="3" s="1"/>
  <c r="BR7" i="6"/>
  <c r="BR12" i="6"/>
  <c r="BR7" i="2"/>
  <c r="BR6" i="2"/>
  <c r="BR5" i="2"/>
  <c r="BR10" i="2"/>
  <c r="BR10" i="11"/>
  <c r="BM65" i="9"/>
  <c r="BM25" i="3" s="1" a="1"/>
  <c r="BM25" i="3" s="1"/>
  <c r="BR5" i="11"/>
  <c r="BR9" i="11"/>
  <c r="BR7" i="11"/>
  <c r="BR6" i="11"/>
  <c r="BR11" i="11"/>
  <c r="BS4" i="11"/>
  <c r="BP5" i="3"/>
  <c r="BQ4" i="3"/>
  <c r="BM51" i="9"/>
  <c r="BM38" i="9"/>
  <c r="BM45" i="9"/>
  <c r="BM42" i="9"/>
  <c r="BM49" i="9"/>
  <c r="BN12" i="9"/>
  <c r="BO16" i="9"/>
  <c r="BN10" i="9"/>
  <c r="BN13" i="9"/>
  <c r="BN11" i="9"/>
  <c r="BR8" i="2"/>
  <c r="BS4" i="7"/>
  <c r="BS9" i="7" s="1"/>
  <c r="BS4" i="6"/>
  <c r="BS8" i="6" s="1"/>
  <c r="BS4" i="2"/>
  <c r="BS9" i="2" s="1"/>
  <c r="BR10" i="6"/>
  <c r="BR5" i="6"/>
  <c r="BR9" i="6"/>
  <c r="BR6" i="6"/>
  <c r="BR11" i="6"/>
  <c r="BR13" i="6"/>
  <c r="BQ16" i="7"/>
  <c r="BR10" i="7"/>
  <c r="BR5" i="7"/>
  <c r="BR6" i="7"/>
  <c r="BR7" i="7"/>
  <c r="BP3" i="3"/>
  <c r="BQ2" i="3"/>
  <c r="BN44" i="9" l="1"/>
  <c r="BN43" i="9"/>
  <c r="BO15" i="9"/>
  <c r="BO18" i="9"/>
  <c r="BO19" i="9"/>
  <c r="BN37" i="9"/>
  <c r="BN41" i="9"/>
  <c r="AL31" i="9"/>
  <c r="AL29" i="9"/>
  <c r="AL30" i="9"/>
  <c r="AL28" i="9"/>
  <c r="BL27" i="9"/>
  <c r="BL33" i="9"/>
  <c r="BN25" i="9"/>
  <c r="BN23" i="9"/>
  <c r="BN24" i="9"/>
  <c r="BN32" i="9" s="1"/>
  <c r="BN22" i="9"/>
  <c r="BM26" i="9"/>
  <c r="BM27" i="9" s="1"/>
  <c r="BP104" i="3"/>
  <c r="BP97" i="3"/>
  <c r="BQ14" i="9"/>
  <c r="BQ124" i="3"/>
  <c r="AL39" i="9"/>
  <c r="BK39" i="3"/>
  <c r="BN47" i="9"/>
  <c r="BN46" i="9"/>
  <c r="BQ45" i="3"/>
  <c r="BQ80" i="3"/>
  <c r="BS8" i="7"/>
  <c r="BQ65" i="3"/>
  <c r="BS8" i="11"/>
  <c r="BL38" i="3"/>
  <c r="BS16" i="6"/>
  <c r="BS17" i="6"/>
  <c r="BS18" i="6"/>
  <c r="BS15" i="7"/>
  <c r="BS11" i="7"/>
  <c r="BS13" i="7"/>
  <c r="BS12" i="7"/>
  <c r="AK50" i="9"/>
  <c r="AK58" i="9"/>
  <c r="AK59" i="9" s="1"/>
  <c r="BM26" i="3"/>
  <c r="AM17" i="9"/>
  <c r="AL40" i="9"/>
  <c r="BB62" i="9"/>
  <c r="BO61" i="9" a="1"/>
  <c r="BO61" i="9" s="1"/>
  <c r="BO24" i="3" s="1" a="1"/>
  <c r="BO24" i="3" s="1"/>
  <c r="BS11" i="2"/>
  <c r="BS15" i="6"/>
  <c r="BS14" i="6"/>
  <c r="BS14" i="7"/>
  <c r="BM10" i="3"/>
  <c r="BM33" i="3" s="1"/>
  <c r="BN8" i="3" a="1"/>
  <c r="BN8" i="3" s="1"/>
  <c r="BN6" i="3" a="1"/>
  <c r="BN6" i="3" s="1"/>
  <c r="BN9" i="3" a="1"/>
  <c r="BN9" i="3" s="1"/>
  <c r="BQ114" i="3" a="1"/>
  <c r="BQ114" i="3" s="1"/>
  <c r="BR12" i="11"/>
  <c r="BR12" i="2"/>
  <c r="BO7" i="3" s="1" a="1"/>
  <c r="BO7" i="3" s="1"/>
  <c r="BQ76" i="3"/>
  <c r="BR19" i="6"/>
  <c r="BQ16" i="3"/>
  <c r="BQ18" i="3"/>
  <c r="BQ17" i="3"/>
  <c r="BQ20" i="3"/>
  <c r="BQ21" i="3"/>
  <c r="BQ22" i="3"/>
  <c r="BQ32" i="3" s="1"/>
  <c r="BS7" i="6"/>
  <c r="BS12" i="6"/>
  <c r="BS7" i="2"/>
  <c r="BS6" i="2"/>
  <c r="BS5" i="2"/>
  <c r="BS10" i="2"/>
  <c r="BS10" i="11"/>
  <c r="BN65" i="9"/>
  <c r="BN25" i="3" s="1" a="1"/>
  <c r="BN25" i="3" s="1"/>
  <c r="BN26" i="3" s="1"/>
  <c r="BS5" i="11"/>
  <c r="BS9" i="11"/>
  <c r="BS7" i="11"/>
  <c r="BS11" i="11"/>
  <c r="BS6" i="11"/>
  <c r="BT4" i="11"/>
  <c r="BQ5" i="3"/>
  <c r="BR4" i="3"/>
  <c r="BO12" i="9"/>
  <c r="BO13" i="9"/>
  <c r="BO10" i="9"/>
  <c r="BP16" i="9"/>
  <c r="BO11" i="9"/>
  <c r="BN51" i="9"/>
  <c r="BN42" i="9"/>
  <c r="BN45" i="9"/>
  <c r="BN49" i="9"/>
  <c r="BN38" i="9"/>
  <c r="BR16" i="7"/>
  <c r="BS5" i="6"/>
  <c r="BS9" i="6"/>
  <c r="BS6" i="6"/>
  <c r="BS10" i="6"/>
  <c r="BS11" i="6"/>
  <c r="BS13" i="6"/>
  <c r="BT4" i="7"/>
  <c r="BT9" i="7" s="1"/>
  <c r="BT4" i="2"/>
  <c r="BT9" i="2" s="1"/>
  <c r="BT4" i="6"/>
  <c r="BT8" i="6" s="1"/>
  <c r="BS6" i="7"/>
  <c r="BS7" i="7"/>
  <c r="BS5" i="7"/>
  <c r="BS10" i="7"/>
  <c r="BS8" i="2"/>
  <c r="BR2" i="3"/>
  <c r="BQ3" i="3"/>
  <c r="BO44" i="9" l="1"/>
  <c r="BO43" i="9"/>
  <c r="BP15" i="9"/>
  <c r="BP18" i="9"/>
  <c r="BP19" i="9"/>
  <c r="BO37" i="9"/>
  <c r="BO41" i="9"/>
  <c r="AL34" i="9"/>
  <c r="BM33" i="9"/>
  <c r="BN26" i="9"/>
  <c r="BN27" i="9" s="1"/>
  <c r="BO25" i="9"/>
  <c r="BO24" i="9"/>
  <c r="BO32" i="9" s="1"/>
  <c r="BO23" i="9"/>
  <c r="BO22" i="9"/>
  <c r="BQ104" i="3"/>
  <c r="BQ97" i="3"/>
  <c r="BR14" i="9"/>
  <c r="BR124" i="3"/>
  <c r="BL39" i="3"/>
  <c r="BO47" i="9"/>
  <c r="BO46" i="9"/>
  <c r="BR80" i="3"/>
  <c r="BR45" i="3"/>
  <c r="BT8" i="7"/>
  <c r="BR65" i="3"/>
  <c r="BT8" i="11"/>
  <c r="BM38" i="3"/>
  <c r="BT16" i="6"/>
  <c r="BT17" i="6"/>
  <c r="BT18" i="6"/>
  <c r="BT15" i="7"/>
  <c r="BT11" i="7"/>
  <c r="BT12" i="7"/>
  <c r="BT13" i="7"/>
  <c r="AM20" i="9"/>
  <c r="BC62" i="9"/>
  <c r="BP61" i="9" a="1"/>
  <c r="BP61" i="9" s="1"/>
  <c r="BP24" i="3" s="1" a="1"/>
  <c r="BP24" i="3" s="1"/>
  <c r="BT11" i="2"/>
  <c r="BT14" i="6"/>
  <c r="BT15" i="6"/>
  <c r="BT14" i="7"/>
  <c r="BN10" i="3"/>
  <c r="BN33" i="3" s="1"/>
  <c r="BO8" i="3" a="1"/>
  <c r="BO8" i="3" s="1"/>
  <c r="BO6" i="3" a="1"/>
  <c r="BO6" i="3" s="1"/>
  <c r="BO9" i="3" a="1"/>
  <c r="BO9" i="3" s="1"/>
  <c r="BR114" i="3" a="1"/>
  <c r="BR114" i="3" s="1"/>
  <c r="BR76" i="3"/>
  <c r="BS12" i="11"/>
  <c r="BS12" i="2"/>
  <c r="BP7" i="3" s="1" a="1"/>
  <c r="BP7" i="3" s="1"/>
  <c r="BS19" i="6"/>
  <c r="BR20" i="3"/>
  <c r="BR18" i="3"/>
  <c r="BR16" i="3"/>
  <c r="BR21" i="3"/>
  <c r="BR22" i="3"/>
  <c r="BR32" i="3" s="1"/>
  <c r="BR17" i="3"/>
  <c r="BT7" i="6"/>
  <c r="BT12" i="6"/>
  <c r="BT6" i="2"/>
  <c r="BT7" i="2"/>
  <c r="BT5" i="2"/>
  <c r="BT10" i="2"/>
  <c r="BT10" i="11"/>
  <c r="BO65" i="9"/>
  <c r="BO25" i="3" s="1" a="1"/>
  <c r="BO25" i="3" s="1"/>
  <c r="BO26" i="3" s="1"/>
  <c r="BT5" i="11"/>
  <c r="BU4" i="11"/>
  <c r="BR5" i="3"/>
  <c r="BS4" i="3"/>
  <c r="BT9" i="11"/>
  <c r="BT7" i="11"/>
  <c r="BT11" i="11"/>
  <c r="BT6" i="11"/>
  <c r="BP11" i="9"/>
  <c r="BQ16" i="9"/>
  <c r="BP12" i="9"/>
  <c r="BP13" i="9"/>
  <c r="BP10" i="9"/>
  <c r="BO51" i="9"/>
  <c r="BO42" i="9"/>
  <c r="BO45" i="9"/>
  <c r="BO49" i="9"/>
  <c r="BO38" i="9"/>
  <c r="BT6" i="7"/>
  <c r="BT5" i="7"/>
  <c r="BT10" i="7"/>
  <c r="BT7" i="7"/>
  <c r="BT13" i="6"/>
  <c r="BT10" i="6"/>
  <c r="BT11" i="6"/>
  <c r="BT9" i="6"/>
  <c r="BT6" i="6"/>
  <c r="BT5" i="6"/>
  <c r="BU4" i="7"/>
  <c r="BU9" i="7" s="1"/>
  <c r="BU4" i="6"/>
  <c r="BU8" i="6" s="1"/>
  <c r="BU4" i="2"/>
  <c r="BU9" i="2" s="1"/>
  <c r="BS16" i="7"/>
  <c r="BT8" i="2"/>
  <c r="BR3" i="3"/>
  <c r="BS2" i="3"/>
  <c r="BP44" i="9" l="1"/>
  <c r="BP43" i="9"/>
  <c r="BQ15" i="9"/>
  <c r="BQ19" i="9"/>
  <c r="BQ18" i="9"/>
  <c r="BP37" i="9"/>
  <c r="BP41" i="9"/>
  <c r="BN33" i="9"/>
  <c r="BO26" i="9"/>
  <c r="BO27" i="9" s="1"/>
  <c r="AM31" i="9"/>
  <c r="AM29" i="9"/>
  <c r="AM28" i="9"/>
  <c r="AM30" i="9"/>
  <c r="BP25" i="9"/>
  <c r="BP22" i="9"/>
  <c r="BP23" i="9"/>
  <c r="BP24" i="9"/>
  <c r="BP32" i="9" s="1"/>
  <c r="BR104" i="3"/>
  <c r="BR97" i="3"/>
  <c r="BS14" i="9"/>
  <c r="BS124" i="3"/>
  <c r="AM39" i="9"/>
  <c r="BM39" i="3"/>
  <c r="BP47" i="9"/>
  <c r="BP46" i="9"/>
  <c r="BS80" i="3"/>
  <c r="BS45" i="3"/>
  <c r="BU8" i="7"/>
  <c r="BS65" i="3"/>
  <c r="BU8" i="11"/>
  <c r="BN38" i="3"/>
  <c r="BU16" i="6"/>
  <c r="BU17" i="6"/>
  <c r="BU18" i="6"/>
  <c r="BU15" i="7"/>
  <c r="BU13" i="7"/>
  <c r="BU11" i="7"/>
  <c r="BU12" i="7"/>
  <c r="AL50" i="9"/>
  <c r="AL58" i="9"/>
  <c r="AL59" i="9" s="1"/>
  <c r="AN17" i="9"/>
  <c r="AM40" i="9"/>
  <c r="BD62" i="9"/>
  <c r="BQ61" i="9" a="1"/>
  <c r="BQ61" i="9" s="1"/>
  <c r="BQ24" i="3" s="1" a="1"/>
  <c r="BQ24" i="3" s="1"/>
  <c r="BU11" i="2"/>
  <c r="BU15" i="6"/>
  <c r="BU14" i="6"/>
  <c r="BO10" i="3"/>
  <c r="BO33" i="3" s="1"/>
  <c r="BU14" i="7"/>
  <c r="BP8" i="3" a="1"/>
  <c r="BP8" i="3" s="1"/>
  <c r="BP6" i="3" a="1"/>
  <c r="BP6" i="3" s="1"/>
  <c r="BP9" i="3" a="1"/>
  <c r="BP9" i="3" s="1"/>
  <c r="BS114" i="3" a="1"/>
  <c r="BS114" i="3" s="1"/>
  <c r="BT12" i="11"/>
  <c r="BT12" i="2"/>
  <c r="BQ7" i="3" s="1" a="1"/>
  <c r="BQ7" i="3" s="1"/>
  <c r="BS76" i="3"/>
  <c r="BT19" i="6"/>
  <c r="BS16" i="3"/>
  <c r="BS17" i="3"/>
  <c r="BS18" i="3"/>
  <c r="BS20" i="3"/>
  <c r="BS21" i="3"/>
  <c r="BS22" i="3"/>
  <c r="BS32" i="3" s="1"/>
  <c r="BU7" i="6"/>
  <c r="BU12" i="6"/>
  <c r="BU6" i="2"/>
  <c r="BU7" i="2"/>
  <c r="BU5" i="2"/>
  <c r="BU10" i="2"/>
  <c r="BU10" i="11"/>
  <c r="BP65" i="9"/>
  <c r="BP25" i="3" s="1" a="1"/>
  <c r="BP25" i="3" s="1"/>
  <c r="BP26" i="3" s="1"/>
  <c r="BU5" i="11"/>
  <c r="BU7" i="11"/>
  <c r="BU11" i="11"/>
  <c r="BU9" i="11"/>
  <c r="BU6" i="11"/>
  <c r="BV4" i="11"/>
  <c r="BS5" i="3"/>
  <c r="BT4" i="3"/>
  <c r="BP49" i="9"/>
  <c r="BP51" i="9"/>
  <c r="BP38" i="9"/>
  <c r="BP42" i="9"/>
  <c r="BP45" i="9"/>
  <c r="BQ10" i="9"/>
  <c r="BQ11" i="9"/>
  <c r="BR16" i="9"/>
  <c r="BQ12" i="9"/>
  <c r="BQ13" i="9"/>
  <c r="BU5" i="6"/>
  <c r="BU13" i="6"/>
  <c r="BU10" i="6"/>
  <c r="BU6" i="6"/>
  <c r="BU9" i="6"/>
  <c r="BU11" i="6"/>
  <c r="BT16" i="7"/>
  <c r="BU7" i="7"/>
  <c r="BU6" i="7"/>
  <c r="BU5" i="7"/>
  <c r="BU10" i="7"/>
  <c r="BV4" i="7"/>
  <c r="BV9" i="7" s="1"/>
  <c r="BV4" i="6"/>
  <c r="BV8" i="6" s="1"/>
  <c r="BV4" i="2"/>
  <c r="BV9" i="2" s="1"/>
  <c r="BU8" i="2"/>
  <c r="BT2" i="3"/>
  <c r="BS3" i="3"/>
  <c r="BQ44" i="9" l="1"/>
  <c r="BQ43" i="9"/>
  <c r="BR15" i="9"/>
  <c r="BR19" i="9"/>
  <c r="BR18" i="9"/>
  <c r="BQ37" i="9"/>
  <c r="BQ41" i="9"/>
  <c r="AM34" i="9"/>
  <c r="BQ25" i="9"/>
  <c r="BQ22" i="9"/>
  <c r="BQ23" i="9"/>
  <c r="BQ24" i="9"/>
  <c r="BQ32" i="9" s="1"/>
  <c r="BP26" i="9"/>
  <c r="BP27" i="9" s="1"/>
  <c r="BO33" i="9"/>
  <c r="BS104" i="3"/>
  <c r="BS97" i="3"/>
  <c r="BT14" i="9"/>
  <c r="BT124" i="3"/>
  <c r="BN39" i="3"/>
  <c r="BQ47" i="9"/>
  <c r="BQ46" i="9"/>
  <c r="BV8" i="7"/>
  <c r="BT45" i="3"/>
  <c r="BT80" i="3"/>
  <c r="BT65" i="3"/>
  <c r="BV8" i="11"/>
  <c r="BO38" i="3"/>
  <c r="BV16" i="6"/>
  <c r="BV17" i="6"/>
  <c r="BV18" i="6"/>
  <c r="BV15" i="7"/>
  <c r="BV11" i="7"/>
  <c r="BV12" i="7"/>
  <c r="BV13" i="7"/>
  <c r="AN20" i="9"/>
  <c r="BE62" i="9"/>
  <c r="BR61" i="9" a="1"/>
  <c r="BR61" i="9" s="1"/>
  <c r="BR24" i="3" s="1" a="1"/>
  <c r="BR24" i="3" s="1"/>
  <c r="BV11" i="2"/>
  <c r="BV14" i="6"/>
  <c r="BV15" i="6"/>
  <c r="BP10" i="3"/>
  <c r="BP33" i="3" s="1"/>
  <c r="BV14" i="7"/>
  <c r="BQ8" i="3" a="1"/>
  <c r="BQ8" i="3" s="1"/>
  <c r="BQ6" i="3" a="1"/>
  <c r="BQ6" i="3" s="1"/>
  <c r="BQ9" i="3" a="1"/>
  <c r="BQ9" i="3" s="1"/>
  <c r="BT114" i="3" a="1"/>
  <c r="BT114" i="3" s="1"/>
  <c r="BT76" i="3"/>
  <c r="BU12" i="11"/>
  <c r="BU12" i="2"/>
  <c r="BR7" i="3" s="1" a="1"/>
  <c r="BR7" i="3" s="1"/>
  <c r="BU19" i="6"/>
  <c r="BT17" i="3"/>
  <c r="BT20" i="3"/>
  <c r="BT18" i="3"/>
  <c r="BT16" i="3"/>
  <c r="BT21" i="3"/>
  <c r="BT22" i="3"/>
  <c r="BV7" i="6"/>
  <c r="BV12" i="6"/>
  <c r="BV7" i="2"/>
  <c r="BV6" i="2"/>
  <c r="BV5" i="2"/>
  <c r="BV10" i="2"/>
  <c r="BV10" i="11"/>
  <c r="BQ65" i="9"/>
  <c r="BQ25" i="3" s="1" a="1"/>
  <c r="BQ25" i="3" s="1"/>
  <c r="BQ26" i="3" s="1"/>
  <c r="BV5" i="11"/>
  <c r="BV9" i="11"/>
  <c r="BV7" i="11"/>
  <c r="BV6" i="11"/>
  <c r="BV11" i="11"/>
  <c r="BW4" i="11"/>
  <c r="BT5" i="3"/>
  <c r="BU4" i="3"/>
  <c r="BQ51" i="9"/>
  <c r="BQ38" i="9"/>
  <c r="BQ45" i="9"/>
  <c r="BQ42" i="9"/>
  <c r="BQ49" i="9"/>
  <c r="BR12" i="9"/>
  <c r="BS16" i="9"/>
  <c r="BR10" i="9"/>
  <c r="BR13" i="9"/>
  <c r="BR11" i="9"/>
  <c r="BV8" i="2"/>
  <c r="BV5" i="6"/>
  <c r="BV11" i="6"/>
  <c r="BV13" i="6"/>
  <c r="BV10" i="6"/>
  <c r="BV6" i="6"/>
  <c r="BV9" i="6"/>
  <c r="BW4" i="7"/>
  <c r="BW9" i="7" s="1"/>
  <c r="BW4" i="6"/>
  <c r="BW8" i="6" s="1"/>
  <c r="BW4" i="2"/>
  <c r="BW9" i="2" s="1"/>
  <c r="BV10" i="7"/>
  <c r="BV5" i="7"/>
  <c r="BV7" i="7"/>
  <c r="BV6" i="7"/>
  <c r="BU16" i="7"/>
  <c r="BT3" i="3"/>
  <c r="BU2" i="3"/>
  <c r="BR44" i="9" l="1"/>
  <c r="BR43" i="9"/>
  <c r="BS15" i="9"/>
  <c r="BS19" i="9"/>
  <c r="BS18" i="9"/>
  <c r="BR37" i="9"/>
  <c r="BR41" i="9"/>
  <c r="BP33" i="9"/>
  <c r="AN31" i="9"/>
  <c r="AN29" i="9"/>
  <c r="AN28" i="9"/>
  <c r="AN30" i="9"/>
  <c r="BR25" i="9"/>
  <c r="BR22" i="9"/>
  <c r="BR23" i="9"/>
  <c r="BR24" i="9"/>
  <c r="BR32" i="9" s="1"/>
  <c r="BQ26" i="9"/>
  <c r="BQ27" i="9" s="1"/>
  <c r="BT104" i="3"/>
  <c r="BT97" i="3"/>
  <c r="BU14" i="9"/>
  <c r="BU124" i="3"/>
  <c r="BT32" i="3"/>
  <c r="AN39" i="9"/>
  <c r="BO39" i="3"/>
  <c r="BR47" i="9"/>
  <c r="BR46" i="9"/>
  <c r="BU80" i="3"/>
  <c r="BU45" i="3"/>
  <c r="BW8" i="7"/>
  <c r="BU65" i="3"/>
  <c r="BW8" i="11"/>
  <c r="BP38" i="3"/>
  <c r="BW16" i="6"/>
  <c r="BW17" i="6"/>
  <c r="BW18" i="6"/>
  <c r="BW15" i="7"/>
  <c r="BW11" i="7"/>
  <c r="BW13" i="7"/>
  <c r="BW12" i="7"/>
  <c r="AM50" i="9"/>
  <c r="AM58" i="9"/>
  <c r="AM59" i="9" s="1"/>
  <c r="AN40" i="9"/>
  <c r="AO17" i="9"/>
  <c r="BF62" i="9"/>
  <c r="BS61" i="9" a="1"/>
  <c r="BS61" i="9" s="1"/>
  <c r="BS24" i="3" s="1" a="1"/>
  <c r="BS24" i="3" s="1"/>
  <c r="BW11" i="2"/>
  <c r="BW14" i="6"/>
  <c r="BW15" i="6"/>
  <c r="BW14" i="7"/>
  <c r="BQ10" i="3"/>
  <c r="BQ33" i="3" s="1"/>
  <c r="BR8" i="3" a="1"/>
  <c r="BR8" i="3" s="1"/>
  <c r="BR6" i="3" a="1"/>
  <c r="BR6" i="3" s="1"/>
  <c r="BR9" i="3" a="1"/>
  <c r="BR9" i="3" s="1"/>
  <c r="BU114" i="3" a="1"/>
  <c r="BU114" i="3" s="1"/>
  <c r="BV12" i="11"/>
  <c r="BV12" i="2"/>
  <c r="BS7" i="3" s="1" a="1"/>
  <c r="BS7" i="3" s="1"/>
  <c r="BU76" i="3"/>
  <c r="BV19" i="6"/>
  <c r="BU16" i="3"/>
  <c r="BU22" i="3"/>
  <c r="BU18" i="3"/>
  <c r="BU20" i="3"/>
  <c r="BU17" i="3"/>
  <c r="BU21" i="3"/>
  <c r="BW7" i="6"/>
  <c r="BW12" i="6"/>
  <c r="BW7" i="2"/>
  <c r="BW6" i="2"/>
  <c r="BW5" i="2"/>
  <c r="BW10" i="2"/>
  <c r="BW10" i="11"/>
  <c r="BR65" i="9"/>
  <c r="BR25" i="3" s="1" a="1"/>
  <c r="BR25" i="3" s="1"/>
  <c r="BR26" i="3" s="1"/>
  <c r="BW5" i="11"/>
  <c r="BX4" i="11"/>
  <c r="BU5" i="3"/>
  <c r="BV4" i="3"/>
  <c r="BW7" i="11"/>
  <c r="BW9" i="11"/>
  <c r="BW6" i="11"/>
  <c r="BW11" i="11"/>
  <c r="BS11" i="9"/>
  <c r="BS12" i="9"/>
  <c r="BS13" i="9"/>
  <c r="BS10" i="9"/>
  <c r="BT16" i="9"/>
  <c r="BR49" i="9"/>
  <c r="BR38" i="9"/>
  <c r="BR51" i="9"/>
  <c r="BR42" i="9"/>
  <c r="BR45" i="9"/>
  <c r="BV16" i="7"/>
  <c r="BW6" i="7"/>
  <c r="BW10" i="7"/>
  <c r="BW7" i="7"/>
  <c r="BW5" i="7"/>
  <c r="BW8" i="2"/>
  <c r="BX4" i="7"/>
  <c r="BX9" i="7" s="1"/>
  <c r="BX4" i="6"/>
  <c r="BX8" i="6" s="1"/>
  <c r="BX4" i="2"/>
  <c r="BX9" i="2" s="1"/>
  <c r="BW11" i="6"/>
  <c r="BW5" i="6"/>
  <c r="BW9" i="6"/>
  <c r="BW10" i="6"/>
  <c r="BW13" i="6"/>
  <c r="BW6" i="6"/>
  <c r="BV2" i="3"/>
  <c r="BU3" i="3"/>
  <c r="BS44" i="9" l="1"/>
  <c r="BS43" i="9"/>
  <c r="BT15" i="9"/>
  <c r="BT18" i="9"/>
  <c r="BT19" i="9"/>
  <c r="BS37" i="9"/>
  <c r="BS41" i="9"/>
  <c r="AN34" i="9"/>
  <c r="BQ33" i="9"/>
  <c r="BR26" i="9"/>
  <c r="BR27" i="9" s="1"/>
  <c r="BS25" i="9"/>
  <c r="BS24" i="9"/>
  <c r="BS32" i="9" s="1"/>
  <c r="BS22" i="9"/>
  <c r="BS23" i="9"/>
  <c r="BU104" i="3"/>
  <c r="BU97" i="3"/>
  <c r="BV14" i="9"/>
  <c r="BV124" i="3"/>
  <c r="BU32" i="3"/>
  <c r="BP39" i="3"/>
  <c r="BS47" i="9"/>
  <c r="BS46" i="9"/>
  <c r="BX8" i="7"/>
  <c r="BV45" i="3"/>
  <c r="BV80" i="3"/>
  <c r="BV65" i="3"/>
  <c r="BX8" i="11"/>
  <c r="BQ38" i="3"/>
  <c r="BX16" i="6"/>
  <c r="BX17" i="6"/>
  <c r="BX18" i="6"/>
  <c r="BX15" i="7"/>
  <c r="BX11" i="7"/>
  <c r="BX12" i="7"/>
  <c r="BX13" i="7"/>
  <c r="AO20" i="9"/>
  <c r="BG62" i="9"/>
  <c r="BT61" i="9" a="1"/>
  <c r="BT61" i="9" s="1"/>
  <c r="BT24" i="3" s="1" a="1"/>
  <c r="BT24" i="3" s="1"/>
  <c r="BX11" i="2"/>
  <c r="BX14" i="6"/>
  <c r="BX15" i="6"/>
  <c r="BR10" i="3"/>
  <c r="BR33" i="3" s="1"/>
  <c r="BX14" i="7"/>
  <c r="BS8" i="3" a="1"/>
  <c r="BS8" i="3" s="1"/>
  <c r="BS6" i="3" a="1"/>
  <c r="BS6" i="3" s="1"/>
  <c r="BS9" i="3" a="1"/>
  <c r="BS9" i="3" s="1"/>
  <c r="BV114" i="3" a="1"/>
  <c r="BV114" i="3" s="1"/>
  <c r="BV76" i="3"/>
  <c r="BW12" i="11"/>
  <c r="BW12" i="2"/>
  <c r="BT7" i="3" s="1" a="1"/>
  <c r="BT7" i="3" s="1"/>
  <c r="BW19" i="6"/>
  <c r="BV16" i="3"/>
  <c r="BV18" i="3"/>
  <c r="BV17" i="3"/>
  <c r="BV21" i="3"/>
  <c r="BV22" i="3"/>
  <c r="BV32" i="3" s="1"/>
  <c r="BV20" i="3"/>
  <c r="BX7" i="6"/>
  <c r="BX12" i="6"/>
  <c r="BX6" i="2"/>
  <c r="BX7" i="2"/>
  <c r="BX5" i="2"/>
  <c r="BX10" i="2"/>
  <c r="BX10" i="11"/>
  <c r="BS65" i="9"/>
  <c r="BS25" i="3" s="1" a="1"/>
  <c r="BS25" i="3" s="1"/>
  <c r="BS26" i="3" s="1"/>
  <c r="BX5" i="11"/>
  <c r="BY4" i="11"/>
  <c r="BV5" i="3"/>
  <c r="BW4" i="3"/>
  <c r="BX9" i="11"/>
  <c r="BX7" i="11"/>
  <c r="BX11" i="11"/>
  <c r="BX6" i="11"/>
  <c r="BS51" i="9"/>
  <c r="BS42" i="9"/>
  <c r="BS45" i="9"/>
  <c r="BS49" i="9"/>
  <c r="BS38" i="9"/>
  <c r="BT11" i="9"/>
  <c r="BT13" i="9"/>
  <c r="BT12" i="9"/>
  <c r="BU16" i="9"/>
  <c r="BT10" i="9"/>
  <c r="BW16" i="7"/>
  <c r="BY4" i="7"/>
  <c r="BY9" i="7" s="1"/>
  <c r="BY4" i="6"/>
  <c r="BY8" i="6" s="1"/>
  <c r="BY4" i="2"/>
  <c r="BY9" i="2" s="1"/>
  <c r="BX5" i="6"/>
  <c r="BX6" i="6"/>
  <c r="BX9" i="6"/>
  <c r="BX11" i="6"/>
  <c r="BX13" i="6"/>
  <c r="BX10" i="6"/>
  <c r="BX6" i="7"/>
  <c r="BX5" i="7"/>
  <c r="BX10" i="7"/>
  <c r="BX7" i="7"/>
  <c r="BX8" i="2"/>
  <c r="BV3" i="3"/>
  <c r="BW2" i="3"/>
  <c r="BT44" i="9" l="1"/>
  <c r="BT43" i="9"/>
  <c r="BU15" i="9"/>
  <c r="BU18" i="9"/>
  <c r="BU19" i="9"/>
  <c r="BT37" i="9"/>
  <c r="BT41" i="9"/>
  <c r="BT25" i="9"/>
  <c r="BT22" i="9"/>
  <c r="BT24" i="9"/>
  <c r="BT32" i="9" s="1"/>
  <c r="BT23" i="9"/>
  <c r="AO31" i="9"/>
  <c r="AO29" i="9"/>
  <c r="AO30" i="9"/>
  <c r="AO28" i="9"/>
  <c r="BS26" i="9"/>
  <c r="BS27" i="9" s="1"/>
  <c r="BR33" i="9"/>
  <c r="BV104" i="3"/>
  <c r="BV97" i="3"/>
  <c r="BW14" i="9"/>
  <c r="BW124" i="3"/>
  <c r="AO39" i="9"/>
  <c r="BQ39" i="3"/>
  <c r="BT47" i="9"/>
  <c r="BT46" i="9"/>
  <c r="BW58" i="3"/>
  <c r="BW40" i="3" s="1"/>
  <c r="BW80" i="3"/>
  <c r="BW45" i="3"/>
  <c r="BY8" i="7"/>
  <c r="BW65" i="3"/>
  <c r="BW63" i="3"/>
  <c r="BY8" i="11"/>
  <c r="BR38" i="3"/>
  <c r="BY16" i="6"/>
  <c r="BY17" i="6"/>
  <c r="BY18" i="6"/>
  <c r="BY15" i="7"/>
  <c r="BY11" i="7"/>
  <c r="BY12" i="7"/>
  <c r="BY13" i="7"/>
  <c r="AN50" i="9"/>
  <c r="AN58" i="9"/>
  <c r="AN59" i="9" s="1"/>
  <c r="AP17" i="9"/>
  <c r="AO40" i="9"/>
  <c r="BH62" i="9"/>
  <c r="BU61" i="9" a="1"/>
  <c r="BU61" i="9" s="1"/>
  <c r="BU24" i="3" s="1" a="1"/>
  <c r="BU24" i="3" s="1"/>
  <c r="BY11" i="2"/>
  <c r="BY15" i="6"/>
  <c r="BY14" i="6"/>
  <c r="BY14" i="7"/>
  <c r="BS10" i="3"/>
  <c r="BS33" i="3" s="1"/>
  <c r="BT8" i="3" a="1"/>
  <c r="BT8" i="3" s="1"/>
  <c r="BT6" i="3" a="1"/>
  <c r="BT6" i="3" s="1"/>
  <c r="BT9" i="3" a="1"/>
  <c r="BT9" i="3" s="1"/>
  <c r="BW114" i="3" a="1"/>
  <c r="BW114" i="3" s="1"/>
  <c r="BX12" i="2"/>
  <c r="BU7" i="3" s="1" a="1"/>
  <c r="BU7" i="3" s="1"/>
  <c r="BX12" i="11"/>
  <c r="BW76" i="3"/>
  <c r="BX19" i="6"/>
  <c r="BW16" i="3"/>
  <c r="BW17" i="3"/>
  <c r="BW18" i="3"/>
  <c r="BW20" i="3"/>
  <c r="BW21" i="3"/>
  <c r="BW22" i="3"/>
  <c r="BW32" i="3" s="1"/>
  <c r="BY7" i="6"/>
  <c r="BY12" i="6"/>
  <c r="BY7" i="2"/>
  <c r="BY6" i="2"/>
  <c r="BY5" i="2"/>
  <c r="BY10" i="2"/>
  <c r="BY10" i="11"/>
  <c r="BT65" i="9"/>
  <c r="BT25" i="3" s="1" a="1"/>
  <c r="BT25" i="3" s="1"/>
  <c r="BT26" i="3" s="1"/>
  <c r="BY5" i="11"/>
  <c r="BZ4" i="11"/>
  <c r="BW5" i="3"/>
  <c r="BX4" i="3"/>
  <c r="BY6" i="11"/>
  <c r="BY9" i="11"/>
  <c r="BY7" i="11"/>
  <c r="BY11" i="11"/>
  <c r="BU11" i="9"/>
  <c r="BV16" i="9"/>
  <c r="BU12" i="9"/>
  <c r="BU13" i="9"/>
  <c r="BU10" i="9"/>
  <c r="BT49" i="9"/>
  <c r="BT51" i="9"/>
  <c r="BT38" i="9"/>
  <c r="BT42" i="9"/>
  <c r="BT45" i="9"/>
  <c r="BY5" i="7"/>
  <c r="BY7" i="7"/>
  <c r="BY6" i="7"/>
  <c r="BY10" i="7"/>
  <c r="BX16" i="7"/>
  <c r="BZ4" i="7"/>
  <c r="BZ9" i="7" s="1"/>
  <c r="BZ4" i="6"/>
  <c r="BZ8" i="6" s="1"/>
  <c r="BZ4" i="2"/>
  <c r="BZ9" i="2" s="1"/>
  <c r="BY8" i="2"/>
  <c r="BY13" i="6"/>
  <c r="BY10" i="6"/>
  <c r="BY5" i="6"/>
  <c r="BY6" i="6"/>
  <c r="BY9" i="6"/>
  <c r="BY11" i="6"/>
  <c r="BX2" i="3"/>
  <c r="BW3" i="3"/>
  <c r="BU44" i="9" l="1"/>
  <c r="BU43" i="9"/>
  <c r="BV15" i="9"/>
  <c r="BV18" i="9"/>
  <c r="BV19" i="9"/>
  <c r="BU37" i="9"/>
  <c r="BU41" i="9"/>
  <c r="AO34" i="9"/>
  <c r="BS33" i="9"/>
  <c r="BU25" i="9"/>
  <c r="BU22" i="9"/>
  <c r="BU23" i="9"/>
  <c r="BU24" i="9"/>
  <c r="BU32" i="9" s="1"/>
  <c r="BT26" i="9"/>
  <c r="BT27" i="9" s="1"/>
  <c r="BW104" i="3"/>
  <c r="BW97" i="3"/>
  <c r="BX14" i="9"/>
  <c r="BX124" i="3"/>
  <c r="BR39" i="3"/>
  <c r="BU47" i="9"/>
  <c r="BU46" i="9"/>
  <c r="BZ8" i="7"/>
  <c r="BX58" i="3"/>
  <c r="BX40" i="3" s="1"/>
  <c r="BX80" i="3"/>
  <c r="BX45" i="3"/>
  <c r="BX65" i="3"/>
  <c r="BX63" i="3"/>
  <c r="BZ8" i="11"/>
  <c r="BS38" i="3"/>
  <c r="BZ16" i="6"/>
  <c r="BZ17" i="6"/>
  <c r="BZ18" i="6"/>
  <c r="BZ15" i="7"/>
  <c r="BZ11" i="7"/>
  <c r="BZ12" i="7"/>
  <c r="BZ13" i="7"/>
  <c r="BI62" i="9"/>
  <c r="AP20" i="9"/>
  <c r="BV61" i="9" a="1"/>
  <c r="BV61" i="9" s="1"/>
  <c r="BV24" i="3" s="1" a="1"/>
  <c r="BV24" i="3" s="1"/>
  <c r="BZ11" i="2"/>
  <c r="BZ14" i="6"/>
  <c r="BZ15" i="6"/>
  <c r="BZ14" i="7"/>
  <c r="BT10" i="3"/>
  <c r="BT33" i="3" s="1"/>
  <c r="BU8" i="3" a="1"/>
  <c r="BU8" i="3" s="1"/>
  <c r="BU6" i="3" a="1"/>
  <c r="BU6" i="3" s="1"/>
  <c r="BU9" i="3" a="1"/>
  <c r="BU9" i="3" s="1"/>
  <c r="BX114" i="3" a="1"/>
  <c r="BX114" i="3" s="1"/>
  <c r="BX76" i="3"/>
  <c r="BY12" i="11"/>
  <c r="BY12" i="2"/>
  <c r="BV7" i="3" s="1" a="1"/>
  <c r="BV7" i="3" s="1"/>
  <c r="BY19" i="6"/>
  <c r="BX18" i="3"/>
  <c r="BX16" i="3"/>
  <c r="BX17" i="3"/>
  <c r="BX20" i="3"/>
  <c r="BX21" i="3"/>
  <c r="BX22" i="3"/>
  <c r="BX32" i="3" s="1"/>
  <c r="BZ7" i="6"/>
  <c r="BZ12" i="6"/>
  <c r="BZ7" i="2"/>
  <c r="BZ6" i="2"/>
  <c r="BZ5" i="2"/>
  <c r="BZ10" i="2"/>
  <c r="BZ10" i="11"/>
  <c r="BU65" i="9"/>
  <c r="BU25" i="3" s="1" a="1"/>
  <c r="BU25" i="3" s="1"/>
  <c r="BU26" i="3" s="1"/>
  <c r="BZ5" i="11"/>
  <c r="CA4" i="11"/>
  <c r="BX5" i="3"/>
  <c r="BY4" i="3"/>
  <c r="BZ9" i="11"/>
  <c r="BZ6" i="11"/>
  <c r="BZ11" i="11"/>
  <c r="BZ7" i="11"/>
  <c r="BU51" i="9"/>
  <c r="BU38" i="9"/>
  <c r="BU45" i="9"/>
  <c r="BU42" i="9"/>
  <c r="BU49" i="9"/>
  <c r="BV12" i="9"/>
  <c r="BW16" i="9"/>
  <c r="BV10" i="9"/>
  <c r="BV13" i="9"/>
  <c r="BV11" i="9"/>
  <c r="BZ6" i="7"/>
  <c r="BZ5" i="7"/>
  <c r="BZ10" i="7"/>
  <c r="BZ7" i="7"/>
  <c r="BZ8" i="2"/>
  <c r="BY16" i="7"/>
  <c r="CA4" i="7"/>
  <c r="CA9" i="7" s="1"/>
  <c r="CA4" i="6"/>
  <c r="CA8" i="6" s="1"/>
  <c r="CA4" i="2"/>
  <c r="CA9" i="2" s="1"/>
  <c r="BZ11" i="6"/>
  <c r="BZ13" i="6"/>
  <c r="BZ10" i="6"/>
  <c r="BZ5" i="6"/>
  <c r="BZ6" i="6"/>
  <c r="BZ9" i="6"/>
  <c r="BX3" i="3"/>
  <c r="BY2" i="3"/>
  <c r="BV44" i="9" l="1"/>
  <c r="BV43" i="9"/>
  <c r="BW15" i="9"/>
  <c r="BW19" i="9"/>
  <c r="BW18" i="9"/>
  <c r="BV37" i="9"/>
  <c r="BV41" i="9"/>
  <c r="BT33" i="9"/>
  <c r="BV25" i="9"/>
  <c r="BV23" i="9"/>
  <c r="BV22" i="9"/>
  <c r="BV24" i="9"/>
  <c r="BV32" i="9" s="1"/>
  <c r="AP31" i="9"/>
  <c r="AP29" i="9"/>
  <c r="AP30" i="9"/>
  <c r="AP28" i="9"/>
  <c r="BU26" i="9"/>
  <c r="BU27" i="9" s="1"/>
  <c r="BX104" i="3"/>
  <c r="BX97" i="3"/>
  <c r="BY14" i="9"/>
  <c r="BY124" i="3"/>
  <c r="AP39" i="9"/>
  <c r="BS39" i="3"/>
  <c r="BV47" i="9"/>
  <c r="BV46" i="9"/>
  <c r="BY58" i="3"/>
  <c r="BY40" i="3" s="1"/>
  <c r="BY80" i="3"/>
  <c r="BY45" i="3"/>
  <c r="CA8" i="7"/>
  <c r="BY65" i="3"/>
  <c r="BY63" i="3"/>
  <c r="CA8" i="11"/>
  <c r="BT38" i="3"/>
  <c r="CA16" i="6"/>
  <c r="CA17" i="6"/>
  <c r="CA18" i="6"/>
  <c r="CA15" i="7"/>
  <c r="CA11" i="7"/>
  <c r="CA13" i="7"/>
  <c r="CA12" i="7"/>
  <c r="AO50" i="9"/>
  <c r="AO58" i="9"/>
  <c r="AO59" i="9" s="1"/>
  <c r="AQ17" i="9"/>
  <c r="AP40" i="9"/>
  <c r="BJ62" i="9"/>
  <c r="BW61" i="9" a="1"/>
  <c r="BW61" i="9" s="1"/>
  <c r="BW24" i="3" s="1" a="1"/>
  <c r="BW24" i="3" s="1"/>
  <c r="CA11" i="2"/>
  <c r="CA15" i="6"/>
  <c r="CA14" i="6"/>
  <c r="CA14" i="7"/>
  <c r="BV8" i="3" a="1"/>
  <c r="BV8" i="3" s="1"/>
  <c r="BU10" i="3"/>
  <c r="BU33" i="3" s="1"/>
  <c r="BV6" i="3" a="1"/>
  <c r="BV6" i="3" s="1"/>
  <c r="BV9" i="3" a="1"/>
  <c r="BV9" i="3" s="1"/>
  <c r="BY114" i="3" a="1"/>
  <c r="BY114" i="3" s="1"/>
  <c r="BZ12" i="11"/>
  <c r="BZ12" i="2"/>
  <c r="BW7" i="3" s="1" a="1"/>
  <c r="BW7" i="3" s="1"/>
  <c r="BY76" i="3"/>
  <c r="BZ19" i="6"/>
  <c r="BY17" i="3"/>
  <c r="BY18" i="3"/>
  <c r="BY16" i="3"/>
  <c r="BY20" i="3"/>
  <c r="BY21" i="3"/>
  <c r="BY22" i="3"/>
  <c r="BY32" i="3" s="1"/>
  <c r="CA7" i="6"/>
  <c r="CA12" i="6"/>
  <c r="CA6" i="2"/>
  <c r="CA7" i="2"/>
  <c r="CA5" i="2"/>
  <c r="CA10" i="2"/>
  <c r="CA10" i="11"/>
  <c r="BV65" i="9"/>
  <c r="BV25" i="3" s="1" a="1"/>
  <c r="BV25" i="3" s="1"/>
  <c r="BV26" i="3" s="1"/>
  <c r="CA5" i="11"/>
  <c r="CB4" i="11"/>
  <c r="BY5" i="3"/>
  <c r="BZ4" i="3"/>
  <c r="CA9" i="11"/>
  <c r="CA7" i="11"/>
  <c r="CA11" i="11"/>
  <c r="CA6" i="11"/>
  <c r="BW11" i="9"/>
  <c r="BW12" i="9"/>
  <c r="BW13" i="9"/>
  <c r="BW10" i="9"/>
  <c r="BX16" i="9"/>
  <c r="BV49" i="9"/>
  <c r="BV38" i="9"/>
  <c r="BV51" i="9"/>
  <c r="BV42" i="9"/>
  <c r="BV45" i="9"/>
  <c r="CA6" i="7"/>
  <c r="CA5" i="7"/>
  <c r="CA7" i="7"/>
  <c r="CA10" i="7"/>
  <c r="BZ16" i="7"/>
  <c r="CB4" i="7"/>
  <c r="CB9" i="7" s="1"/>
  <c r="CB4" i="6"/>
  <c r="CB8" i="6" s="1"/>
  <c r="CB4" i="2"/>
  <c r="CB9" i="2" s="1"/>
  <c r="CA8" i="2"/>
  <c r="CA10" i="6"/>
  <c r="CA6" i="6"/>
  <c r="CA5" i="6"/>
  <c r="CA13" i="6"/>
  <c r="CA9" i="6"/>
  <c r="CA11" i="6"/>
  <c r="BZ2" i="3"/>
  <c r="BY3" i="3"/>
  <c r="BW44" i="9" l="1"/>
  <c r="BW43" i="9"/>
  <c r="BX15" i="9"/>
  <c r="BX19" i="9"/>
  <c r="BX18" i="9"/>
  <c r="BW37" i="9"/>
  <c r="BW41" i="9"/>
  <c r="BV26" i="9"/>
  <c r="BV27" i="9" s="1"/>
  <c r="BU33" i="9"/>
  <c r="BW25" i="9"/>
  <c r="BW23" i="9"/>
  <c r="BW22" i="9"/>
  <c r="BW24" i="9"/>
  <c r="BW32" i="9" s="1"/>
  <c r="AP34" i="9"/>
  <c r="BY104" i="3"/>
  <c r="BY97" i="3"/>
  <c r="BZ14" i="9"/>
  <c r="BZ124" i="3"/>
  <c r="BT39" i="3"/>
  <c r="BW47" i="9"/>
  <c r="BW46" i="9"/>
  <c r="CB8" i="7"/>
  <c r="BZ58" i="3"/>
  <c r="BZ40" i="3" s="1"/>
  <c r="BZ45" i="3"/>
  <c r="BZ80" i="3"/>
  <c r="BZ65" i="3"/>
  <c r="BZ63" i="3"/>
  <c r="CB8" i="11"/>
  <c r="BU38" i="3"/>
  <c r="CB16" i="6"/>
  <c r="CB17" i="6"/>
  <c r="CB18" i="6"/>
  <c r="CB15" i="7"/>
  <c r="CB11" i="7"/>
  <c r="CB12" i="7"/>
  <c r="CB13" i="7"/>
  <c r="AQ20" i="9"/>
  <c r="BK62" i="9"/>
  <c r="BX61" i="9" a="1"/>
  <c r="BX61" i="9" s="1"/>
  <c r="BX24" i="3" s="1" a="1"/>
  <c r="BX24" i="3" s="1"/>
  <c r="CB11" i="2"/>
  <c r="CB14" i="6"/>
  <c r="CB15" i="6"/>
  <c r="CB14" i="7"/>
  <c r="BW8" i="3" a="1"/>
  <c r="BW8" i="3" s="1"/>
  <c r="BV10" i="3"/>
  <c r="BV33" i="3" s="1"/>
  <c r="BW6" i="3" a="1"/>
  <c r="BW6" i="3" s="1"/>
  <c r="BW9" i="3" a="1"/>
  <c r="BW9" i="3" s="1"/>
  <c r="BZ114" i="3" a="1"/>
  <c r="BZ114" i="3" s="1"/>
  <c r="BZ76" i="3"/>
  <c r="CA12" i="11"/>
  <c r="CA12" i="2"/>
  <c r="BX7" i="3" s="1" a="1"/>
  <c r="BX7" i="3" s="1"/>
  <c r="CA19" i="6"/>
  <c r="BZ16" i="3"/>
  <c r="BZ17" i="3"/>
  <c r="BZ20" i="3"/>
  <c r="BZ21" i="3"/>
  <c r="BZ22" i="3"/>
  <c r="BZ18" i="3"/>
  <c r="CB7" i="6"/>
  <c r="CB12" i="6"/>
  <c r="CB6" i="2"/>
  <c r="CB7" i="2"/>
  <c r="CB5" i="2"/>
  <c r="CB10" i="2"/>
  <c r="CB10" i="11"/>
  <c r="BW65" i="9"/>
  <c r="BW25" i="3" s="1" a="1"/>
  <c r="BW25" i="3" s="1"/>
  <c r="BW26" i="3" s="1"/>
  <c r="CB5" i="11"/>
  <c r="CC4" i="11"/>
  <c r="BZ5" i="3"/>
  <c r="CA4" i="3"/>
  <c r="CB11" i="11"/>
  <c r="CB9" i="11"/>
  <c r="CB7" i="11"/>
  <c r="CB6" i="11"/>
  <c r="BW51" i="9"/>
  <c r="BW42" i="9"/>
  <c r="BW45" i="9"/>
  <c r="BW49" i="9"/>
  <c r="BW38" i="9"/>
  <c r="BX11" i="9"/>
  <c r="BX13" i="9"/>
  <c r="BX12" i="9"/>
  <c r="BY16" i="9"/>
  <c r="BX10" i="9"/>
  <c r="CA2" i="3"/>
  <c r="CB8" i="2"/>
  <c r="CB6" i="6"/>
  <c r="CB9" i="6"/>
  <c r="CB11" i="6"/>
  <c r="CB13" i="6"/>
  <c r="CB5" i="6"/>
  <c r="CB10" i="6"/>
  <c r="CC4" i="7"/>
  <c r="CC9" i="7" s="1"/>
  <c r="CC4" i="6"/>
  <c r="CC8" i="6" s="1"/>
  <c r="CC4" i="2"/>
  <c r="CC9" i="2" s="1"/>
  <c r="CB6" i="7"/>
  <c r="CB5" i="7"/>
  <c r="CB7" i="7"/>
  <c r="CB10" i="7"/>
  <c r="CA16" i="7"/>
  <c r="BZ3" i="3"/>
  <c r="BX44" i="9" l="1"/>
  <c r="BX43" i="9"/>
  <c r="BY15" i="9"/>
  <c r="BY19" i="9"/>
  <c r="BY18" i="9"/>
  <c r="BX37" i="9"/>
  <c r="BX41" i="9"/>
  <c r="BW26" i="9"/>
  <c r="BW27" i="9" s="1"/>
  <c r="BX25" i="9"/>
  <c r="BX23" i="9"/>
  <c r="BX22" i="9"/>
  <c r="BX24" i="9"/>
  <c r="BX32" i="9" s="1"/>
  <c r="AQ31" i="9"/>
  <c r="AQ29" i="9"/>
  <c r="AQ30" i="9"/>
  <c r="AQ28" i="9"/>
  <c r="BV33" i="9"/>
  <c r="BZ104" i="3"/>
  <c r="BZ97" i="3"/>
  <c r="CA14" i="9"/>
  <c r="CA124" i="3"/>
  <c r="BZ32" i="3"/>
  <c r="AQ39" i="9"/>
  <c r="BU39" i="3"/>
  <c r="BX47" i="9"/>
  <c r="BX46" i="9"/>
  <c r="CC8" i="7"/>
  <c r="CA45" i="3"/>
  <c r="CA80" i="3"/>
  <c r="CA58" i="3"/>
  <c r="CA40" i="3" s="1"/>
  <c r="CA65" i="3"/>
  <c r="CA63" i="3"/>
  <c r="CC8" i="11"/>
  <c r="BV38" i="3"/>
  <c r="CC16" i="6"/>
  <c r="CC17" i="6"/>
  <c r="CC18" i="6"/>
  <c r="CC15" i="7"/>
  <c r="CC13" i="7"/>
  <c r="CC12" i="7"/>
  <c r="CC11" i="7"/>
  <c r="AP50" i="9"/>
  <c r="AP58" i="9"/>
  <c r="AP59" i="9" s="1"/>
  <c r="AR17" i="9"/>
  <c r="AQ40" i="9"/>
  <c r="BL62" i="9"/>
  <c r="BY61" i="9" a="1"/>
  <c r="BY61" i="9" s="1"/>
  <c r="BY24" i="3" s="1" a="1"/>
  <c r="BY24" i="3" s="1"/>
  <c r="CC11" i="2"/>
  <c r="CC15" i="6"/>
  <c r="CC14" i="6"/>
  <c r="CC14" i="7"/>
  <c r="BX8" i="3" a="1"/>
  <c r="BX8" i="3" s="1"/>
  <c r="BW10" i="3"/>
  <c r="BW33" i="3" s="1"/>
  <c r="BX6" i="3" a="1"/>
  <c r="BX6" i="3" s="1"/>
  <c r="BX9" i="3" a="1"/>
  <c r="BX9" i="3" s="1"/>
  <c r="CA114" i="3" a="1"/>
  <c r="CA114" i="3" s="1"/>
  <c r="CB12" i="11"/>
  <c r="CB12" i="2"/>
  <c r="BY7" i="3" s="1" a="1"/>
  <c r="BY7" i="3" s="1"/>
  <c r="CA76" i="3"/>
  <c r="CB19" i="6"/>
  <c r="CA16" i="3"/>
  <c r="CA17" i="3"/>
  <c r="CA18" i="3"/>
  <c r="CA20" i="3"/>
  <c r="CA21" i="3"/>
  <c r="CA22" i="3"/>
  <c r="CA32" i="3" s="1"/>
  <c r="CC7" i="6"/>
  <c r="CC12" i="6"/>
  <c r="CC7" i="2"/>
  <c r="CC6" i="2"/>
  <c r="CC5" i="2"/>
  <c r="CC10" i="2"/>
  <c r="CC10" i="11"/>
  <c r="BX65" i="9"/>
  <c r="BX25" i="3" s="1" a="1"/>
  <c r="BX25" i="3" s="1"/>
  <c r="BX26" i="3" s="1"/>
  <c r="CC5" i="11"/>
  <c r="CD4" i="11"/>
  <c r="CA5" i="3"/>
  <c r="CD4" i="7"/>
  <c r="CD9" i="7" s="1"/>
  <c r="CD4" i="6"/>
  <c r="CD8" i="6" s="1"/>
  <c r="CB4" i="3"/>
  <c r="CD4" i="2"/>
  <c r="CD9" i="2" s="1"/>
  <c r="CC6" i="11"/>
  <c r="CC9" i="11"/>
  <c r="CC7" i="11"/>
  <c r="CC11" i="11"/>
  <c r="BY11" i="9"/>
  <c r="BZ16" i="9"/>
  <c r="BY12" i="9"/>
  <c r="BY13" i="9"/>
  <c r="BY10" i="9"/>
  <c r="BX49" i="9"/>
  <c r="BX51" i="9"/>
  <c r="BX38" i="9"/>
  <c r="BX42" i="9"/>
  <c r="BX45" i="9"/>
  <c r="CA3" i="3"/>
  <c r="CB2" i="3"/>
  <c r="CB16" i="7"/>
  <c r="CC6" i="7"/>
  <c r="CC7" i="7"/>
  <c r="CC5" i="7"/>
  <c r="CC10" i="7"/>
  <c r="CC5" i="6"/>
  <c r="CC10" i="6"/>
  <c r="CC6" i="6"/>
  <c r="CC9" i="6"/>
  <c r="CC11" i="6"/>
  <c r="CC13" i="6"/>
  <c r="CC8" i="2"/>
  <c r="BY44" i="9" l="1"/>
  <c r="BY43" i="9"/>
  <c r="BZ15" i="9"/>
  <c r="BZ19" i="9"/>
  <c r="BZ18" i="9"/>
  <c r="BY37" i="9"/>
  <c r="BY41" i="9"/>
  <c r="BW33" i="9"/>
  <c r="BX26" i="9"/>
  <c r="BX27" i="9" s="1"/>
  <c r="AQ34" i="9"/>
  <c r="BY25" i="9"/>
  <c r="BY24" i="9"/>
  <c r="BY32" i="9" s="1"/>
  <c r="BY22" i="9"/>
  <c r="BY23" i="9"/>
  <c r="CA104" i="3"/>
  <c r="CA97" i="3"/>
  <c r="CB14" i="9"/>
  <c r="CB124" i="3"/>
  <c r="BV39" i="3"/>
  <c r="BY47" i="9"/>
  <c r="BY46" i="9"/>
  <c r="CB80" i="3"/>
  <c r="CB45" i="3"/>
  <c r="CB58" i="3"/>
  <c r="CB40" i="3" s="1"/>
  <c r="CD8" i="7"/>
  <c r="CB65" i="3"/>
  <c r="CB63" i="3"/>
  <c r="CD8" i="11"/>
  <c r="BW38" i="3"/>
  <c r="CD16" i="6"/>
  <c r="CD17" i="6"/>
  <c r="CD18" i="6"/>
  <c r="CD15" i="7"/>
  <c r="CD11" i="7"/>
  <c r="CD12" i="7"/>
  <c r="CD13" i="7"/>
  <c r="AR20" i="9"/>
  <c r="BZ61" i="9" a="1"/>
  <c r="BZ61" i="9" s="1"/>
  <c r="BN62" i="9" s="1"/>
  <c r="BM62" i="9"/>
  <c r="CD11" i="2"/>
  <c r="CD14" i="6"/>
  <c r="CD15" i="6"/>
  <c r="BX10" i="3"/>
  <c r="BX33" i="3" s="1"/>
  <c r="CD14" i="7"/>
  <c r="BY8" i="3" a="1"/>
  <c r="BY8" i="3" s="1"/>
  <c r="BY6" i="3" a="1"/>
  <c r="BY6" i="3" s="1"/>
  <c r="BY9" i="3" a="1"/>
  <c r="BY9" i="3" s="1"/>
  <c r="CB114" i="3" a="1"/>
  <c r="CB114" i="3" s="1"/>
  <c r="CB76" i="3"/>
  <c r="CC12" i="11"/>
  <c r="CC12" i="2"/>
  <c r="BZ7" i="3" s="1" a="1"/>
  <c r="BZ7" i="3" s="1"/>
  <c r="CC19" i="6"/>
  <c r="CB16" i="3"/>
  <c r="CB18" i="3"/>
  <c r="CB20" i="3"/>
  <c r="CB17" i="3"/>
  <c r="CB21" i="3"/>
  <c r="CB22" i="3"/>
  <c r="CD7" i="6"/>
  <c r="CD12" i="6"/>
  <c r="CD7" i="2"/>
  <c r="CD6" i="2"/>
  <c r="CD5" i="2"/>
  <c r="CD10" i="2"/>
  <c r="CD10" i="11"/>
  <c r="BY65" i="9"/>
  <c r="BY25" i="3" s="1" a="1"/>
  <c r="BY25" i="3" s="1"/>
  <c r="BY26" i="3" s="1"/>
  <c r="CD5" i="11"/>
  <c r="CD5" i="6"/>
  <c r="CD10" i="6"/>
  <c r="CD9" i="6"/>
  <c r="CD6" i="6"/>
  <c r="CD11" i="6"/>
  <c r="CD13" i="6"/>
  <c r="CD8" i="2"/>
  <c r="CE4" i="11"/>
  <c r="CB5" i="3"/>
  <c r="CE4" i="7"/>
  <c r="CE9" i="7" s="1"/>
  <c r="CE4" i="6"/>
  <c r="CE8" i="6" s="1"/>
  <c r="CC4" i="3"/>
  <c r="CE4" i="2"/>
  <c r="CE9" i="2" s="1"/>
  <c r="CD5" i="7"/>
  <c r="CD6" i="7"/>
  <c r="CD10" i="7"/>
  <c r="CD7" i="7"/>
  <c r="CD6" i="11"/>
  <c r="CD9" i="11"/>
  <c r="CD7" i="11"/>
  <c r="CD11" i="11"/>
  <c r="BY51" i="9"/>
  <c r="BY38" i="9"/>
  <c r="BY42" i="9"/>
  <c r="BY45" i="9"/>
  <c r="BY49" i="9"/>
  <c r="BZ12" i="9"/>
  <c r="CA16" i="9"/>
  <c r="BZ10" i="9"/>
  <c r="BZ13" i="9"/>
  <c r="BZ11" i="9"/>
  <c r="CB3" i="3"/>
  <c r="CC2" i="3"/>
  <c r="CC16" i="7"/>
  <c r="BZ44" i="9" l="1"/>
  <c r="BZ43" i="9"/>
  <c r="CA15" i="9"/>
  <c r="CA19" i="9"/>
  <c r="CA18" i="9"/>
  <c r="BZ37" i="9"/>
  <c r="BZ41" i="9"/>
  <c r="BY26" i="9"/>
  <c r="BY27" i="9" s="1"/>
  <c r="BZ25" i="9"/>
  <c r="BZ24" i="9"/>
  <c r="BZ32" i="9" s="1"/>
  <c r="BZ22" i="9"/>
  <c r="BZ23" i="9"/>
  <c r="AR31" i="9"/>
  <c r="AR29" i="9"/>
  <c r="AR30" i="9"/>
  <c r="AR28" i="9"/>
  <c r="BX33" i="9"/>
  <c r="CB104" i="3"/>
  <c r="CB97" i="3"/>
  <c r="CC14" i="9"/>
  <c r="CC124" i="3"/>
  <c r="CB32" i="3"/>
  <c r="AR39" i="9"/>
  <c r="BW39" i="3"/>
  <c r="BZ47" i="9"/>
  <c r="BZ46" i="9"/>
  <c r="CC80" i="3"/>
  <c r="CC45" i="3"/>
  <c r="CC58" i="3"/>
  <c r="CC40" i="3" s="1"/>
  <c r="CE8" i="7"/>
  <c r="CC65" i="3"/>
  <c r="CC63" i="3"/>
  <c r="CE8" i="11"/>
  <c r="BX38" i="3"/>
  <c r="CE16" i="6"/>
  <c r="CE17" i="6"/>
  <c r="CE18" i="6"/>
  <c r="CE15" i="7"/>
  <c r="CE11" i="7"/>
  <c r="CE13" i="7"/>
  <c r="CE12" i="7"/>
  <c r="AQ50" i="9"/>
  <c r="AQ58" i="9"/>
  <c r="AQ59" i="9" s="1"/>
  <c r="BZ24" i="3" a="1"/>
  <c r="BZ24" i="3" s="1"/>
  <c r="AS17" i="9"/>
  <c r="AR40" i="9"/>
  <c r="CA61" i="9" a="1"/>
  <c r="CA61" i="9" s="1"/>
  <c r="CA24" i="3" s="1" a="1"/>
  <c r="CA24" i="3" s="1"/>
  <c r="CE11" i="2"/>
  <c r="CE14" i="6"/>
  <c r="CE15" i="6"/>
  <c r="CE14" i="7"/>
  <c r="BZ8" i="3" a="1"/>
  <c r="BZ8" i="3" s="1"/>
  <c r="BY10" i="3"/>
  <c r="BY33" i="3" s="1"/>
  <c r="BZ6" i="3" a="1"/>
  <c r="BZ6" i="3" s="1"/>
  <c r="BZ9" i="3" a="1"/>
  <c r="BZ9" i="3" s="1"/>
  <c r="CC114" i="3" a="1"/>
  <c r="CC114" i="3" s="1"/>
  <c r="CC76" i="3"/>
  <c r="CD12" i="11"/>
  <c r="CD12" i="2"/>
  <c r="CA7" i="3" s="1" a="1"/>
  <c r="CA7" i="3" s="1"/>
  <c r="CD19" i="6"/>
  <c r="CC16" i="3"/>
  <c r="CC17" i="3"/>
  <c r="CC18" i="3"/>
  <c r="CC21" i="3"/>
  <c r="CC22" i="3"/>
  <c r="CC32" i="3" s="1"/>
  <c r="CC20" i="3"/>
  <c r="CE7" i="6"/>
  <c r="CE12" i="6"/>
  <c r="CE6" i="2"/>
  <c r="CE7" i="2"/>
  <c r="CE5" i="2"/>
  <c r="CE10" i="2"/>
  <c r="CE10" i="11"/>
  <c r="BZ65" i="9"/>
  <c r="BZ25" i="3" s="1" a="1"/>
  <c r="BZ25" i="3" s="1"/>
  <c r="CE5" i="11"/>
  <c r="CF4" i="11"/>
  <c r="CF4" i="6"/>
  <c r="CF8" i="6" s="1"/>
  <c r="CC5" i="3"/>
  <c r="CF4" i="7"/>
  <c r="CF9" i="7" s="1"/>
  <c r="CD4" i="3"/>
  <c r="CF4" i="2"/>
  <c r="CF9" i="2" s="1"/>
  <c r="CE9" i="11"/>
  <c r="CE7" i="11"/>
  <c r="CE6" i="11"/>
  <c r="CE11" i="11"/>
  <c r="CE5" i="6"/>
  <c r="CE13" i="6"/>
  <c r="CE11" i="6"/>
  <c r="CE6" i="6"/>
  <c r="CE10" i="6"/>
  <c r="CE9" i="6"/>
  <c r="CE8" i="2"/>
  <c r="CD16" i="7"/>
  <c r="CE7" i="7"/>
  <c r="CE10" i="7"/>
  <c r="CE5" i="7"/>
  <c r="CE6" i="7"/>
  <c r="CA11" i="9"/>
  <c r="CA12" i="9"/>
  <c r="CA13" i="9"/>
  <c r="CA10" i="9"/>
  <c r="CB16" i="9"/>
  <c r="BZ49" i="9"/>
  <c r="BZ38" i="9"/>
  <c r="BZ51" i="9"/>
  <c r="BZ42" i="9"/>
  <c r="BZ45" i="9"/>
  <c r="CD2" i="3"/>
  <c r="CC3" i="3"/>
  <c r="CA44" i="9" l="1"/>
  <c r="CA43" i="9"/>
  <c r="CB15" i="9"/>
  <c r="CB18" i="9"/>
  <c r="CB19" i="9"/>
  <c r="CA37" i="9"/>
  <c r="CA41" i="9"/>
  <c r="BZ26" i="9"/>
  <c r="BZ27" i="9" s="1"/>
  <c r="AR34" i="9"/>
  <c r="CA25" i="9"/>
  <c r="CA24" i="9"/>
  <c r="CA32" i="9" s="1"/>
  <c r="CA23" i="9"/>
  <c r="CA22" i="9"/>
  <c r="BY33" i="9"/>
  <c r="CC104" i="3"/>
  <c r="CC97" i="3"/>
  <c r="CD14" i="9"/>
  <c r="CD124" i="3"/>
  <c r="BX39" i="3"/>
  <c r="CA47" i="9"/>
  <c r="CA46" i="9"/>
  <c r="CD80" i="3"/>
  <c r="CD45" i="3"/>
  <c r="CF8" i="7"/>
  <c r="CD65" i="3"/>
  <c r="CF8" i="11"/>
  <c r="BY38" i="3"/>
  <c r="CF16" i="6"/>
  <c r="CF17" i="6"/>
  <c r="CF18" i="6"/>
  <c r="BO62" i="9"/>
  <c r="BZ26" i="3"/>
  <c r="CF15" i="7"/>
  <c r="CF11" i="7"/>
  <c r="CF12" i="7"/>
  <c r="CF13" i="7"/>
  <c r="AS20" i="9"/>
  <c r="CB61" i="9" a="1"/>
  <c r="CB61" i="9" s="1"/>
  <c r="CB24" i="3" s="1" a="1"/>
  <c r="CB24" i="3" s="1"/>
  <c r="CF11" i="2"/>
  <c r="CF14" i="6"/>
  <c r="CF15" i="6"/>
  <c r="CF14" i="7"/>
  <c r="BZ10" i="3"/>
  <c r="BZ33" i="3" s="1"/>
  <c r="CA8" i="3" a="1"/>
  <c r="CA8" i="3" s="1"/>
  <c r="CA6" i="3" a="1"/>
  <c r="CA6" i="3" s="1"/>
  <c r="CA9" i="3" a="1"/>
  <c r="CA9" i="3" s="1"/>
  <c r="CD114" i="3" a="1"/>
  <c r="CD114" i="3" s="1"/>
  <c r="CD76" i="3"/>
  <c r="CE12" i="11"/>
  <c r="CE12" i="2"/>
  <c r="CB7" i="3" s="1" a="1"/>
  <c r="CB7" i="3" s="1"/>
  <c r="CE19" i="6"/>
  <c r="CD17" i="3"/>
  <c r="CD18" i="3"/>
  <c r="CD16" i="3"/>
  <c r="CD21" i="3"/>
  <c r="CD22" i="3"/>
  <c r="CD32" i="3" s="1"/>
  <c r="CD20" i="3"/>
  <c r="CF7" i="6"/>
  <c r="CF12" i="6"/>
  <c r="CF6" i="2"/>
  <c r="CF7" i="2"/>
  <c r="CF5" i="2"/>
  <c r="CF10" i="2"/>
  <c r="CF10" i="11"/>
  <c r="CA65" i="9"/>
  <c r="CA25" i="3" s="1" a="1"/>
  <c r="CA25" i="3" s="1"/>
  <c r="CA26" i="3" s="1"/>
  <c r="CF5" i="11"/>
  <c r="CE16" i="7"/>
  <c r="CF8" i="2"/>
  <c r="CF6" i="7"/>
  <c r="CF5" i="7"/>
  <c r="CF7" i="7"/>
  <c r="CF10" i="7"/>
  <c r="CF7" i="11"/>
  <c r="CF6" i="11"/>
  <c r="CF9" i="11"/>
  <c r="CF11" i="11"/>
  <c r="CG4" i="11"/>
  <c r="CD5" i="3"/>
  <c r="CG4" i="7"/>
  <c r="CG9" i="7" s="1"/>
  <c r="CG4" i="6"/>
  <c r="CG8" i="6" s="1"/>
  <c r="CE4" i="3"/>
  <c r="CG4" i="2"/>
  <c r="CG9" i="2" s="1"/>
  <c r="CF11" i="6"/>
  <c r="CF5" i="6"/>
  <c r="CF6" i="6"/>
  <c r="CF10" i="6"/>
  <c r="CF13" i="6"/>
  <c r="CF9" i="6"/>
  <c r="CA51" i="9"/>
  <c r="CA42" i="9"/>
  <c r="CA45" i="9"/>
  <c r="CA49" i="9"/>
  <c r="CA38" i="9"/>
  <c r="CB11" i="9"/>
  <c r="CB13" i="9"/>
  <c r="CB12" i="9"/>
  <c r="CC16" i="9"/>
  <c r="CB10" i="9"/>
  <c r="CD3" i="3"/>
  <c r="CE2" i="3"/>
  <c r="CB44" i="9" l="1"/>
  <c r="CB43" i="9"/>
  <c r="CC15" i="9"/>
  <c r="CC18" i="9"/>
  <c r="CC19" i="9"/>
  <c r="CB37" i="9"/>
  <c r="CB41" i="9"/>
  <c r="CB25" i="9"/>
  <c r="CB24" i="9"/>
  <c r="CB32" i="9" s="1"/>
  <c r="CB22" i="9"/>
  <c r="CB23" i="9"/>
  <c r="CA26" i="9"/>
  <c r="CA27" i="9" s="1"/>
  <c r="AS31" i="9"/>
  <c r="AS29" i="9"/>
  <c r="AS28" i="9"/>
  <c r="AS30" i="9"/>
  <c r="BZ33" i="9"/>
  <c r="CD104" i="3"/>
  <c r="CD97" i="3"/>
  <c r="CE14" i="9"/>
  <c r="CE124" i="3"/>
  <c r="AS39" i="9"/>
  <c r="BY39" i="3"/>
  <c r="CB47" i="9"/>
  <c r="CB46" i="9"/>
  <c r="CE45" i="3"/>
  <c r="CE80" i="3"/>
  <c r="CE58" i="3"/>
  <c r="CE40" i="3" s="1"/>
  <c r="CG8" i="7"/>
  <c r="CE65" i="3"/>
  <c r="CE63" i="3"/>
  <c r="CG8" i="11"/>
  <c r="BZ38" i="3"/>
  <c r="CG16" i="6"/>
  <c r="CG17" i="6"/>
  <c r="CG18" i="6"/>
  <c r="BP62" i="9"/>
  <c r="CG15" i="7"/>
  <c r="CG11" i="7"/>
  <c r="CG12" i="7"/>
  <c r="CG13" i="7"/>
  <c r="AR50" i="9"/>
  <c r="AR58" i="9"/>
  <c r="AR59" i="9" s="1"/>
  <c r="AT17" i="9"/>
  <c r="AS40" i="9"/>
  <c r="CC61" i="9" a="1"/>
  <c r="CC61" i="9" s="1"/>
  <c r="CC24" i="3" s="1" a="1"/>
  <c r="CC24" i="3" s="1"/>
  <c r="CG11" i="2"/>
  <c r="CG15" i="6"/>
  <c r="CG14" i="6"/>
  <c r="CA10" i="3"/>
  <c r="CA33" i="3" s="1"/>
  <c r="CG14" i="7"/>
  <c r="CB8" i="3" a="1"/>
  <c r="CB8" i="3" s="1"/>
  <c r="CB6" i="3" a="1"/>
  <c r="CB6" i="3" s="1"/>
  <c r="CB9" i="3" a="1"/>
  <c r="CB9" i="3" s="1"/>
  <c r="CE114" i="3" a="1"/>
  <c r="CE114" i="3" s="1"/>
  <c r="CE76" i="3"/>
  <c r="CF12" i="11"/>
  <c r="CF12" i="2"/>
  <c r="CC7" i="3" s="1" a="1"/>
  <c r="CC7" i="3" s="1"/>
  <c r="CF19" i="6"/>
  <c r="CE16" i="3"/>
  <c r="CE17" i="3"/>
  <c r="CE18" i="3"/>
  <c r="CE20" i="3"/>
  <c r="CE21" i="3"/>
  <c r="CE22" i="3"/>
  <c r="CE32" i="3" s="1"/>
  <c r="CG7" i="6"/>
  <c r="CG12" i="6"/>
  <c r="CG7" i="2"/>
  <c r="CG6" i="2"/>
  <c r="CG5" i="2"/>
  <c r="CG10" i="2"/>
  <c r="CG10" i="11"/>
  <c r="CB65" i="9"/>
  <c r="CB25" i="3" s="1" a="1"/>
  <c r="CB25" i="3" s="1"/>
  <c r="CB26" i="3" s="1"/>
  <c r="CF16" i="7"/>
  <c r="CG5" i="11"/>
  <c r="CH4" i="11"/>
  <c r="CE5" i="3"/>
  <c r="CH4" i="7"/>
  <c r="CH9" i="7" s="1"/>
  <c r="CH4" i="6"/>
  <c r="CH8" i="6" s="1"/>
  <c r="CF4" i="3"/>
  <c r="CH4" i="2"/>
  <c r="CH9" i="2" s="1"/>
  <c r="CG9" i="11"/>
  <c r="CG11" i="11"/>
  <c r="CG7" i="11"/>
  <c r="CG6" i="11"/>
  <c r="CG8" i="2"/>
  <c r="CG5" i="6"/>
  <c r="CG9" i="6"/>
  <c r="CG11" i="6"/>
  <c r="CG6" i="6"/>
  <c r="CG13" i="6"/>
  <c r="CG10" i="6"/>
  <c r="CG10" i="7"/>
  <c r="CG6" i="7"/>
  <c r="CG7" i="7"/>
  <c r="CG5" i="7"/>
  <c r="CC11" i="9"/>
  <c r="CD16" i="9"/>
  <c r="CC12" i="9"/>
  <c r="CC13" i="9"/>
  <c r="CC10" i="9"/>
  <c r="CB49" i="9"/>
  <c r="CB51" i="9"/>
  <c r="CB38" i="9"/>
  <c r="CB42" i="9"/>
  <c r="CB45" i="9"/>
  <c r="CF2" i="3"/>
  <c r="CE3" i="3"/>
  <c r="CC44" i="9" l="1"/>
  <c r="CC43" i="9"/>
  <c r="CD15" i="9"/>
  <c r="CD18" i="9"/>
  <c r="CD19" i="9"/>
  <c r="CC37" i="9"/>
  <c r="CC41" i="9"/>
  <c r="CA33" i="9"/>
  <c r="CB26" i="9"/>
  <c r="CB27" i="9" s="1"/>
  <c r="CC25" i="9"/>
  <c r="CC23" i="9"/>
  <c r="CC24" i="9"/>
  <c r="CC32" i="9" s="1"/>
  <c r="CC22" i="9"/>
  <c r="AS34" i="9"/>
  <c r="CE104" i="3"/>
  <c r="CE97" i="3"/>
  <c r="CF14" i="9"/>
  <c r="CF124" i="3"/>
  <c r="BZ39" i="3"/>
  <c r="CC47" i="9"/>
  <c r="CC46" i="9"/>
  <c r="CF80" i="3"/>
  <c r="CF45" i="3"/>
  <c r="CH8" i="7"/>
  <c r="CF65" i="3"/>
  <c r="CH8" i="11"/>
  <c r="CA38" i="3"/>
  <c r="CH16" i="6"/>
  <c r="CH17" i="6"/>
  <c r="CH18" i="6"/>
  <c r="CH15" i="7"/>
  <c r="CH11" i="7"/>
  <c r="CH12" i="7"/>
  <c r="CH13" i="7"/>
  <c r="AT20" i="9"/>
  <c r="BQ62" i="9"/>
  <c r="CD61" i="9" a="1"/>
  <c r="CD61" i="9" s="1"/>
  <c r="BR62" i="9" s="1"/>
  <c r="CH11" i="2"/>
  <c r="CH14" i="6"/>
  <c r="CH15" i="6"/>
  <c r="CH14" i="7"/>
  <c r="CC8" i="3" a="1"/>
  <c r="CC8" i="3" s="1"/>
  <c r="CC6" i="3" a="1"/>
  <c r="CC6" i="3" s="1"/>
  <c r="CB10" i="3"/>
  <c r="CB33" i="3" s="1"/>
  <c r="CC9" i="3" a="1"/>
  <c r="CC9" i="3" s="1"/>
  <c r="CF114" i="3" a="1"/>
  <c r="CF114" i="3" s="1"/>
  <c r="CG12" i="2"/>
  <c r="CD7" i="3" s="1" a="1"/>
  <c r="CD7" i="3" s="1"/>
  <c r="CG12" i="11"/>
  <c r="CF76" i="3"/>
  <c r="CG19" i="6"/>
  <c r="CF17" i="3"/>
  <c r="CF18" i="3"/>
  <c r="CF20" i="3"/>
  <c r="CF16" i="3"/>
  <c r="CF21" i="3"/>
  <c r="CF22" i="3"/>
  <c r="CF32" i="3" s="1"/>
  <c r="CH7" i="6"/>
  <c r="CH12" i="6"/>
  <c r="CH7" i="2"/>
  <c r="CH6" i="2"/>
  <c r="CH5" i="2"/>
  <c r="CH10" i="2"/>
  <c r="CH10" i="11"/>
  <c r="CC65" i="9"/>
  <c r="CC25" i="3" s="1" a="1"/>
  <c r="CC25" i="3" s="1"/>
  <c r="CC26" i="3" s="1"/>
  <c r="CH5" i="11"/>
  <c r="CI4" i="11"/>
  <c r="CF5" i="3"/>
  <c r="CI4" i="7"/>
  <c r="CI9" i="7" s="1"/>
  <c r="CI4" i="6"/>
  <c r="CI8" i="6" s="1"/>
  <c r="CG4" i="3"/>
  <c r="CI4" i="2"/>
  <c r="CI9" i="2" s="1"/>
  <c r="CH9" i="11"/>
  <c r="CH7" i="11"/>
  <c r="CH6" i="11"/>
  <c r="CH11" i="11"/>
  <c r="CH5" i="6"/>
  <c r="CH13" i="6"/>
  <c r="CH9" i="6"/>
  <c r="CH10" i="6"/>
  <c r="CH11" i="6"/>
  <c r="CH6" i="6"/>
  <c r="CH5" i="7"/>
  <c r="CH10" i="7"/>
  <c r="CH7" i="7"/>
  <c r="CH6" i="7"/>
  <c r="CG16" i="7"/>
  <c r="CH8" i="2"/>
  <c r="CC45" i="9"/>
  <c r="CC42" i="9"/>
  <c r="CC49" i="9"/>
  <c r="CC51" i="9"/>
  <c r="CC38" i="9"/>
  <c r="CE16" i="9"/>
  <c r="CD10" i="9"/>
  <c r="CD13" i="9"/>
  <c r="CD11" i="9"/>
  <c r="CD12" i="9"/>
  <c r="CF3" i="3"/>
  <c r="CG2" i="3"/>
  <c r="CD44" i="9" l="1"/>
  <c r="CD43" i="9"/>
  <c r="CE15" i="9"/>
  <c r="CE19" i="9"/>
  <c r="CE18" i="9"/>
  <c r="CD37" i="9"/>
  <c r="CD41" i="9"/>
  <c r="CB33" i="9"/>
  <c r="CC26" i="9"/>
  <c r="CC27" i="9" s="1"/>
  <c r="AT31" i="9"/>
  <c r="AT29" i="9"/>
  <c r="AT30" i="9"/>
  <c r="AT28" i="9"/>
  <c r="CD25" i="9"/>
  <c r="CD24" i="9"/>
  <c r="CD32" i="9" s="1"/>
  <c r="CD22" i="9"/>
  <c r="CD23" i="9"/>
  <c r="CF104" i="3"/>
  <c r="CF97" i="3"/>
  <c r="CG14" i="9"/>
  <c r="CG124" i="3"/>
  <c r="AT39" i="9"/>
  <c r="CA39" i="3"/>
  <c r="CD47" i="9"/>
  <c r="CD46" i="9"/>
  <c r="CI8" i="7"/>
  <c r="CG80" i="3"/>
  <c r="CG45" i="3"/>
  <c r="CG58" i="3"/>
  <c r="CG40" i="3" s="1"/>
  <c r="CG65" i="3"/>
  <c r="CG63" i="3"/>
  <c r="CI8" i="11"/>
  <c r="CB38" i="3"/>
  <c r="CI16" i="6"/>
  <c r="CI17" i="6"/>
  <c r="CI18" i="6"/>
  <c r="CI15" i="7"/>
  <c r="CI11" i="7"/>
  <c r="CI13" i="7"/>
  <c r="CI12" i="7"/>
  <c r="AS50" i="9"/>
  <c r="AS58" i="9"/>
  <c r="AS59" i="9" s="1"/>
  <c r="AU17" i="9"/>
  <c r="AT40" i="9"/>
  <c r="CD24" i="3" a="1"/>
  <c r="CD24" i="3" s="1"/>
  <c r="CE61" i="9" a="1"/>
  <c r="CE61" i="9" s="1"/>
  <c r="CE24" i="3" s="1" a="1"/>
  <c r="CE24" i="3" s="1"/>
  <c r="CI11" i="2"/>
  <c r="CI14" i="6"/>
  <c r="CI15" i="6"/>
  <c r="CI14" i="7"/>
  <c r="CC10" i="3"/>
  <c r="CC33" i="3" s="1"/>
  <c r="CD8" i="3" a="1"/>
  <c r="CD8" i="3" s="1"/>
  <c r="CD6" i="3" a="1"/>
  <c r="CD6" i="3" s="1"/>
  <c r="CD9" i="3" a="1"/>
  <c r="CD9" i="3" s="1"/>
  <c r="CG114" i="3" a="1"/>
  <c r="CG114" i="3" s="1"/>
  <c r="CG76" i="3"/>
  <c r="CH12" i="11"/>
  <c r="CH12" i="2"/>
  <c r="CE7" i="3" s="1" a="1"/>
  <c r="CE7" i="3" s="1"/>
  <c r="CH19" i="6"/>
  <c r="CG16" i="3"/>
  <c r="CG18" i="3"/>
  <c r="CG20" i="3"/>
  <c r="CG17" i="3"/>
  <c r="CG21" i="3"/>
  <c r="CG22" i="3"/>
  <c r="CG32" i="3" s="1"/>
  <c r="CI7" i="6"/>
  <c r="CI12" i="6"/>
  <c r="CI7" i="2"/>
  <c r="CI6" i="2"/>
  <c r="CI5" i="2"/>
  <c r="CI10" i="2"/>
  <c r="CI10" i="11"/>
  <c r="CD65" i="9"/>
  <c r="CD25" i="3" s="1" a="1"/>
  <c r="CD25" i="3" s="1"/>
  <c r="CH16" i="7"/>
  <c r="CI5" i="11"/>
  <c r="CJ4" i="11"/>
  <c r="CJ4" i="7"/>
  <c r="CJ9" i="7" s="1"/>
  <c r="CG5" i="3"/>
  <c r="CJ4" i="6"/>
  <c r="CJ8" i="6" s="1"/>
  <c r="CH4" i="3"/>
  <c r="CJ4" i="2"/>
  <c r="CJ9" i="2" s="1"/>
  <c r="CI6" i="7"/>
  <c r="CI7" i="7"/>
  <c r="CI5" i="7"/>
  <c r="CI10" i="7"/>
  <c r="CI6" i="11"/>
  <c r="CI11" i="11"/>
  <c r="CI7" i="11"/>
  <c r="CI9" i="11"/>
  <c r="CI8" i="2"/>
  <c r="CI5" i="6"/>
  <c r="CI10" i="6"/>
  <c r="CI6" i="6"/>
  <c r="CI9" i="6"/>
  <c r="CI13" i="6"/>
  <c r="CI11" i="6"/>
  <c r="CD51" i="9"/>
  <c r="CD42" i="9"/>
  <c r="CD45" i="9"/>
  <c r="CD49" i="9"/>
  <c r="CD38" i="9"/>
  <c r="CE13" i="9"/>
  <c r="CE10" i="9"/>
  <c r="CF16" i="9"/>
  <c r="CE11" i="9"/>
  <c r="CE12" i="9"/>
  <c r="CH2" i="3"/>
  <c r="CG3" i="3"/>
  <c r="CE44" i="9" l="1"/>
  <c r="CE43" i="9"/>
  <c r="CF15" i="9"/>
  <c r="CF19" i="9"/>
  <c r="CF18" i="9"/>
  <c r="CE37" i="9"/>
  <c r="CE41" i="9"/>
  <c r="AT34" i="9"/>
  <c r="CE25" i="9"/>
  <c r="CE23" i="9"/>
  <c r="CE24" i="9"/>
  <c r="CE32" i="9" s="1"/>
  <c r="CE22" i="9"/>
  <c r="CD26" i="9"/>
  <c r="CD27" i="9" s="1"/>
  <c r="CC33" i="9"/>
  <c r="CG104" i="3"/>
  <c r="CG97" i="3"/>
  <c r="CH14" i="9"/>
  <c r="CH124" i="3"/>
  <c r="CH97" i="3" s="1"/>
  <c r="CB39" i="3"/>
  <c r="CE47" i="9"/>
  <c r="CE46" i="9"/>
  <c r="CH45" i="3"/>
  <c r="CH80" i="3"/>
  <c r="CH58" i="3"/>
  <c r="CH40" i="3" s="1"/>
  <c r="CJ8" i="7"/>
  <c r="CH65" i="3"/>
  <c r="CH63" i="3"/>
  <c r="CJ8" i="11"/>
  <c r="CC38" i="3"/>
  <c r="CJ16" i="6"/>
  <c r="CJ17" i="6"/>
  <c r="CJ18" i="6"/>
  <c r="CJ15" i="7"/>
  <c r="CD26" i="3"/>
  <c r="CJ11" i="7"/>
  <c r="CJ12" i="7"/>
  <c r="CJ13" i="7"/>
  <c r="AU20" i="9"/>
  <c r="BS62" i="9"/>
  <c r="CF61" i="9" a="1"/>
  <c r="CF61" i="9" s="1"/>
  <c r="BT62" i="9" s="1"/>
  <c r="CJ11" i="2"/>
  <c r="CJ14" i="6"/>
  <c r="CJ15" i="6"/>
  <c r="CJ14" i="7"/>
  <c r="CE8" i="3" a="1"/>
  <c r="CE8" i="3" s="1"/>
  <c r="CE6" i="3" a="1"/>
  <c r="CE6" i="3" s="1"/>
  <c r="CD10" i="3"/>
  <c r="CD33" i="3" s="1"/>
  <c r="CE9" i="3" a="1"/>
  <c r="CE9" i="3" s="1"/>
  <c r="CH114" i="3" a="1"/>
  <c r="CH114" i="3" s="1"/>
  <c r="CH76" i="3"/>
  <c r="CI12" i="11"/>
  <c r="CI12" i="2"/>
  <c r="CF7" i="3" s="1" a="1"/>
  <c r="CF7" i="3" s="1"/>
  <c r="CI19" i="6"/>
  <c r="CH18" i="3"/>
  <c r="CH20" i="3"/>
  <c r="CH21" i="3"/>
  <c r="CH22" i="3"/>
  <c r="CH32" i="3" s="1"/>
  <c r="CH17" i="3"/>
  <c r="CH16" i="3"/>
  <c r="CJ7" i="6"/>
  <c r="CJ12" i="6"/>
  <c r="CJ6" i="2"/>
  <c r="CJ7" i="2"/>
  <c r="CJ5" i="2"/>
  <c r="CJ10" i="2"/>
  <c r="CJ10" i="11"/>
  <c r="CE65" i="9"/>
  <c r="CE25" i="3" s="1" a="1"/>
  <c r="CE25" i="3" s="1"/>
  <c r="CE26" i="3" s="1"/>
  <c r="CJ5" i="11"/>
  <c r="CK4" i="11"/>
  <c r="CH5" i="3"/>
  <c r="CK4" i="7"/>
  <c r="CK9" i="7" s="1"/>
  <c r="CK4" i="6"/>
  <c r="CK8" i="6" s="1"/>
  <c r="CI4" i="3"/>
  <c r="CK4" i="2"/>
  <c r="CK9" i="2" s="1"/>
  <c r="CJ6" i="7"/>
  <c r="CJ5" i="7"/>
  <c r="CJ7" i="7"/>
  <c r="CJ10" i="7"/>
  <c r="CJ11" i="6"/>
  <c r="CJ5" i="6"/>
  <c r="CJ6" i="6"/>
  <c r="CJ9" i="6"/>
  <c r="CJ13" i="6"/>
  <c r="CJ10" i="6"/>
  <c r="CI16" i="7"/>
  <c r="CJ8" i="2"/>
  <c r="CJ7" i="11"/>
  <c r="CJ6" i="11"/>
  <c r="CJ9" i="11"/>
  <c r="CJ11" i="11"/>
  <c r="CF11" i="9"/>
  <c r="CG16" i="9"/>
  <c r="CF12" i="9"/>
  <c r="CF13" i="9"/>
  <c r="CF10" i="9"/>
  <c r="CE49" i="9"/>
  <c r="CE38" i="9"/>
  <c r="CE51" i="9"/>
  <c r="CE45" i="9"/>
  <c r="CE42" i="9"/>
  <c r="CH3" i="3"/>
  <c r="CI2" i="3"/>
  <c r="CF44" i="9" l="1"/>
  <c r="CF43" i="9"/>
  <c r="CG15" i="9"/>
  <c r="CG19" i="9"/>
  <c r="CG18" i="9"/>
  <c r="CF37" i="9"/>
  <c r="CF41" i="9"/>
  <c r="CD33" i="9"/>
  <c r="CE26" i="9"/>
  <c r="CE27" i="9" s="1"/>
  <c r="CF25" i="9"/>
  <c r="CF22" i="9"/>
  <c r="CF23" i="9"/>
  <c r="CF24" i="9"/>
  <c r="CF32" i="9" s="1"/>
  <c r="AU31" i="9"/>
  <c r="AU29" i="9"/>
  <c r="AU30" i="9"/>
  <c r="AU28" i="9"/>
  <c r="CH104" i="3"/>
  <c r="CI14" i="9"/>
  <c r="CI124" i="3"/>
  <c r="AU39" i="9"/>
  <c r="CC39" i="3"/>
  <c r="CF47" i="9"/>
  <c r="CF46" i="9"/>
  <c r="CI45" i="3"/>
  <c r="CI80" i="3"/>
  <c r="CI58" i="3"/>
  <c r="CI40" i="3" s="1"/>
  <c r="CK8" i="7"/>
  <c r="CI65" i="3"/>
  <c r="CI63" i="3"/>
  <c r="CK8" i="11"/>
  <c r="CD38" i="3"/>
  <c r="CK16" i="6"/>
  <c r="CK17" i="6"/>
  <c r="CK18" i="6"/>
  <c r="CK15" i="7"/>
  <c r="CK13" i="7"/>
  <c r="CK11" i="7"/>
  <c r="CK12" i="7"/>
  <c r="AT50" i="9"/>
  <c r="AT58" i="9"/>
  <c r="AT59" i="9" s="1"/>
  <c r="AV17" i="9"/>
  <c r="AU40" i="9"/>
  <c r="CF24" i="3" a="1"/>
  <c r="CF24" i="3" s="1"/>
  <c r="CG61" i="9" a="1"/>
  <c r="CG61" i="9" s="1"/>
  <c r="CG24" i="3" s="1" a="1"/>
  <c r="CG24" i="3" s="1"/>
  <c r="CK11" i="2"/>
  <c r="CK15" i="6"/>
  <c r="CK14" i="6"/>
  <c r="CK14" i="7"/>
  <c r="CE10" i="3"/>
  <c r="CE33" i="3" s="1"/>
  <c r="CF8" i="3" a="1"/>
  <c r="CF8" i="3" s="1"/>
  <c r="CF6" i="3" a="1"/>
  <c r="CF6" i="3" s="1"/>
  <c r="CF9" i="3" a="1"/>
  <c r="CF9" i="3" s="1"/>
  <c r="CI114" i="3" a="1"/>
  <c r="CI114" i="3" s="1"/>
  <c r="CI76" i="3"/>
  <c r="CJ12" i="11"/>
  <c r="CJ12" i="2"/>
  <c r="CG7" i="3" s="1" a="1"/>
  <c r="CG7" i="3" s="1"/>
  <c r="CJ19" i="6"/>
  <c r="CI16" i="3"/>
  <c r="CI17" i="3"/>
  <c r="CI18" i="3"/>
  <c r="CI20" i="3"/>
  <c r="CI21" i="3"/>
  <c r="CI22" i="3"/>
  <c r="CI32" i="3" s="1"/>
  <c r="CK7" i="6"/>
  <c r="CK12" i="6"/>
  <c r="CK6" i="2"/>
  <c r="CK7" i="2"/>
  <c r="CK5" i="2"/>
  <c r="CK10" i="2"/>
  <c r="CK10" i="11"/>
  <c r="CF65" i="9"/>
  <c r="CF25" i="3" s="1" a="1"/>
  <c r="CF25" i="3" s="1"/>
  <c r="CK5" i="11"/>
  <c r="CJ16" i="7"/>
  <c r="CK6" i="7"/>
  <c r="CK7" i="7"/>
  <c r="CK10" i="7"/>
  <c r="CK5" i="7"/>
  <c r="CK5" i="6"/>
  <c r="CK13" i="6"/>
  <c r="CK10" i="6"/>
  <c r="CK9" i="6"/>
  <c r="CK6" i="6"/>
  <c r="CK11" i="6"/>
  <c r="CK8" i="2"/>
  <c r="CL4" i="11"/>
  <c r="CI5" i="3"/>
  <c r="CL4" i="7"/>
  <c r="CL9" i="7" s="1"/>
  <c r="CL4" i="6"/>
  <c r="CL8" i="6" s="1"/>
  <c r="CJ4" i="3"/>
  <c r="CL4" i="2"/>
  <c r="CL9" i="2" s="1"/>
  <c r="CK7" i="11"/>
  <c r="CK9" i="11"/>
  <c r="CK11" i="11"/>
  <c r="CK6" i="11"/>
  <c r="CF42" i="9"/>
  <c r="CF45" i="9"/>
  <c r="CF49" i="9"/>
  <c r="CF51" i="9"/>
  <c r="CF38" i="9"/>
  <c r="CH16" i="9"/>
  <c r="CG12" i="9"/>
  <c r="CG13" i="9"/>
  <c r="CG10" i="9"/>
  <c r="CG11" i="9"/>
  <c r="CI3" i="3"/>
  <c r="CJ2" i="3"/>
  <c r="CG44" i="9" l="1"/>
  <c r="CG43" i="9"/>
  <c r="CH15" i="9"/>
  <c r="CH19" i="9"/>
  <c r="CH18" i="9"/>
  <c r="CG37" i="9"/>
  <c r="CG41" i="9"/>
  <c r="AU34" i="9"/>
  <c r="CF26" i="9"/>
  <c r="CF27" i="9" s="1"/>
  <c r="CG25" i="9"/>
  <c r="CG22" i="9"/>
  <c r="CG24" i="9"/>
  <c r="CG32" i="9" s="1"/>
  <c r="CG23" i="9"/>
  <c r="CE33" i="9"/>
  <c r="CI104" i="3"/>
  <c r="CI97" i="3"/>
  <c r="CJ14" i="9"/>
  <c r="CJ124" i="3"/>
  <c r="CD39" i="3"/>
  <c r="CG47" i="9"/>
  <c r="CG46" i="9"/>
  <c r="CJ80" i="3"/>
  <c r="CJ45" i="3"/>
  <c r="CJ58" i="3"/>
  <c r="CJ40" i="3" s="1"/>
  <c r="CL8" i="7"/>
  <c r="CJ65" i="3"/>
  <c r="CJ63" i="3"/>
  <c r="CL8" i="11"/>
  <c r="CE38" i="3"/>
  <c r="CF26" i="3"/>
  <c r="CL16" i="6"/>
  <c r="CL17" i="6"/>
  <c r="CL18" i="6"/>
  <c r="CL15" i="7"/>
  <c r="CL11" i="7"/>
  <c r="CL12" i="7"/>
  <c r="CL13" i="7"/>
  <c r="BU62" i="9"/>
  <c r="AV20" i="9"/>
  <c r="CH61" i="9" a="1"/>
  <c r="CH61" i="9" s="1"/>
  <c r="BV62" i="9" s="1"/>
  <c r="CL11" i="2"/>
  <c r="CL14" i="6"/>
  <c r="CL15" i="6"/>
  <c r="CF10" i="3"/>
  <c r="CF33" i="3" s="1"/>
  <c r="CL14" i="7"/>
  <c r="CG8" i="3" a="1"/>
  <c r="CG8" i="3" s="1"/>
  <c r="CG6" i="3" a="1"/>
  <c r="CG6" i="3" s="1"/>
  <c r="CG9" i="3" a="1"/>
  <c r="CG9" i="3" s="1"/>
  <c r="CJ114" i="3" a="1"/>
  <c r="CJ114" i="3" s="1"/>
  <c r="CJ76" i="3"/>
  <c r="CK12" i="11"/>
  <c r="CK12" i="2"/>
  <c r="CH7" i="3" s="1" a="1"/>
  <c r="CH7" i="3" s="1"/>
  <c r="CK19" i="6"/>
  <c r="CJ17" i="3"/>
  <c r="CJ16" i="3"/>
  <c r="CJ20" i="3"/>
  <c r="CJ18" i="3"/>
  <c r="CJ21" i="3"/>
  <c r="CJ22" i="3"/>
  <c r="CL7" i="6"/>
  <c r="CL12" i="6"/>
  <c r="CL7" i="2"/>
  <c r="CL6" i="2"/>
  <c r="CL5" i="2"/>
  <c r="CL10" i="2"/>
  <c r="CL10" i="11"/>
  <c r="CG65" i="9"/>
  <c r="CG25" i="3" s="1" a="1"/>
  <c r="CG25" i="3" s="1"/>
  <c r="CG26" i="3" s="1"/>
  <c r="CL5" i="11"/>
  <c r="CL8" i="2"/>
  <c r="CM4" i="11"/>
  <c r="CJ5" i="3"/>
  <c r="CM4" i="7"/>
  <c r="CM9" i="7" s="1"/>
  <c r="CM4" i="6"/>
  <c r="CM8" i="6" s="1"/>
  <c r="CK4" i="3"/>
  <c r="CM4" i="2"/>
  <c r="CM9" i="2" s="1"/>
  <c r="CL9" i="11"/>
  <c r="CL6" i="11"/>
  <c r="CL11" i="11"/>
  <c r="CL7" i="11"/>
  <c r="CK16" i="7"/>
  <c r="CL6" i="7"/>
  <c r="CL5" i="7"/>
  <c r="CL7" i="7"/>
  <c r="CL10" i="7"/>
  <c r="CL10" i="6"/>
  <c r="CL11" i="6"/>
  <c r="CL13" i="6"/>
  <c r="CL5" i="6"/>
  <c r="CL6" i="6"/>
  <c r="CL9" i="6"/>
  <c r="CG49" i="9"/>
  <c r="CG51" i="9"/>
  <c r="CG38" i="9"/>
  <c r="CG45" i="9"/>
  <c r="CG42" i="9"/>
  <c r="CH11" i="9"/>
  <c r="CH12" i="9"/>
  <c r="CI16" i="9"/>
  <c r="CH10" i="9"/>
  <c r="CH13" i="9"/>
  <c r="CK2" i="3"/>
  <c r="CJ3" i="3"/>
  <c r="CH44" i="9" l="1"/>
  <c r="CH43" i="9"/>
  <c r="CI15" i="9"/>
  <c r="CI18" i="9"/>
  <c r="CI19" i="9"/>
  <c r="CH37" i="9"/>
  <c r="CH41" i="9"/>
  <c r="CG26" i="9"/>
  <c r="CG27" i="9" s="1"/>
  <c r="CH25" i="9"/>
  <c r="CH22" i="9"/>
  <c r="CH24" i="9"/>
  <c r="CH32" i="9" s="1"/>
  <c r="CH23" i="9"/>
  <c r="AV31" i="9"/>
  <c r="AV29" i="9"/>
  <c r="AV28" i="9"/>
  <c r="AV30" i="9"/>
  <c r="CF33" i="9"/>
  <c r="CJ104" i="3"/>
  <c r="CJ97" i="3"/>
  <c r="CK14" i="9"/>
  <c r="CK124" i="3"/>
  <c r="CJ32" i="3"/>
  <c r="AV39" i="9"/>
  <c r="CE39" i="3"/>
  <c r="CH47" i="9"/>
  <c r="CH46" i="9"/>
  <c r="CK80" i="3"/>
  <c r="CK45" i="3"/>
  <c r="CK58" i="3"/>
  <c r="CK40" i="3" s="1"/>
  <c r="CM8" i="7"/>
  <c r="CK65" i="3"/>
  <c r="CK63" i="3"/>
  <c r="CM8" i="11"/>
  <c r="CF38" i="3"/>
  <c r="CM16" i="6"/>
  <c r="CM17" i="6"/>
  <c r="CM18" i="6"/>
  <c r="CM15" i="7"/>
  <c r="CM11" i="7"/>
  <c r="CM13" i="7"/>
  <c r="CM12" i="7"/>
  <c r="AU50" i="9"/>
  <c r="AU58" i="9"/>
  <c r="AU59" i="9" s="1"/>
  <c r="AW17" i="9"/>
  <c r="AV40" i="9"/>
  <c r="CH24" i="3" a="1"/>
  <c r="CH24" i="3" s="1"/>
  <c r="CI61" i="9" a="1"/>
  <c r="CI61" i="9" s="1"/>
  <c r="CI24" i="3" s="1" a="1"/>
  <c r="CI24" i="3" s="1"/>
  <c r="CM11" i="2"/>
  <c r="CM15" i="6"/>
  <c r="CM14" i="6"/>
  <c r="CM14" i="7"/>
  <c r="CG10" i="3"/>
  <c r="CG33" i="3" s="1"/>
  <c r="CH8" i="3" a="1"/>
  <c r="CH8" i="3" s="1"/>
  <c r="CH6" i="3" a="1"/>
  <c r="CH6" i="3" s="1"/>
  <c r="CH9" i="3" a="1"/>
  <c r="CH9" i="3" s="1"/>
  <c r="CK114" i="3" a="1"/>
  <c r="CK114" i="3" s="1"/>
  <c r="CL12" i="11"/>
  <c r="CL12" i="2"/>
  <c r="CI7" i="3" s="1" a="1"/>
  <c r="CI7" i="3" s="1"/>
  <c r="CK76" i="3"/>
  <c r="CL19" i="6"/>
  <c r="CK17" i="3"/>
  <c r="CK18" i="3"/>
  <c r="CK16" i="3"/>
  <c r="CK21" i="3"/>
  <c r="CK22" i="3"/>
  <c r="CK32" i="3" s="1"/>
  <c r="CK20" i="3"/>
  <c r="CM7" i="6"/>
  <c r="CM12" i="6"/>
  <c r="CM7" i="2"/>
  <c r="CM6" i="2"/>
  <c r="CM5" i="2"/>
  <c r="CM10" i="2"/>
  <c r="CM10" i="11"/>
  <c r="CH65" i="9"/>
  <c r="CH25" i="3" s="1" a="1"/>
  <c r="CH25" i="3" s="1"/>
  <c r="CM5" i="11"/>
  <c r="CN4" i="11"/>
  <c r="CN4" i="7"/>
  <c r="CN9" i="7" s="1"/>
  <c r="CK5" i="3"/>
  <c r="CN4" i="6"/>
  <c r="CN8" i="6" s="1"/>
  <c r="CL4" i="3"/>
  <c r="CN4" i="2"/>
  <c r="CN9" i="2" s="1"/>
  <c r="CM9" i="11"/>
  <c r="CM7" i="11"/>
  <c r="CM6" i="11"/>
  <c r="CM11" i="11"/>
  <c r="CM8" i="2"/>
  <c r="CM5" i="6"/>
  <c r="CM13" i="6"/>
  <c r="CM11" i="6"/>
  <c r="CM6" i="6"/>
  <c r="CM9" i="6"/>
  <c r="CM10" i="6"/>
  <c r="CL16" i="7"/>
  <c r="CM5" i="7"/>
  <c r="CM10" i="7"/>
  <c r="CM6" i="7"/>
  <c r="CM7" i="7"/>
  <c r="CI11" i="9"/>
  <c r="CI12" i="9"/>
  <c r="CI13" i="9"/>
  <c r="CI10" i="9"/>
  <c r="CJ16" i="9"/>
  <c r="CH42" i="9"/>
  <c r="CH45" i="9"/>
  <c r="CH49" i="9"/>
  <c r="CH38" i="9"/>
  <c r="CH51" i="9"/>
  <c r="CK3" i="3"/>
  <c r="CL2" i="3"/>
  <c r="CI44" i="9" l="1"/>
  <c r="CI43" i="9"/>
  <c r="CJ15" i="9"/>
  <c r="CJ18" i="9"/>
  <c r="CJ19" i="9"/>
  <c r="CI37" i="9"/>
  <c r="CI41" i="9"/>
  <c r="CG33" i="9"/>
  <c r="CH26" i="9"/>
  <c r="CH27" i="9" s="1"/>
  <c r="CI25" i="9"/>
  <c r="CI24" i="9"/>
  <c r="CI32" i="9" s="1"/>
  <c r="CI22" i="9"/>
  <c r="CI23" i="9"/>
  <c r="AV34" i="9"/>
  <c r="CK104" i="3"/>
  <c r="CK97" i="3"/>
  <c r="CL14" i="9"/>
  <c r="CL124" i="3"/>
  <c r="CL97" i="3" s="1"/>
  <c r="CF39" i="3"/>
  <c r="CI47" i="9"/>
  <c r="CI46" i="9"/>
  <c r="CL45" i="3"/>
  <c r="CL80" i="3"/>
  <c r="CL58" i="3"/>
  <c r="CL40" i="3" s="1"/>
  <c r="CN8" i="7"/>
  <c r="CL65" i="3"/>
  <c r="CL63" i="3"/>
  <c r="CN8" i="11"/>
  <c r="CG38" i="3"/>
  <c r="CN16" i="6"/>
  <c r="CN17" i="6"/>
  <c r="CN18" i="6"/>
  <c r="CN15" i="7"/>
  <c r="CN11" i="7"/>
  <c r="CN12" i="7"/>
  <c r="CN13" i="7"/>
  <c r="CH26" i="3"/>
  <c r="AW20" i="9"/>
  <c r="BW62" i="9"/>
  <c r="CJ61" i="9" a="1"/>
  <c r="CJ61" i="9" s="1"/>
  <c r="CJ24" i="3" s="1" a="1"/>
  <c r="CJ24" i="3" s="1"/>
  <c r="CN11" i="2"/>
  <c r="CN14" i="6"/>
  <c r="CN15" i="6"/>
  <c r="CN14" i="7"/>
  <c r="CH10" i="3"/>
  <c r="CH33" i="3" s="1"/>
  <c r="CI8" i="3" a="1"/>
  <c r="CI8" i="3" s="1"/>
  <c r="CI6" i="3" a="1"/>
  <c r="CI6" i="3" s="1"/>
  <c r="CI9" i="3" a="1"/>
  <c r="CI9" i="3" s="1"/>
  <c r="CL114" i="3" a="1"/>
  <c r="CL114" i="3" s="1"/>
  <c r="CL76" i="3"/>
  <c r="CM12" i="11"/>
  <c r="CM12" i="2"/>
  <c r="CJ7" i="3" s="1" a="1"/>
  <c r="CJ7" i="3" s="1"/>
  <c r="CM19" i="6"/>
  <c r="CL16" i="3"/>
  <c r="CL18" i="3"/>
  <c r="CL17" i="3"/>
  <c r="CL21" i="3"/>
  <c r="CL22" i="3"/>
  <c r="CL32" i="3" s="1"/>
  <c r="CL20" i="3"/>
  <c r="CN7" i="6"/>
  <c r="CN12" i="6"/>
  <c r="CN6" i="2"/>
  <c r="CN7" i="2"/>
  <c r="CN5" i="2"/>
  <c r="CN10" i="2"/>
  <c r="CN10" i="11"/>
  <c r="CI65" i="9"/>
  <c r="CI25" i="3" s="1" a="1"/>
  <c r="CI25" i="3" s="1"/>
  <c r="CI26" i="3" s="1"/>
  <c r="CN5" i="11"/>
  <c r="CN8" i="2"/>
  <c r="CO4" i="11"/>
  <c r="CL5" i="3"/>
  <c r="CO4" i="7"/>
  <c r="CO9" i="7" s="1"/>
  <c r="CO4" i="6"/>
  <c r="CO8" i="6" s="1"/>
  <c r="CM4" i="3"/>
  <c r="CO4" i="2"/>
  <c r="CO9" i="2" s="1"/>
  <c r="CN6" i="7"/>
  <c r="CN10" i="7"/>
  <c r="CN7" i="7"/>
  <c r="CN5" i="7"/>
  <c r="CM16" i="7"/>
  <c r="CN5" i="6"/>
  <c r="CN6" i="6"/>
  <c r="CN13" i="6"/>
  <c r="CN11" i="6"/>
  <c r="CN10" i="6"/>
  <c r="CN9" i="6"/>
  <c r="CN6" i="11"/>
  <c r="CN9" i="11"/>
  <c r="CN7" i="11"/>
  <c r="CN11" i="11"/>
  <c r="CI45" i="9"/>
  <c r="CI49" i="9"/>
  <c r="CI38" i="9"/>
  <c r="CI51" i="9"/>
  <c r="CI42" i="9"/>
  <c r="CJ10" i="9"/>
  <c r="CJ11" i="9"/>
  <c r="CJ13" i="9"/>
  <c r="CJ12" i="9"/>
  <c r="CK16" i="9"/>
  <c r="CM2" i="3"/>
  <c r="CL3" i="3"/>
  <c r="CJ44" i="9" l="1"/>
  <c r="CJ43" i="9"/>
  <c r="CK15" i="9"/>
  <c r="CK18" i="9"/>
  <c r="CK19" i="9"/>
  <c r="CJ37" i="9"/>
  <c r="CJ41" i="9"/>
  <c r="CJ25" i="9"/>
  <c r="CJ22" i="9"/>
  <c r="CJ24" i="9"/>
  <c r="CJ32" i="9" s="1"/>
  <c r="CJ23" i="9"/>
  <c r="CI26" i="9"/>
  <c r="CI27" i="9" s="1"/>
  <c r="AW31" i="9"/>
  <c r="AW29" i="9"/>
  <c r="AW30" i="9"/>
  <c r="AW28" i="9"/>
  <c r="CH33" i="9"/>
  <c r="CL104" i="3"/>
  <c r="CM14" i="9"/>
  <c r="CM124" i="3"/>
  <c r="AW39" i="9"/>
  <c r="CG39" i="3"/>
  <c r="CJ47" i="9"/>
  <c r="CJ46" i="9"/>
  <c r="CM45" i="3"/>
  <c r="CM80" i="3"/>
  <c r="CO8" i="7"/>
  <c r="CM65" i="3"/>
  <c r="CO8" i="11"/>
  <c r="CH38" i="3"/>
  <c r="CO16" i="6"/>
  <c r="CO17" i="6"/>
  <c r="CO18" i="6"/>
  <c r="CO15" i="7"/>
  <c r="CO12" i="7"/>
  <c r="CO11" i="7"/>
  <c r="CO13" i="7"/>
  <c r="AV50" i="9"/>
  <c r="AV58" i="9"/>
  <c r="AV59" i="9" s="1"/>
  <c r="AX17" i="9"/>
  <c r="AW40" i="9"/>
  <c r="BX62" i="9"/>
  <c r="CK61" i="9" a="1"/>
  <c r="CK61" i="9" s="1"/>
  <c r="CK24" i="3" s="1" a="1"/>
  <c r="CK24" i="3" s="1"/>
  <c r="CO11" i="2"/>
  <c r="CO15" i="6"/>
  <c r="CO14" i="6"/>
  <c r="CO14" i="7"/>
  <c r="CI10" i="3"/>
  <c r="CI33" i="3" s="1"/>
  <c r="CJ8" i="3" a="1"/>
  <c r="CJ8" i="3" s="1"/>
  <c r="CJ6" i="3" a="1"/>
  <c r="CJ6" i="3" s="1"/>
  <c r="CJ9" i="3" a="1"/>
  <c r="CJ9" i="3" s="1"/>
  <c r="CM114" i="3" a="1"/>
  <c r="CM114" i="3" s="1"/>
  <c r="CN12" i="11"/>
  <c r="CN12" i="2"/>
  <c r="CK7" i="3" s="1" a="1"/>
  <c r="CK7" i="3" s="1"/>
  <c r="CM76" i="3"/>
  <c r="CN19" i="6"/>
  <c r="CM16" i="3"/>
  <c r="CM17" i="3"/>
  <c r="CM18" i="3"/>
  <c r="CM20" i="3"/>
  <c r="CM21" i="3"/>
  <c r="CM22" i="3"/>
  <c r="CM32" i="3" s="1"/>
  <c r="CO7" i="6"/>
  <c r="CO12" i="6"/>
  <c r="CO6" i="2"/>
  <c r="CO7" i="2"/>
  <c r="CO5" i="2"/>
  <c r="CO10" i="2"/>
  <c r="CO10" i="11"/>
  <c r="CJ65" i="9"/>
  <c r="CJ25" i="3" s="1" a="1"/>
  <c r="CJ25" i="3" s="1"/>
  <c r="CJ26" i="3" s="1"/>
  <c r="CO5" i="11"/>
  <c r="CP4" i="11"/>
  <c r="CM5" i="3"/>
  <c r="CP4" i="7"/>
  <c r="CP9" i="7" s="1"/>
  <c r="CP4" i="6"/>
  <c r="CP8" i="6" s="1"/>
  <c r="CN4" i="3"/>
  <c r="CP4" i="2"/>
  <c r="CP9" i="2" s="1"/>
  <c r="CO10" i="7"/>
  <c r="CO7" i="7"/>
  <c r="CO6" i="7"/>
  <c r="CO5" i="7"/>
  <c r="CN16" i="7"/>
  <c r="CO5" i="6"/>
  <c r="CO6" i="6"/>
  <c r="CO11" i="6"/>
  <c r="CO10" i="6"/>
  <c r="CO9" i="6"/>
  <c r="CO13" i="6"/>
  <c r="CO8" i="2"/>
  <c r="CO7" i="11"/>
  <c r="CO6" i="11"/>
  <c r="CO9" i="11"/>
  <c r="CO11" i="11"/>
  <c r="CJ45" i="9"/>
  <c r="CJ49" i="9"/>
  <c r="CJ42" i="9"/>
  <c r="CJ51" i="9"/>
  <c r="CJ38" i="9"/>
  <c r="CK10" i="9"/>
  <c r="CK13" i="9"/>
  <c r="CK11" i="9"/>
  <c r="CL16" i="9"/>
  <c r="CK12" i="9"/>
  <c r="CM3" i="3"/>
  <c r="CN2" i="3"/>
  <c r="CK44" i="9" l="1"/>
  <c r="CK43" i="9"/>
  <c r="CL15" i="9"/>
  <c r="CL18" i="9"/>
  <c r="CL19" i="9"/>
  <c r="CK37" i="9"/>
  <c r="CK41" i="9"/>
  <c r="CI33" i="9"/>
  <c r="CK25" i="9"/>
  <c r="CK22" i="9"/>
  <c r="CK23" i="9"/>
  <c r="CK24" i="9"/>
  <c r="CK32" i="9" s="1"/>
  <c r="AW34" i="9"/>
  <c r="CJ26" i="9"/>
  <c r="CJ27" i="9" s="1"/>
  <c r="CM104" i="3"/>
  <c r="CM97" i="3"/>
  <c r="CN14" i="9"/>
  <c r="CN124" i="3"/>
  <c r="CH39" i="3"/>
  <c r="CK47" i="9"/>
  <c r="CK46" i="9"/>
  <c r="CN80" i="3"/>
  <c r="CN45" i="3"/>
  <c r="CN58" i="3"/>
  <c r="CN40" i="3" s="1"/>
  <c r="CP8" i="7"/>
  <c r="CN65" i="3"/>
  <c r="CN63" i="3"/>
  <c r="CP8" i="11"/>
  <c r="CI38" i="3"/>
  <c r="CP16" i="6"/>
  <c r="CP17" i="6"/>
  <c r="CP18" i="6"/>
  <c r="CP15" i="7"/>
  <c r="CP11" i="7"/>
  <c r="CP12" i="7"/>
  <c r="CP13" i="7"/>
  <c r="AX20" i="9"/>
  <c r="BY62" i="9"/>
  <c r="CL61" i="9" a="1"/>
  <c r="CL61" i="9" s="1"/>
  <c r="CL24" i="3" s="1" a="1"/>
  <c r="CL24" i="3" s="1"/>
  <c r="CP11" i="2"/>
  <c r="CP14" i="6"/>
  <c r="CP15" i="6"/>
  <c r="CP14" i="7"/>
  <c r="CK8" i="3" a="1"/>
  <c r="CK8" i="3" s="1"/>
  <c r="CK6" i="3" a="1"/>
  <c r="CK6" i="3" s="1"/>
  <c r="CJ10" i="3"/>
  <c r="CJ33" i="3" s="1"/>
  <c r="CK9" i="3" a="1"/>
  <c r="CK9" i="3" s="1"/>
  <c r="CN114" i="3" a="1"/>
  <c r="CN114" i="3" s="1"/>
  <c r="CN76" i="3"/>
  <c r="CO12" i="11"/>
  <c r="CO12" i="2"/>
  <c r="CL7" i="3" s="1" a="1"/>
  <c r="CL7" i="3" s="1"/>
  <c r="CO19" i="6"/>
  <c r="CN18" i="3"/>
  <c r="CN20" i="3"/>
  <c r="CN16" i="3"/>
  <c r="CN17" i="3"/>
  <c r="CN21" i="3"/>
  <c r="CN22" i="3"/>
  <c r="CN32" i="3" s="1"/>
  <c r="CP7" i="6"/>
  <c r="CP12" i="6"/>
  <c r="CP7" i="2"/>
  <c r="CP6" i="2"/>
  <c r="CP5" i="2"/>
  <c r="CP10" i="2"/>
  <c r="CP10" i="11"/>
  <c r="CK65" i="9"/>
  <c r="CK25" i="3" s="1" a="1"/>
  <c r="CK25" i="3" s="1"/>
  <c r="CK26" i="3" s="1"/>
  <c r="CP5" i="11"/>
  <c r="CQ4" i="11"/>
  <c r="CN5" i="3"/>
  <c r="CQ4" i="7"/>
  <c r="CQ9" i="7" s="1"/>
  <c r="CQ4" i="6"/>
  <c r="CQ8" i="6" s="1"/>
  <c r="CO4" i="3"/>
  <c r="CQ4" i="2"/>
  <c r="CQ9" i="2" s="1"/>
  <c r="CP5" i="7"/>
  <c r="CP6" i="7"/>
  <c r="CP10" i="7"/>
  <c r="CP7" i="7"/>
  <c r="CP9" i="11"/>
  <c r="CP11" i="11"/>
  <c r="CP6" i="11"/>
  <c r="CP7" i="11"/>
  <c r="CP8" i="2"/>
  <c r="CO16" i="7"/>
  <c r="CP11" i="6"/>
  <c r="CP6" i="6"/>
  <c r="CP5" i="6"/>
  <c r="CP9" i="6"/>
  <c r="CP13" i="6"/>
  <c r="CP10" i="6"/>
  <c r="CL11" i="9"/>
  <c r="CL12" i="9"/>
  <c r="CM16" i="9"/>
  <c r="CL10" i="9"/>
  <c r="CL13" i="9"/>
  <c r="CK49" i="9"/>
  <c r="CK51" i="9"/>
  <c r="CK38" i="9"/>
  <c r="CK42" i="9"/>
  <c r="CK45" i="9"/>
  <c r="CO2" i="3"/>
  <c r="CN3" i="3"/>
  <c r="CL44" i="9" l="1"/>
  <c r="CL43" i="9"/>
  <c r="CM15" i="9"/>
  <c r="CM18" i="9"/>
  <c r="CM19" i="9"/>
  <c r="CL37" i="9"/>
  <c r="CL41" i="9"/>
  <c r="CJ33" i="9"/>
  <c r="CL25" i="9"/>
  <c r="CL24" i="9"/>
  <c r="CL32" i="9" s="1"/>
  <c r="CL23" i="9"/>
  <c r="CL22" i="9"/>
  <c r="CK26" i="9"/>
  <c r="CK27" i="9" s="1"/>
  <c r="AX31" i="9"/>
  <c r="AX29" i="9"/>
  <c r="AX28" i="9"/>
  <c r="AX30" i="9"/>
  <c r="CN104" i="3"/>
  <c r="CN97" i="3"/>
  <c r="CO14" i="9"/>
  <c r="CO124" i="3"/>
  <c r="AX39" i="9"/>
  <c r="CI39" i="3"/>
  <c r="CL47" i="9"/>
  <c r="CL46" i="9"/>
  <c r="CQ8" i="7"/>
  <c r="CO80" i="3"/>
  <c r="CO45" i="3"/>
  <c r="CO58" i="3"/>
  <c r="CO40" i="3" s="1"/>
  <c r="CO65" i="3"/>
  <c r="CO63" i="3"/>
  <c r="CQ8" i="11"/>
  <c r="CJ38" i="3"/>
  <c r="CQ16" i="6"/>
  <c r="CQ17" i="6"/>
  <c r="CQ18" i="6"/>
  <c r="CQ15" i="7"/>
  <c r="CQ11" i="7"/>
  <c r="CQ13" i="7"/>
  <c r="CQ12" i="7"/>
  <c r="AW50" i="9"/>
  <c r="AW58" i="9"/>
  <c r="AW59" i="9" s="1"/>
  <c r="AW113" i="3" a="1"/>
  <c r="AW113" i="3" s="1"/>
  <c r="AW115" i="3" s="1"/>
  <c r="AW116" i="3" s="1"/>
  <c r="AY17" i="9"/>
  <c r="AX40" i="9"/>
  <c r="BZ62" i="9"/>
  <c r="CM61" i="9" a="1"/>
  <c r="CM61" i="9" s="1"/>
  <c r="CM24" i="3" s="1" a="1"/>
  <c r="CM24" i="3" s="1"/>
  <c r="CQ11" i="2"/>
  <c r="CQ14" i="6"/>
  <c r="CQ15" i="6"/>
  <c r="CK10" i="3"/>
  <c r="CK33" i="3" s="1"/>
  <c r="CQ14" i="7"/>
  <c r="CL8" i="3" a="1"/>
  <c r="CL8" i="3" s="1"/>
  <c r="CL6" i="3" a="1"/>
  <c r="CL6" i="3" s="1"/>
  <c r="CL9" i="3" a="1"/>
  <c r="CL9" i="3" s="1"/>
  <c r="CO114" i="3" a="1"/>
  <c r="CO114" i="3" s="1"/>
  <c r="CO76" i="3"/>
  <c r="CP12" i="11"/>
  <c r="CP12" i="2"/>
  <c r="CM7" i="3" s="1" a="1"/>
  <c r="CM7" i="3" s="1"/>
  <c r="CP19" i="6"/>
  <c r="CO17" i="3"/>
  <c r="CO20" i="3"/>
  <c r="CO16" i="3"/>
  <c r="CO18" i="3"/>
  <c r="CO21" i="3"/>
  <c r="CO22" i="3"/>
  <c r="CQ7" i="6"/>
  <c r="CQ12" i="6"/>
  <c r="CQ6" i="2"/>
  <c r="CQ7" i="2"/>
  <c r="CQ5" i="2"/>
  <c r="CQ10" i="2"/>
  <c r="CQ10" i="11"/>
  <c r="CL65" i="9"/>
  <c r="CL25" i="3" s="1" a="1"/>
  <c r="CL25" i="3" s="1"/>
  <c r="CL26" i="3" s="1"/>
  <c r="CQ5" i="11"/>
  <c r="CQ9" i="11"/>
  <c r="CQ11" i="11"/>
  <c r="CQ7" i="11"/>
  <c r="CQ6" i="11"/>
  <c r="CQ13" i="6"/>
  <c r="CQ6" i="6"/>
  <c r="CQ10" i="6"/>
  <c r="CQ11" i="6"/>
  <c r="CQ5" i="6"/>
  <c r="CQ9" i="6"/>
  <c r="CR4" i="11"/>
  <c r="CO5" i="3"/>
  <c r="CR4" i="7"/>
  <c r="CR9" i="7" s="1"/>
  <c r="CR4" i="6"/>
  <c r="CR8" i="6" s="1"/>
  <c r="CP4" i="3"/>
  <c r="CR4" i="2"/>
  <c r="CR9" i="2" s="1"/>
  <c r="CP16" i="7"/>
  <c r="CQ6" i="7"/>
  <c r="CQ7" i="7"/>
  <c r="CQ5" i="7"/>
  <c r="CQ10" i="7"/>
  <c r="CQ8" i="2"/>
  <c r="CN16" i="9"/>
  <c r="CM11" i="9"/>
  <c r="CM13" i="9"/>
  <c r="CM10" i="9"/>
  <c r="CM12" i="9"/>
  <c r="CL42" i="9"/>
  <c r="CL45" i="9"/>
  <c r="CL49" i="9"/>
  <c r="CL38" i="9"/>
  <c r="CL51" i="9"/>
  <c r="CO3" i="3"/>
  <c r="CP2" i="3"/>
  <c r="CM44" i="9" l="1"/>
  <c r="CM43" i="9"/>
  <c r="CN15" i="9"/>
  <c r="CN19" i="9"/>
  <c r="CN18" i="9"/>
  <c r="CM37" i="9"/>
  <c r="CM41" i="9"/>
  <c r="CK33" i="9"/>
  <c r="CL26" i="9"/>
  <c r="CL27" i="9" s="1"/>
  <c r="CM25" i="9"/>
  <c r="CM22" i="9"/>
  <c r="CM24" i="9"/>
  <c r="CM32" i="9" s="1"/>
  <c r="CM23" i="9"/>
  <c r="AX34" i="9"/>
  <c r="CO104" i="3"/>
  <c r="CO97" i="3"/>
  <c r="CP14" i="9"/>
  <c r="CP124" i="3"/>
  <c r="CO32" i="3"/>
  <c r="CJ39" i="3"/>
  <c r="CM47" i="9"/>
  <c r="CM46" i="9"/>
  <c r="CP80" i="3"/>
  <c r="CP45" i="3"/>
  <c r="CP58" i="3"/>
  <c r="CP40" i="3" s="1"/>
  <c r="CR8" i="7"/>
  <c r="CP65" i="3"/>
  <c r="CP63" i="3"/>
  <c r="CR8" i="11"/>
  <c r="CK38" i="3"/>
  <c r="CR16" i="6"/>
  <c r="CR17" i="6"/>
  <c r="CR18" i="6"/>
  <c r="CR15" i="7"/>
  <c r="CR11" i="7"/>
  <c r="CR12" i="7"/>
  <c r="CR13" i="7"/>
  <c r="AY20" i="9"/>
  <c r="CA62" i="9"/>
  <c r="CN61" i="9" a="1"/>
  <c r="CN61" i="9" s="1"/>
  <c r="CB62" i="9" s="1"/>
  <c r="CR11" i="2"/>
  <c r="CR14" i="6"/>
  <c r="CR15" i="6"/>
  <c r="CR14" i="7"/>
  <c r="CM8" i="3" a="1"/>
  <c r="CM8" i="3" s="1"/>
  <c r="CM6" i="3" a="1"/>
  <c r="CM6" i="3" s="1"/>
  <c r="CL10" i="3"/>
  <c r="CL33" i="3" s="1"/>
  <c r="CM9" i="3" a="1"/>
  <c r="CM9" i="3" s="1"/>
  <c r="CP114" i="3" a="1"/>
  <c r="CP114" i="3" s="1"/>
  <c r="CP76" i="3"/>
  <c r="CQ12" i="11"/>
  <c r="CQ12" i="2"/>
  <c r="CN7" i="3" s="1" a="1"/>
  <c r="CN7" i="3" s="1"/>
  <c r="CQ19" i="6"/>
  <c r="CP16" i="3"/>
  <c r="CP20" i="3"/>
  <c r="CP21" i="3"/>
  <c r="CP22" i="3"/>
  <c r="CP17" i="3"/>
  <c r="CP18" i="3"/>
  <c r="CR7" i="6"/>
  <c r="CR12" i="6"/>
  <c r="CR6" i="2"/>
  <c r="CR7" i="2"/>
  <c r="CR5" i="2"/>
  <c r="CR10" i="2"/>
  <c r="CR10" i="11"/>
  <c r="CM65" i="9"/>
  <c r="CM25" i="3" s="1" a="1"/>
  <c r="CM25" i="3" s="1"/>
  <c r="CM26" i="3" s="1"/>
  <c r="CR5" i="11"/>
  <c r="CR8" i="2"/>
  <c r="CR9" i="11"/>
  <c r="CR11" i="11"/>
  <c r="CR6" i="11"/>
  <c r="CR7" i="11"/>
  <c r="CS4" i="11"/>
  <c r="CP5" i="3"/>
  <c r="CS4" i="7"/>
  <c r="CS9" i="7" s="1"/>
  <c r="CS4" i="6"/>
  <c r="CS8" i="6" s="1"/>
  <c r="CQ4" i="3"/>
  <c r="CS4" i="2"/>
  <c r="CS9" i="2" s="1"/>
  <c r="CR6" i="7"/>
  <c r="CR5" i="7"/>
  <c r="CR7" i="7"/>
  <c r="CR10" i="7"/>
  <c r="CQ16" i="7"/>
  <c r="CR5" i="6"/>
  <c r="CR11" i="6"/>
  <c r="CR6" i="6"/>
  <c r="CR10" i="6"/>
  <c r="CR9" i="6"/>
  <c r="CR13" i="6"/>
  <c r="CM51" i="9"/>
  <c r="CM42" i="9"/>
  <c r="CM45" i="9"/>
  <c r="CM49" i="9"/>
  <c r="CM38" i="9"/>
  <c r="CN10" i="9"/>
  <c r="CN11" i="9"/>
  <c r="CN13" i="9"/>
  <c r="CN12" i="9"/>
  <c r="CO16" i="9"/>
  <c r="CQ2" i="3"/>
  <c r="CP3" i="3"/>
  <c r="CN44" i="9" l="1"/>
  <c r="CN43" i="9"/>
  <c r="CO15" i="9"/>
  <c r="CO19" i="9"/>
  <c r="CO18" i="9"/>
  <c r="CN37" i="9"/>
  <c r="CN41" i="9"/>
  <c r="CN25" i="9"/>
  <c r="CN24" i="9"/>
  <c r="CN32" i="9" s="1"/>
  <c r="CN22" i="9"/>
  <c r="CN23" i="9"/>
  <c r="CM26" i="9"/>
  <c r="CM27" i="9" s="1"/>
  <c r="AY31" i="9"/>
  <c r="AY29" i="9"/>
  <c r="AY30" i="9"/>
  <c r="AY28" i="9"/>
  <c r="CL33" i="9"/>
  <c r="CP104" i="3"/>
  <c r="CP97" i="3"/>
  <c r="CQ14" i="9"/>
  <c r="CQ124" i="3"/>
  <c r="CP32" i="3"/>
  <c r="AY39" i="9"/>
  <c r="CK39" i="3"/>
  <c r="CN47" i="9"/>
  <c r="CN46" i="9"/>
  <c r="CQ45" i="3"/>
  <c r="CQ80" i="3"/>
  <c r="CQ58" i="3"/>
  <c r="CQ40" i="3" s="1"/>
  <c r="CS8" i="7"/>
  <c r="CQ65" i="3"/>
  <c r="CQ63" i="3"/>
  <c r="CS8" i="11"/>
  <c r="CL38" i="3"/>
  <c r="CS16" i="6"/>
  <c r="CS17" i="6"/>
  <c r="CS18" i="6"/>
  <c r="CS15" i="7"/>
  <c r="CS13" i="7"/>
  <c r="CS12" i="7"/>
  <c r="CS11" i="7"/>
  <c r="AX113" i="3" a="1"/>
  <c r="AX113" i="3" s="1"/>
  <c r="AX115" i="3" s="1"/>
  <c r="AX116" i="3" s="1"/>
  <c r="AX58" i="9"/>
  <c r="AX59" i="9" s="1"/>
  <c r="AX50" i="9"/>
  <c r="AZ17" i="9"/>
  <c r="AY40" i="9"/>
  <c r="CN24" i="3" a="1"/>
  <c r="CN24" i="3" s="1"/>
  <c r="CO61" i="9" a="1"/>
  <c r="CO61" i="9" s="1"/>
  <c r="CO24" i="3" s="1" a="1"/>
  <c r="CO24" i="3" s="1"/>
  <c r="CS11" i="2"/>
  <c r="CS15" i="6"/>
  <c r="CS14" i="6"/>
  <c r="CM10" i="3"/>
  <c r="CM33" i="3" s="1"/>
  <c r="CS14" i="7"/>
  <c r="CN8" i="3" a="1"/>
  <c r="CN8" i="3" s="1"/>
  <c r="CN6" i="3" a="1"/>
  <c r="CN6" i="3" s="1"/>
  <c r="CN9" i="3" a="1"/>
  <c r="CN9" i="3" s="1"/>
  <c r="CQ114" i="3" a="1"/>
  <c r="CQ114" i="3" s="1"/>
  <c r="CQ76" i="3"/>
  <c r="CR12" i="11"/>
  <c r="CR12" i="2"/>
  <c r="CO7" i="3" s="1" a="1"/>
  <c r="CO7" i="3" s="1"/>
  <c r="CR19" i="6"/>
  <c r="CQ16" i="3"/>
  <c r="CQ17" i="3"/>
  <c r="CQ18" i="3"/>
  <c r="CQ20" i="3"/>
  <c r="CQ21" i="3"/>
  <c r="CQ22" i="3"/>
  <c r="CQ32" i="3" s="1"/>
  <c r="CS7" i="6"/>
  <c r="CS12" i="6"/>
  <c r="CS7" i="2"/>
  <c r="CS6" i="2"/>
  <c r="CS5" i="2"/>
  <c r="CS10" i="2"/>
  <c r="CS10" i="11"/>
  <c r="CN65" i="9"/>
  <c r="CN25" i="3" s="1" a="1"/>
  <c r="CN25" i="3" s="1"/>
  <c r="CS5" i="11"/>
  <c r="CS5" i="6"/>
  <c r="CS10" i="6"/>
  <c r="CS13" i="6"/>
  <c r="CS6" i="6"/>
  <c r="CS9" i="6"/>
  <c r="CS11" i="6"/>
  <c r="CS8" i="2"/>
  <c r="CS6" i="11"/>
  <c r="CS9" i="11"/>
  <c r="CS7" i="11"/>
  <c r="CS11" i="11"/>
  <c r="CR16" i="7"/>
  <c r="CT4" i="11"/>
  <c r="CQ5" i="3"/>
  <c r="CT4" i="7"/>
  <c r="CT9" i="7" s="1"/>
  <c r="CT4" i="6"/>
  <c r="CT8" i="6" s="1"/>
  <c r="CR4" i="3"/>
  <c r="CT4" i="2"/>
  <c r="CT9" i="2" s="1"/>
  <c r="CS6" i="7"/>
  <c r="CS5" i="7"/>
  <c r="CS10" i="7"/>
  <c r="CS7" i="7"/>
  <c r="CN42" i="9"/>
  <c r="CN45" i="9"/>
  <c r="CN49" i="9"/>
  <c r="CN51" i="9"/>
  <c r="CN38" i="9"/>
  <c r="CO13" i="9"/>
  <c r="CO10" i="9"/>
  <c r="CO11" i="9"/>
  <c r="CP16" i="9"/>
  <c r="CO12" i="9"/>
  <c r="CQ3" i="3"/>
  <c r="CR2" i="3"/>
  <c r="CO44" i="9" l="1"/>
  <c r="CO43" i="9"/>
  <c r="CP15" i="9"/>
  <c r="CP19" i="9"/>
  <c r="CP18" i="9"/>
  <c r="CO37" i="9"/>
  <c r="CO41" i="9"/>
  <c r="CM33" i="9"/>
  <c r="CO25" i="9"/>
  <c r="CO23" i="9"/>
  <c r="CO22" i="9"/>
  <c r="CO24" i="9"/>
  <c r="CO32" i="9" s="1"/>
  <c r="CN26" i="9"/>
  <c r="CN27" i="9" s="1"/>
  <c r="AY34" i="9"/>
  <c r="CQ104" i="3"/>
  <c r="CQ97" i="3"/>
  <c r="CR14" i="9"/>
  <c r="CR124" i="3"/>
  <c r="CL39" i="3"/>
  <c r="CO47" i="9"/>
  <c r="CO46" i="9"/>
  <c r="CT8" i="7"/>
  <c r="CR80" i="3"/>
  <c r="CR45" i="3"/>
  <c r="CR58" i="3"/>
  <c r="CR40" i="3" s="1"/>
  <c r="CR65" i="3"/>
  <c r="CR63" i="3"/>
  <c r="CT8" i="11"/>
  <c r="CM38" i="3"/>
  <c r="CN26" i="3"/>
  <c r="CT16" i="6"/>
  <c r="CT17" i="6"/>
  <c r="CT18" i="6"/>
  <c r="CT15" i="7"/>
  <c r="CT11" i="7"/>
  <c r="CT12" i="7"/>
  <c r="CT13" i="7"/>
  <c r="AZ20" i="9"/>
  <c r="CC62" i="9"/>
  <c r="CP61" i="9" a="1"/>
  <c r="CP61" i="9" s="1"/>
  <c r="CD62" i="9" s="1"/>
  <c r="CT11" i="2"/>
  <c r="CT14" i="6"/>
  <c r="CT15" i="6"/>
  <c r="CT14" i="7"/>
  <c r="CO8" i="3" a="1"/>
  <c r="CO8" i="3" s="1"/>
  <c r="CO6" i="3" a="1"/>
  <c r="CO6" i="3" s="1"/>
  <c r="CN10" i="3"/>
  <c r="CN33" i="3" s="1"/>
  <c r="CO9" i="3" a="1"/>
  <c r="CO9" i="3" s="1"/>
  <c r="CR114" i="3" a="1"/>
  <c r="CR114" i="3" s="1"/>
  <c r="CR76" i="3"/>
  <c r="CS12" i="11"/>
  <c r="CS12" i="2"/>
  <c r="CP7" i="3" s="1" a="1"/>
  <c r="CP7" i="3" s="1"/>
  <c r="CS19" i="6"/>
  <c r="CR16" i="3"/>
  <c r="CR18" i="3"/>
  <c r="CR17" i="3"/>
  <c r="CR20" i="3"/>
  <c r="CR21" i="3"/>
  <c r="CR22" i="3"/>
  <c r="CT7" i="6"/>
  <c r="CT12" i="6"/>
  <c r="CT7" i="2"/>
  <c r="CT6" i="2"/>
  <c r="CT5" i="2"/>
  <c r="CT10" i="2"/>
  <c r="CT10" i="11"/>
  <c r="CO65" i="9"/>
  <c r="CO25" i="3" s="1" a="1"/>
  <c r="CO25" i="3" s="1"/>
  <c r="CO26" i="3" s="1"/>
  <c r="CT5" i="11"/>
  <c r="CU4" i="11"/>
  <c r="CU4" i="7"/>
  <c r="CU9" i="7" s="1"/>
  <c r="CR5" i="3"/>
  <c r="CU4" i="6"/>
  <c r="CU8" i="6" s="1"/>
  <c r="CS4" i="3"/>
  <c r="CU4" i="2"/>
  <c r="CU9" i="2" s="1"/>
  <c r="CT7" i="7"/>
  <c r="CT6" i="7"/>
  <c r="CT10" i="7"/>
  <c r="CT5" i="7"/>
  <c r="CT9" i="11"/>
  <c r="CT6" i="11"/>
  <c r="CT7" i="11"/>
  <c r="CT11" i="11"/>
  <c r="CT8" i="2"/>
  <c r="CS16" i="7"/>
  <c r="CT5" i="6"/>
  <c r="CT10" i="6"/>
  <c r="CT9" i="6"/>
  <c r="CT11" i="6"/>
  <c r="CT13" i="6"/>
  <c r="CT6" i="6"/>
  <c r="CP12" i="9"/>
  <c r="CQ16" i="9"/>
  <c r="CP10" i="9"/>
  <c r="CP13" i="9"/>
  <c r="CP11" i="9"/>
  <c r="CO51" i="9"/>
  <c r="CO38" i="9"/>
  <c r="CO45" i="9"/>
  <c r="CO42" i="9"/>
  <c r="CO49" i="9"/>
  <c r="CS2" i="3"/>
  <c r="CR3" i="3"/>
  <c r="CP44" i="9" l="1"/>
  <c r="CP43" i="9"/>
  <c r="CQ15" i="9"/>
  <c r="CQ19" i="9"/>
  <c r="CQ18" i="9"/>
  <c r="CP37" i="9"/>
  <c r="CP41" i="9"/>
  <c r="CP25" i="9"/>
  <c r="CP23" i="9"/>
  <c r="CP22" i="9"/>
  <c r="CP24" i="9"/>
  <c r="CP32" i="9" s="1"/>
  <c r="AZ31" i="9"/>
  <c r="AZ29" i="9"/>
  <c r="AZ30" i="9"/>
  <c r="AZ28" i="9"/>
  <c r="CO26" i="9"/>
  <c r="CO27" i="9" s="1"/>
  <c r="CN33" i="9"/>
  <c r="CR104" i="3"/>
  <c r="CR97" i="3"/>
  <c r="CS14" i="9"/>
  <c r="CS124" i="3"/>
  <c r="CR32" i="3"/>
  <c r="AZ39" i="9"/>
  <c r="CM39" i="3"/>
  <c r="CP47" i="9"/>
  <c r="CP46" i="9"/>
  <c r="CU8" i="7"/>
  <c r="CS80" i="3"/>
  <c r="CS45" i="3"/>
  <c r="CS58" i="3"/>
  <c r="CS40" i="3" s="1"/>
  <c r="CS65" i="3"/>
  <c r="CS63" i="3"/>
  <c r="CU8" i="11"/>
  <c r="CN38" i="3"/>
  <c r="CU16" i="6"/>
  <c r="CU17" i="6"/>
  <c r="CU18" i="6"/>
  <c r="CU15" i="7"/>
  <c r="CU11" i="7"/>
  <c r="CU13" i="7"/>
  <c r="CU12" i="7"/>
  <c r="AY113" i="3" a="1"/>
  <c r="AY113" i="3" s="1"/>
  <c r="AY115" i="3" s="1"/>
  <c r="AY116" i="3" s="1"/>
  <c r="AY58" i="9"/>
  <c r="AY59" i="9" s="1"/>
  <c r="AY50" i="9"/>
  <c r="BA17" i="9"/>
  <c r="AZ40" i="9"/>
  <c r="CP24" i="3" a="1"/>
  <c r="CP24" i="3" s="1"/>
  <c r="CQ61" i="9" a="1"/>
  <c r="CQ61" i="9" s="1"/>
  <c r="CQ24" i="3" s="1" a="1"/>
  <c r="CQ24" i="3" s="1"/>
  <c r="CU11" i="2"/>
  <c r="CU15" i="6"/>
  <c r="CU14" i="6"/>
  <c r="CU14" i="7"/>
  <c r="CO10" i="3"/>
  <c r="CO33" i="3" s="1"/>
  <c r="CP8" i="3" a="1"/>
  <c r="CP8" i="3" s="1"/>
  <c r="CP6" i="3" a="1"/>
  <c r="CP6" i="3" s="1"/>
  <c r="CP9" i="3" a="1"/>
  <c r="CP9" i="3" s="1"/>
  <c r="CS114" i="3" a="1"/>
  <c r="CS114" i="3" s="1"/>
  <c r="CS76" i="3"/>
  <c r="CT12" i="11"/>
  <c r="CT12" i="2"/>
  <c r="CQ7" i="3" s="1" a="1"/>
  <c r="CQ7" i="3" s="1"/>
  <c r="CT19" i="6"/>
  <c r="CS18" i="3"/>
  <c r="CS16" i="3"/>
  <c r="CS17" i="3"/>
  <c r="CS21" i="3"/>
  <c r="CS20" i="3"/>
  <c r="CS22" i="3"/>
  <c r="CS32" i="3" s="1"/>
  <c r="CU7" i="6"/>
  <c r="CU12" i="6"/>
  <c r="CU6" i="2"/>
  <c r="CU7" i="2"/>
  <c r="CU5" i="2"/>
  <c r="CU10" i="2"/>
  <c r="CU10" i="11"/>
  <c r="CP65" i="9"/>
  <c r="CP25" i="3" s="1" a="1"/>
  <c r="CP25" i="3" s="1"/>
  <c r="CU5" i="11"/>
  <c r="CU11" i="6"/>
  <c r="CU9" i="6"/>
  <c r="CU6" i="6"/>
  <c r="CU10" i="6"/>
  <c r="CU5" i="6"/>
  <c r="CU13" i="6"/>
  <c r="CT16" i="7"/>
  <c r="CU8" i="2"/>
  <c r="CU5" i="7"/>
  <c r="CU10" i="7"/>
  <c r="CU6" i="7"/>
  <c r="CU7" i="7"/>
  <c r="CV4" i="11"/>
  <c r="CS5" i="3"/>
  <c r="CV4" i="6"/>
  <c r="CV8" i="6" s="1"/>
  <c r="CV4" i="7"/>
  <c r="CV9" i="7" s="1"/>
  <c r="CT4" i="3"/>
  <c r="CV4" i="2"/>
  <c r="CV9" i="2" s="1"/>
  <c r="CU9" i="11"/>
  <c r="CU7" i="11"/>
  <c r="CU6" i="11"/>
  <c r="CU11" i="11"/>
  <c r="CR16" i="9"/>
  <c r="CQ11" i="9"/>
  <c r="CQ12" i="9"/>
  <c r="CQ13" i="9"/>
  <c r="CQ10" i="9"/>
  <c r="CP42" i="9"/>
  <c r="CP45" i="9"/>
  <c r="CP49" i="9"/>
  <c r="CP38" i="9"/>
  <c r="CP51" i="9"/>
  <c r="CS3" i="3"/>
  <c r="CT2" i="3"/>
  <c r="CQ44" i="9" l="1"/>
  <c r="CQ43" i="9"/>
  <c r="CR15" i="9"/>
  <c r="CR18" i="9"/>
  <c r="CR19" i="9"/>
  <c r="CQ37" i="9"/>
  <c r="CQ41" i="9"/>
  <c r="AZ34" i="9"/>
  <c r="CP26" i="9"/>
  <c r="CP27" i="9" s="1"/>
  <c r="CQ25" i="9"/>
  <c r="CQ23" i="9"/>
  <c r="CQ22" i="9"/>
  <c r="CQ24" i="9"/>
  <c r="CQ32" i="9" s="1"/>
  <c r="CO33" i="9"/>
  <c r="CS104" i="3"/>
  <c r="CS97" i="3"/>
  <c r="CT14" i="9"/>
  <c r="CT124" i="3"/>
  <c r="CN39" i="3"/>
  <c r="CQ47" i="9"/>
  <c r="CQ46" i="9"/>
  <c r="CV8" i="7"/>
  <c r="CT80" i="3"/>
  <c r="CT45" i="3"/>
  <c r="CT58" i="3"/>
  <c r="CT40" i="3" s="1"/>
  <c r="CT65" i="3"/>
  <c r="CT63" i="3"/>
  <c r="CV8" i="11"/>
  <c r="CO38" i="3"/>
  <c r="CV16" i="6"/>
  <c r="CV17" i="6"/>
  <c r="CV18" i="6"/>
  <c r="CV15" i="7"/>
  <c r="CV11" i="7"/>
  <c r="CV12" i="7"/>
  <c r="CV13" i="7"/>
  <c r="CP26" i="3"/>
  <c r="BA20" i="9"/>
  <c r="CR61" i="9" a="1"/>
  <c r="CR61" i="9" s="1"/>
  <c r="CF62" i="9" s="1"/>
  <c r="CE62" i="9"/>
  <c r="CV11" i="2"/>
  <c r="CV14" i="6"/>
  <c r="CV15" i="6"/>
  <c r="CV14" i="7"/>
  <c r="CP10" i="3"/>
  <c r="CP33" i="3" s="1"/>
  <c r="CQ8" i="3" a="1"/>
  <c r="CQ8" i="3" s="1"/>
  <c r="CQ6" i="3" a="1"/>
  <c r="CQ6" i="3" s="1"/>
  <c r="CQ9" i="3" a="1"/>
  <c r="CQ9" i="3" s="1"/>
  <c r="CT114" i="3" a="1"/>
  <c r="CT114" i="3" s="1"/>
  <c r="CT32" i="3"/>
  <c r="CT76" i="3"/>
  <c r="CU12" i="11"/>
  <c r="CU12" i="2"/>
  <c r="CR7" i="3" s="1" a="1"/>
  <c r="CR7" i="3" s="1"/>
  <c r="CU19" i="6"/>
  <c r="CT17" i="3"/>
  <c r="CT18" i="3"/>
  <c r="CT16" i="3"/>
  <c r="CT21" i="3"/>
  <c r="CT22" i="3"/>
  <c r="CT20" i="3"/>
  <c r="CV7" i="6"/>
  <c r="CV12" i="6"/>
  <c r="CV6" i="2"/>
  <c r="CV7" i="2"/>
  <c r="CV5" i="2"/>
  <c r="CV10" i="2"/>
  <c r="CV10" i="11"/>
  <c r="CQ65" i="9"/>
  <c r="CQ25" i="3" s="1" a="1"/>
  <c r="CQ25" i="3" s="1"/>
  <c r="CQ26" i="3" s="1"/>
  <c r="CV5" i="11"/>
  <c r="CV8" i="2"/>
  <c r="CV11" i="6"/>
  <c r="CV9" i="6"/>
  <c r="CV13" i="6"/>
  <c r="CV6" i="6"/>
  <c r="CV5" i="6"/>
  <c r="CV10" i="6"/>
  <c r="CW4" i="11"/>
  <c r="CT5" i="3"/>
  <c r="CW4" i="7"/>
  <c r="CW9" i="7" s="1"/>
  <c r="CW4" i="6"/>
  <c r="CW8" i="6" s="1"/>
  <c r="CU4" i="3"/>
  <c r="CW4" i="2"/>
  <c r="CW9" i="2" s="1"/>
  <c r="CV6" i="7"/>
  <c r="CV5" i="7"/>
  <c r="CV10" i="7"/>
  <c r="CV7" i="7"/>
  <c r="CU16" i="7"/>
  <c r="CV9" i="11"/>
  <c r="CV6" i="11"/>
  <c r="CV11" i="11"/>
  <c r="CV7" i="11"/>
  <c r="CQ51" i="9"/>
  <c r="CQ42" i="9"/>
  <c r="CQ45" i="9"/>
  <c r="CQ49" i="9"/>
  <c r="CQ38" i="9"/>
  <c r="CR10" i="9"/>
  <c r="CR11" i="9"/>
  <c r="CR13" i="9"/>
  <c r="CR12" i="9"/>
  <c r="CS16" i="9"/>
  <c r="CU2" i="3"/>
  <c r="CT3" i="3"/>
  <c r="CR44" i="9" l="1"/>
  <c r="CR43" i="9"/>
  <c r="CS15" i="9"/>
  <c r="CS18" i="9"/>
  <c r="CS19" i="9"/>
  <c r="CR37" i="9"/>
  <c r="CR41" i="9"/>
  <c r="CR25" i="9"/>
  <c r="CR22" i="9"/>
  <c r="CR24" i="9"/>
  <c r="CR32" i="9" s="1"/>
  <c r="CR23" i="9"/>
  <c r="CQ26" i="9"/>
  <c r="CQ27" i="9" s="1"/>
  <c r="BA31" i="9"/>
  <c r="BA29" i="9"/>
  <c r="BA28" i="9"/>
  <c r="BA30" i="9"/>
  <c r="CP33" i="9"/>
  <c r="CT104" i="3"/>
  <c r="CT97" i="3"/>
  <c r="CU14" i="9"/>
  <c r="CU124" i="3"/>
  <c r="BA39" i="9"/>
  <c r="CO39" i="3"/>
  <c r="CR47" i="9"/>
  <c r="CR46" i="9"/>
  <c r="CU45" i="3"/>
  <c r="CU80" i="3"/>
  <c r="CU58" i="3"/>
  <c r="CU40" i="3" s="1"/>
  <c r="CW8" i="7"/>
  <c r="CU65" i="3"/>
  <c r="CU63" i="3"/>
  <c r="CW8" i="11"/>
  <c r="CP38" i="3"/>
  <c r="CW16" i="6"/>
  <c r="CW17" i="6"/>
  <c r="CW18" i="6"/>
  <c r="CW15" i="7"/>
  <c r="CW11" i="7"/>
  <c r="CW12" i="7"/>
  <c r="CW13" i="7"/>
  <c r="AZ113" i="3" a="1"/>
  <c r="AZ113" i="3" s="1"/>
  <c r="AZ115" i="3" s="1"/>
  <c r="AZ116" i="3" s="1"/>
  <c r="AZ58" i="9"/>
  <c r="AZ59" i="9" s="1"/>
  <c r="AZ50" i="9"/>
  <c r="CR24" i="3" a="1"/>
  <c r="CR24" i="3" s="1"/>
  <c r="BB17" i="9"/>
  <c r="BA40" i="9"/>
  <c r="CS61" i="9" a="1"/>
  <c r="CS61" i="9" s="1"/>
  <c r="CS24" i="3" s="1" a="1"/>
  <c r="CS24" i="3" s="1"/>
  <c r="CW11" i="2"/>
  <c r="CW15" i="6"/>
  <c r="CW14" i="6"/>
  <c r="CW14" i="7"/>
  <c r="CQ10" i="3"/>
  <c r="CQ33" i="3" s="1"/>
  <c r="CR8" i="3" a="1"/>
  <c r="CR8" i="3" s="1"/>
  <c r="CR6" i="3" a="1"/>
  <c r="CR6" i="3" s="1"/>
  <c r="CR9" i="3" a="1"/>
  <c r="CR9" i="3" s="1"/>
  <c r="CU114" i="3" a="1"/>
  <c r="CU114" i="3" s="1"/>
  <c r="CV12" i="11"/>
  <c r="CV12" i="2"/>
  <c r="CS7" i="3" s="1" a="1"/>
  <c r="CS7" i="3" s="1"/>
  <c r="CU76" i="3"/>
  <c r="CV19" i="6"/>
  <c r="CU16" i="3"/>
  <c r="CU17" i="3"/>
  <c r="CU18" i="3"/>
  <c r="CU20" i="3"/>
  <c r="CU21" i="3"/>
  <c r="CU22" i="3"/>
  <c r="CU32" i="3" s="1"/>
  <c r="CW7" i="6"/>
  <c r="CW12" i="6"/>
  <c r="CW7" i="2"/>
  <c r="CW6" i="2"/>
  <c r="CW5" i="2"/>
  <c r="CW10" i="2"/>
  <c r="CW10" i="11"/>
  <c r="CR65" i="9"/>
  <c r="CR25" i="3" s="1" a="1"/>
  <c r="CR25" i="3" s="1"/>
  <c r="CW5" i="11"/>
  <c r="CV16" i="7"/>
  <c r="CW8" i="2"/>
  <c r="CW10" i="7"/>
  <c r="CW5" i="7"/>
  <c r="CW7" i="7"/>
  <c r="CW6" i="7"/>
  <c r="CW5" i="6"/>
  <c r="CW9" i="6"/>
  <c r="CW11" i="6"/>
  <c r="CW10" i="6"/>
  <c r="CW13" i="6"/>
  <c r="CW6" i="6"/>
  <c r="CX4" i="11"/>
  <c r="CU5" i="3"/>
  <c r="CX4" i="7"/>
  <c r="CX9" i="7" s="1"/>
  <c r="CX4" i="6"/>
  <c r="CX8" i="6" s="1"/>
  <c r="CV4" i="3"/>
  <c r="CW4" i="3" s="1"/>
  <c r="CX4" i="2"/>
  <c r="CX9" i="2" s="1"/>
  <c r="CW7" i="11"/>
  <c r="CW6" i="11"/>
  <c r="CW11" i="11"/>
  <c r="CW9" i="11"/>
  <c r="CR49" i="9"/>
  <c r="CR51" i="9"/>
  <c r="CR38" i="9"/>
  <c r="CR42" i="9"/>
  <c r="CR45" i="9"/>
  <c r="CS10" i="9"/>
  <c r="CS11" i="9"/>
  <c r="CT16" i="9"/>
  <c r="CS12" i="9"/>
  <c r="CS13" i="9"/>
  <c r="CU3" i="3"/>
  <c r="CV2" i="3"/>
  <c r="CV124" i="3" s="1"/>
  <c r="CS44" i="9" l="1"/>
  <c r="CS43" i="9"/>
  <c r="CT15" i="9"/>
  <c r="CT18" i="9"/>
  <c r="CT19" i="9"/>
  <c r="CS37" i="9"/>
  <c r="CS41" i="9"/>
  <c r="CS25" i="9"/>
  <c r="CS23" i="9"/>
  <c r="CS24" i="9"/>
  <c r="CS32" i="9" s="1"/>
  <c r="CS22" i="9"/>
  <c r="CQ33" i="9"/>
  <c r="CR26" i="9"/>
  <c r="CR27" i="9" s="1"/>
  <c r="BA34" i="9"/>
  <c r="CU104" i="3"/>
  <c r="CU97" i="3"/>
  <c r="CV104" i="3"/>
  <c r="CV97" i="3"/>
  <c r="CV14" i="9"/>
  <c r="CW2" i="3"/>
  <c r="CW124" i="3" s="1"/>
  <c r="CW3" i="3"/>
  <c r="CW17" i="3"/>
  <c r="CW22" i="3"/>
  <c r="CW114" i="3" a="1"/>
  <c r="CW114" i="3" s="1"/>
  <c r="CW58" i="3"/>
  <c r="CW40" i="3" s="1"/>
  <c r="CW18" i="3"/>
  <c r="CW65" i="3"/>
  <c r="CX4" i="3"/>
  <c r="CW63" i="3"/>
  <c r="CW80" i="3"/>
  <c r="CW51" i="3" s="1"/>
  <c r="CW5" i="3"/>
  <c r="CW20" i="3"/>
  <c r="CW16" i="3"/>
  <c r="CW21" i="3"/>
  <c r="CW45" i="3"/>
  <c r="CP39" i="3"/>
  <c r="CS47" i="9"/>
  <c r="CS46" i="9"/>
  <c r="CX8" i="7"/>
  <c r="CV80" i="3"/>
  <c r="CV45" i="3"/>
  <c r="CV58" i="3"/>
  <c r="CV40" i="3" s="1"/>
  <c r="CV65" i="3"/>
  <c r="CV63" i="3"/>
  <c r="CX8" i="11"/>
  <c r="CQ38" i="3"/>
  <c r="CX16" i="6"/>
  <c r="CX17" i="6"/>
  <c r="CX18" i="6"/>
  <c r="CX15" i="7"/>
  <c r="CX12" i="7"/>
  <c r="CX11" i="7"/>
  <c r="CX13" i="7"/>
  <c r="CR26" i="3"/>
  <c r="BB20" i="9"/>
  <c r="CG62" i="9"/>
  <c r="CT61" i="9" a="1"/>
  <c r="CT61" i="9" s="1"/>
  <c r="CT24" i="3" s="1" a="1"/>
  <c r="CT24" i="3" s="1"/>
  <c r="CX11" i="2"/>
  <c r="CX14" i="6"/>
  <c r="CX15" i="6"/>
  <c r="CX14" i="7"/>
  <c r="CR10" i="3"/>
  <c r="CR33" i="3" s="1"/>
  <c r="CS8" i="3" a="1"/>
  <c r="CS8" i="3" s="1"/>
  <c r="CS6" i="3" a="1"/>
  <c r="CS6" i="3" s="1"/>
  <c r="CS9" i="3" a="1"/>
  <c r="CS9" i="3" s="1"/>
  <c r="CV114" i="3" a="1"/>
  <c r="CV114" i="3" s="1"/>
  <c r="CV32" i="3"/>
  <c r="CV76" i="3"/>
  <c r="CW12" i="11"/>
  <c r="CW12" i="2"/>
  <c r="CT7" i="3" s="1" a="1"/>
  <c r="CT7" i="3" s="1"/>
  <c r="CW19" i="6"/>
  <c r="CV20" i="3"/>
  <c r="CV18" i="3"/>
  <c r="CV16" i="3"/>
  <c r="CV17" i="3"/>
  <c r="CV21" i="3"/>
  <c r="CV22" i="3"/>
  <c r="CX7" i="6"/>
  <c r="CX12" i="6"/>
  <c r="CX7" i="2"/>
  <c r="CX6" i="2"/>
  <c r="CX5" i="2"/>
  <c r="CX10" i="2"/>
  <c r="CX10" i="11"/>
  <c r="CS65" i="9"/>
  <c r="CS25" i="3" s="1" a="1"/>
  <c r="CS25" i="3" s="1"/>
  <c r="CS26" i="3" s="1"/>
  <c r="CX5" i="11"/>
  <c r="CW16" i="7"/>
  <c r="CX8" i="2"/>
  <c r="CX11" i="6"/>
  <c r="CX13" i="6"/>
  <c r="CX6" i="6"/>
  <c r="CX5" i="6"/>
  <c r="CX10" i="6"/>
  <c r="CX9" i="6"/>
  <c r="CX6" i="7"/>
  <c r="CX5" i="7"/>
  <c r="CX7" i="7"/>
  <c r="CX10" i="7"/>
  <c r="CY4" i="11"/>
  <c r="CV5" i="3"/>
  <c r="CY4" i="7"/>
  <c r="CY9" i="7" s="1"/>
  <c r="CY4" i="6"/>
  <c r="CY8" i="6" s="1"/>
  <c r="CY4" i="2"/>
  <c r="CY9" i="2" s="1"/>
  <c r="CX9" i="11"/>
  <c r="CX6" i="11"/>
  <c r="CX11" i="11"/>
  <c r="CX7" i="11"/>
  <c r="CS49" i="9"/>
  <c r="CS51" i="9"/>
  <c r="CS38" i="9"/>
  <c r="CS42" i="9"/>
  <c r="CS45" i="9"/>
  <c r="CT11" i="9"/>
  <c r="CT12" i="9"/>
  <c r="CU16" i="9"/>
  <c r="CT10" i="9"/>
  <c r="CT13" i="9"/>
  <c r="CV3" i="3"/>
  <c r="CT44" i="9" l="1"/>
  <c r="CT43" i="9"/>
  <c r="CU15" i="9"/>
  <c r="CU18" i="9"/>
  <c r="CU19" i="9"/>
  <c r="CT37" i="9"/>
  <c r="CT41" i="9"/>
  <c r="CR33" i="9"/>
  <c r="BB31" i="9"/>
  <c r="BB29" i="9"/>
  <c r="BB28" i="9"/>
  <c r="BB30" i="9"/>
  <c r="CS26" i="9"/>
  <c r="CS27" i="9" s="1"/>
  <c r="CT25" i="9"/>
  <c r="CT23" i="9"/>
  <c r="CT22" i="9"/>
  <c r="CT24" i="9"/>
  <c r="CT32" i="9" s="1"/>
  <c r="CW14" i="9"/>
  <c r="CW104" i="3"/>
  <c r="CW97" i="3"/>
  <c r="CW32" i="3"/>
  <c r="CX3" i="3"/>
  <c r="CX17" i="3"/>
  <c r="CX22" i="3"/>
  <c r="CX58" i="3"/>
  <c r="CX40" i="3" s="1"/>
  <c r="CX114" i="3" a="1"/>
  <c r="CX114" i="3" s="1"/>
  <c r="CX20" i="3"/>
  <c r="CX18" i="3"/>
  <c r="CX32" i="3" s="1"/>
  <c r="CX5" i="3"/>
  <c r="CX63" i="3"/>
  <c r="CX80" i="3"/>
  <c r="CX51" i="3" s="1"/>
  <c r="CX65" i="3"/>
  <c r="CX16" i="3"/>
  <c r="CX21" i="3"/>
  <c r="CX45" i="3"/>
  <c r="CY4" i="3"/>
  <c r="CX2" i="3"/>
  <c r="CX124" i="3" s="1"/>
  <c r="CW76" i="3"/>
  <c r="BB39" i="9"/>
  <c r="CQ39" i="3"/>
  <c r="CT47" i="9"/>
  <c r="CT46" i="9"/>
  <c r="CY8" i="7"/>
  <c r="CY8" i="11"/>
  <c r="CR38" i="3"/>
  <c r="CY16" i="6"/>
  <c r="CY17" i="6"/>
  <c r="CY18" i="6"/>
  <c r="CY15" i="7"/>
  <c r="CY13" i="7"/>
  <c r="CY11" i="7"/>
  <c r="CY12" i="7"/>
  <c r="BA113" i="3" a="1"/>
  <c r="BA113" i="3" s="1"/>
  <c r="BA115" i="3" s="1"/>
  <c r="BA116" i="3" s="1"/>
  <c r="BA58" i="9"/>
  <c r="BA59" i="9" s="1"/>
  <c r="BA50" i="9"/>
  <c r="BC17" i="9"/>
  <c r="BB40" i="9"/>
  <c r="CH62" i="9"/>
  <c r="CU61" i="9" a="1"/>
  <c r="CU61" i="9" s="1"/>
  <c r="CU24" i="3" s="1" a="1"/>
  <c r="CU24" i="3" s="1"/>
  <c r="CY11" i="2"/>
  <c r="CY14" i="6"/>
  <c r="CY15" i="6"/>
  <c r="CY14" i="7"/>
  <c r="CS10" i="3"/>
  <c r="CS33" i="3" s="1"/>
  <c r="CT8" i="3" a="1"/>
  <c r="CT8" i="3" s="1"/>
  <c r="CT6" i="3" a="1"/>
  <c r="CT6" i="3" s="1"/>
  <c r="CT9" i="3" a="1"/>
  <c r="CT9" i="3" s="1"/>
  <c r="CX12" i="11"/>
  <c r="CX12" i="2"/>
  <c r="CU7" i="3" s="1" a="1"/>
  <c r="CU7" i="3" s="1"/>
  <c r="CX19" i="6"/>
  <c r="CY7" i="6"/>
  <c r="CY12" i="6"/>
  <c r="CY7" i="2"/>
  <c r="CY6" i="2"/>
  <c r="CY5" i="2"/>
  <c r="CY10" i="2"/>
  <c r="CY10" i="11"/>
  <c r="CT65" i="9"/>
  <c r="CT25" i="3" s="1" a="1"/>
  <c r="CT25" i="3" s="1"/>
  <c r="CT26" i="3" s="1"/>
  <c r="CY5" i="11"/>
  <c r="CY13" i="6"/>
  <c r="CY6" i="6"/>
  <c r="CY11" i="6"/>
  <c r="CY10" i="6"/>
  <c r="CY9" i="6"/>
  <c r="CY5" i="6"/>
  <c r="CY6" i="7"/>
  <c r="CY7" i="7"/>
  <c r="CY5" i="7"/>
  <c r="CY10" i="7"/>
  <c r="CX16" i="7"/>
  <c r="CY8" i="2"/>
  <c r="CZ4" i="11"/>
  <c r="CZ4" i="7"/>
  <c r="CZ9" i="7" s="1"/>
  <c r="CZ4" i="6"/>
  <c r="CZ8" i="6" s="1"/>
  <c r="CZ4" i="2"/>
  <c r="CZ9" i="2" s="1"/>
  <c r="CY7" i="11"/>
  <c r="CY9" i="11"/>
  <c r="CY6" i="11"/>
  <c r="CY11" i="11"/>
  <c r="CU11" i="9"/>
  <c r="CU12" i="9"/>
  <c r="CU13" i="9"/>
  <c r="CU10" i="9"/>
  <c r="CV16" i="9"/>
  <c r="CT42" i="9"/>
  <c r="CT45" i="9"/>
  <c r="CT49" i="9"/>
  <c r="CT38" i="9"/>
  <c r="CT51" i="9"/>
  <c r="CU44" i="9" l="1"/>
  <c r="CU43" i="9"/>
  <c r="CV15" i="9"/>
  <c r="CV18" i="9"/>
  <c r="CV19" i="9"/>
  <c r="CU37" i="9"/>
  <c r="CU41" i="9"/>
  <c r="BB34" i="9"/>
  <c r="CU25" i="9"/>
  <c r="CU24" i="9"/>
  <c r="CU32" i="9" s="1"/>
  <c r="CU23" i="9"/>
  <c r="CU22" i="9"/>
  <c r="CS33" i="9"/>
  <c r="CT26" i="9"/>
  <c r="CT27" i="9" s="1"/>
  <c r="CX104" i="3"/>
  <c r="CX97" i="3"/>
  <c r="CY2" i="3"/>
  <c r="CX76" i="3"/>
  <c r="CY3" i="3"/>
  <c r="CY17" i="3"/>
  <c r="CY65" i="3"/>
  <c r="CY63" i="3"/>
  <c r="CY5" i="3"/>
  <c r="CY16" i="3"/>
  <c r="CZ4" i="3"/>
  <c r="CY21" i="3"/>
  <c r="CY114" i="3" a="1"/>
  <c r="CY114" i="3" s="1"/>
  <c r="CY45" i="3"/>
  <c r="CY20" i="3"/>
  <c r="CY18" i="3"/>
  <c r="CY22" i="3"/>
  <c r="CY32" i="3" s="1"/>
  <c r="CY80" i="3"/>
  <c r="CY51" i="3" s="1"/>
  <c r="CY58" i="3"/>
  <c r="CY40" i="3" s="1"/>
  <c r="CX14" i="9"/>
  <c r="CR39" i="3"/>
  <c r="CU47" i="9"/>
  <c r="CU46" i="9"/>
  <c r="CZ8" i="7"/>
  <c r="CZ8" i="11"/>
  <c r="CS38" i="3"/>
  <c r="CZ16" i="6"/>
  <c r="CZ17" i="6"/>
  <c r="CZ18" i="6"/>
  <c r="CZ15" i="7"/>
  <c r="CZ12" i="7"/>
  <c r="CZ13" i="7"/>
  <c r="CZ11" i="7"/>
  <c r="BC20" i="9"/>
  <c r="CV61" i="9" a="1"/>
  <c r="CV61" i="9" s="1"/>
  <c r="CJ62" i="9" s="1"/>
  <c r="CI62" i="9"/>
  <c r="CZ11" i="2"/>
  <c r="CZ14" i="6"/>
  <c r="CZ15" i="6"/>
  <c r="CZ14" i="7"/>
  <c r="CT10" i="3"/>
  <c r="CT33" i="3" s="1"/>
  <c r="CU8" i="3" a="1"/>
  <c r="CU8" i="3" s="1"/>
  <c r="CU6" i="3" a="1"/>
  <c r="CU6" i="3" s="1"/>
  <c r="CU9" i="3" a="1"/>
  <c r="CU9" i="3" s="1"/>
  <c r="CY12" i="11"/>
  <c r="CY12" i="2"/>
  <c r="CV7" i="3" s="1" a="1"/>
  <c r="CV7" i="3" s="1"/>
  <c r="CY19" i="6"/>
  <c r="CZ7" i="6"/>
  <c r="CZ12" i="6"/>
  <c r="CZ6" i="2"/>
  <c r="CZ7" i="2"/>
  <c r="CZ5" i="2"/>
  <c r="CZ10" i="2"/>
  <c r="CZ10" i="11"/>
  <c r="CU65" i="9"/>
  <c r="CU25" i="3" s="1" a="1"/>
  <c r="CU25" i="3" s="1"/>
  <c r="CU26" i="3" s="1"/>
  <c r="CZ5" i="11"/>
  <c r="CY16" i="7"/>
  <c r="CZ8" i="2"/>
  <c r="CZ9" i="11"/>
  <c r="CZ6" i="11"/>
  <c r="CZ11" i="11"/>
  <c r="CZ7" i="11"/>
  <c r="CZ11" i="6"/>
  <c r="CZ6" i="6"/>
  <c r="CZ13" i="6"/>
  <c r="CZ5" i="6"/>
  <c r="CZ9" i="6"/>
  <c r="CZ10" i="6"/>
  <c r="CZ6" i="7"/>
  <c r="CZ7" i="7"/>
  <c r="CZ10" i="7"/>
  <c r="CZ5" i="7"/>
  <c r="DA4" i="11"/>
  <c r="DA4" i="6"/>
  <c r="DA8" i="6" s="1"/>
  <c r="DA4" i="7"/>
  <c r="DA9" i="7" s="1"/>
  <c r="DA4" i="2"/>
  <c r="DA9" i="2" s="1"/>
  <c r="CU45" i="9"/>
  <c r="CU49" i="9"/>
  <c r="CU38" i="9"/>
  <c r="CU51" i="9"/>
  <c r="CU42" i="9"/>
  <c r="CV10" i="9"/>
  <c r="CV11" i="9"/>
  <c r="CV13" i="9"/>
  <c r="CW16" i="9"/>
  <c r="CV12" i="9"/>
  <c r="CV44" i="9" l="1"/>
  <c r="CV43" i="9"/>
  <c r="CW15" i="9"/>
  <c r="CW19" i="9"/>
  <c r="CW18" i="9"/>
  <c r="CV37" i="9"/>
  <c r="CV41" i="9"/>
  <c r="CT33" i="9"/>
  <c r="CV25" i="9"/>
  <c r="CV22" i="9"/>
  <c r="CV24" i="9"/>
  <c r="CV32" i="9" s="1"/>
  <c r="CV23" i="9"/>
  <c r="BC31" i="9"/>
  <c r="BC29" i="9"/>
  <c r="BC30" i="9"/>
  <c r="BC28" i="9"/>
  <c r="CU26" i="9"/>
  <c r="CU27" i="9" s="1"/>
  <c r="CY14" i="9"/>
  <c r="CY124" i="3"/>
  <c r="CZ58" i="3"/>
  <c r="CZ40" i="3" s="1"/>
  <c r="CZ63" i="3"/>
  <c r="CZ80" i="3"/>
  <c r="CZ51" i="3" s="1"/>
  <c r="CZ65" i="3"/>
  <c r="DA4" i="3"/>
  <c r="CZ3" i="3"/>
  <c r="CZ45" i="3"/>
  <c r="CZ5" i="3"/>
  <c r="CZ21" i="3"/>
  <c r="CZ16" i="3"/>
  <c r="CZ22" i="3"/>
  <c r="CZ114" i="3" a="1"/>
  <c r="CZ114" i="3" s="1"/>
  <c r="CZ18" i="3"/>
  <c r="CZ17" i="3"/>
  <c r="CZ32" i="3"/>
  <c r="CZ20" i="3"/>
  <c r="CZ64" i="3"/>
  <c r="CZ84" i="3"/>
  <c r="CZ66" i="3" s="1"/>
  <c r="CZ2" i="3"/>
  <c r="CY76" i="3"/>
  <c r="BC39" i="9"/>
  <c r="CS39" i="3"/>
  <c r="CV47" i="9"/>
  <c r="CV46" i="9"/>
  <c r="DA8" i="7"/>
  <c r="DA8" i="11"/>
  <c r="CT38" i="3"/>
  <c r="DA16" i="6"/>
  <c r="DA17" i="6"/>
  <c r="DA18" i="6"/>
  <c r="DA15" i="7"/>
  <c r="DA11" i="7"/>
  <c r="DA13" i="7"/>
  <c r="DA12" i="7"/>
  <c r="BB50" i="9"/>
  <c r="BB58" i="9"/>
  <c r="BB59" i="9" s="1"/>
  <c r="BD17" i="9"/>
  <c r="BC40" i="9"/>
  <c r="CV24" i="3" a="1"/>
  <c r="CV24" i="3" s="1"/>
  <c r="CW61" i="9" a="1"/>
  <c r="CW61" i="9" s="1"/>
  <c r="CK62" i="9" s="1"/>
  <c r="DA11" i="2"/>
  <c r="DA15" i="6"/>
  <c r="DA14" i="6"/>
  <c r="DA14" i="7"/>
  <c r="CU10" i="3"/>
  <c r="CU33" i="3" s="1"/>
  <c r="CV8" i="3" a="1"/>
  <c r="CV8" i="3" s="1"/>
  <c r="CV6" i="3" a="1"/>
  <c r="CV6" i="3" s="1"/>
  <c r="CV9" i="3" a="1"/>
  <c r="CV9" i="3" s="1"/>
  <c r="CZ12" i="11"/>
  <c r="CW8" i="3" s="1" a="1"/>
  <c r="CW8" i="3" s="1"/>
  <c r="CZ12" i="2"/>
  <c r="CW7" i="3" s="1" a="1"/>
  <c r="CW7" i="3" s="1"/>
  <c r="CZ19" i="6"/>
  <c r="CW6" i="3" s="1" a="1"/>
  <c r="CW6" i="3" s="1"/>
  <c r="DA7" i="6"/>
  <c r="DA12" i="6"/>
  <c r="DA6" i="2"/>
  <c r="DA7" i="2"/>
  <c r="DA5" i="2"/>
  <c r="DA10" i="2"/>
  <c r="DA10" i="11"/>
  <c r="CV65" i="9"/>
  <c r="CV25" i="3" s="1" a="1"/>
  <c r="CV25" i="3" s="1"/>
  <c r="DA5" i="11"/>
  <c r="DA5" i="6"/>
  <c r="DA13" i="6"/>
  <c r="DA11" i="6"/>
  <c r="DA6" i="6"/>
  <c r="DA10" i="6"/>
  <c r="DA9" i="6"/>
  <c r="DB4" i="11"/>
  <c r="DB4" i="7"/>
  <c r="DB9" i="7" s="1"/>
  <c r="DB4" i="6"/>
  <c r="DB8" i="6" s="1"/>
  <c r="DB4" i="2"/>
  <c r="DB9" i="2" s="1"/>
  <c r="CZ16" i="7"/>
  <c r="CW9" i="3" s="1" a="1"/>
  <c r="CW9" i="3" s="1"/>
  <c r="DA8" i="2"/>
  <c r="DA11" i="11"/>
  <c r="DA7" i="11"/>
  <c r="DA6" i="11"/>
  <c r="DA9" i="11"/>
  <c r="DA5" i="7"/>
  <c r="DA10" i="7"/>
  <c r="DA7" i="7"/>
  <c r="DA6" i="7"/>
  <c r="CW13" i="9"/>
  <c r="CW12" i="9"/>
  <c r="CW10" i="9"/>
  <c r="CW11" i="9"/>
  <c r="CX16" i="9"/>
  <c r="CV38" i="9"/>
  <c r="CV42" i="9"/>
  <c r="CV49" i="9"/>
  <c r="CV51" i="9"/>
  <c r="CV45" i="9"/>
  <c r="CW44" i="9" l="1"/>
  <c r="CW43" i="9"/>
  <c r="CX15" i="9"/>
  <c r="CX19" i="9"/>
  <c r="CX18" i="9"/>
  <c r="CW37" i="9"/>
  <c r="CW41" i="9"/>
  <c r="CU33" i="9"/>
  <c r="CW25" i="9"/>
  <c r="CW23" i="9"/>
  <c r="CW22" i="9"/>
  <c r="CW24" i="9"/>
  <c r="CW32" i="9" s="1"/>
  <c r="CV26" i="9"/>
  <c r="CV27" i="9" s="1"/>
  <c r="BC34" i="9"/>
  <c r="CY104" i="3"/>
  <c r="CY97" i="3"/>
  <c r="CZ14" i="9"/>
  <c r="CZ124" i="3"/>
  <c r="CW24" i="3" a="1"/>
  <c r="CW24" i="3" s="1"/>
  <c r="DA17" i="3"/>
  <c r="DA80" i="3"/>
  <c r="DA51" i="3" s="1"/>
  <c r="DA63" i="3"/>
  <c r="DA3" i="3"/>
  <c r="DA18" i="3"/>
  <c r="DA58" i="3"/>
  <c r="DA40" i="3" s="1"/>
  <c r="DA5" i="3"/>
  <c r="DB4" i="3"/>
  <c r="DA114" i="3" a="1"/>
  <c r="DA114" i="3" s="1"/>
  <c r="DA16" i="3"/>
  <c r="DA45" i="3"/>
  <c r="DA65" i="3"/>
  <c r="DA21" i="3"/>
  <c r="DA22" i="3"/>
  <c r="DA32" i="3" s="1"/>
  <c r="DA20" i="3"/>
  <c r="DA64" i="3"/>
  <c r="DA84" i="3"/>
  <c r="DA66" i="3" s="1"/>
  <c r="DA2" i="3"/>
  <c r="CZ76" i="3"/>
  <c r="CW10" i="3"/>
  <c r="CW33" i="3" s="1"/>
  <c r="CT39" i="3"/>
  <c r="CW47" i="9"/>
  <c r="CW46" i="9"/>
  <c r="DB8" i="7"/>
  <c r="DB8" i="11"/>
  <c r="CU38" i="3"/>
  <c r="DB16" i="6"/>
  <c r="DB17" i="6"/>
  <c r="DB18" i="6"/>
  <c r="DB15" i="7"/>
  <c r="DB11" i="7"/>
  <c r="DB12" i="7"/>
  <c r="DB13" i="7"/>
  <c r="BD20" i="9"/>
  <c r="CV26" i="3"/>
  <c r="CX61" i="9" a="1"/>
  <c r="CX61" i="9" s="1"/>
  <c r="CX24" i="3" s="1" a="1"/>
  <c r="CX24" i="3" s="1"/>
  <c r="DB11" i="2"/>
  <c r="DB14" i="6"/>
  <c r="DB15" i="6"/>
  <c r="DB14" i="7"/>
  <c r="CV10" i="3"/>
  <c r="CV33" i="3" s="1"/>
  <c r="DA12" i="11"/>
  <c r="CX8" i="3" s="1" a="1"/>
  <c r="CX8" i="3" s="1"/>
  <c r="DA12" i="2"/>
  <c r="CX7" i="3" s="1" a="1"/>
  <c r="CX7" i="3" s="1"/>
  <c r="DA19" i="6"/>
  <c r="CX6" i="3" s="1" a="1"/>
  <c r="CX6" i="3" s="1"/>
  <c r="DB7" i="6"/>
  <c r="DB12" i="6"/>
  <c r="DB7" i="2"/>
  <c r="DB6" i="2"/>
  <c r="DB5" i="2"/>
  <c r="DB10" i="2"/>
  <c r="DB10" i="11"/>
  <c r="CW65" i="9"/>
  <c r="CW25" i="3" s="1" a="1"/>
  <c r="CW25" i="3" s="1"/>
  <c r="DB5" i="11"/>
  <c r="DB11" i="6"/>
  <c r="DB9" i="6"/>
  <c r="DB6" i="6"/>
  <c r="DB5" i="6"/>
  <c r="DB10" i="6"/>
  <c r="DB13" i="6"/>
  <c r="DC4" i="11"/>
  <c r="DC4" i="7"/>
  <c r="DC9" i="7" s="1"/>
  <c r="DC4" i="6"/>
  <c r="DC8" i="6" s="1"/>
  <c r="DC4" i="2"/>
  <c r="DC9" i="2" s="1"/>
  <c r="DB5" i="7"/>
  <c r="DB10" i="7"/>
  <c r="DB7" i="7"/>
  <c r="DB6" i="7"/>
  <c r="DB9" i="11"/>
  <c r="DB11" i="11"/>
  <c r="DB6" i="11"/>
  <c r="DB7" i="11"/>
  <c r="DA16" i="7"/>
  <c r="CX9" i="3" s="1" a="1"/>
  <c r="CX9" i="3" s="1"/>
  <c r="DB8" i="2"/>
  <c r="CW51" i="9"/>
  <c r="CW38" i="9"/>
  <c r="CW45" i="9"/>
  <c r="CW49" i="9"/>
  <c r="CW42" i="9"/>
  <c r="CX12" i="9"/>
  <c r="CY16" i="9"/>
  <c r="CX10" i="9"/>
  <c r="CX11" i="9"/>
  <c r="CX13" i="9"/>
  <c r="CX44" i="9" l="1"/>
  <c r="CX43" i="9"/>
  <c r="CY19" i="9"/>
  <c r="CY18" i="9"/>
  <c r="CW26" i="3"/>
  <c r="CX37" i="9"/>
  <c r="CX41" i="9"/>
  <c r="CV33" i="9"/>
  <c r="CW26" i="9"/>
  <c r="CW27" i="9" s="1"/>
  <c r="CX25" i="9"/>
  <c r="CX24" i="9"/>
  <c r="CX32" i="9" s="1"/>
  <c r="CX22" i="9"/>
  <c r="CX23" i="9"/>
  <c r="BD31" i="9"/>
  <c r="BD29" i="9"/>
  <c r="BD30" i="9"/>
  <c r="BD28" i="9"/>
  <c r="CZ16" i="9"/>
  <c r="CY15" i="9"/>
  <c r="CZ104" i="3"/>
  <c r="CZ97" i="3"/>
  <c r="DA14" i="9"/>
  <c r="DA124" i="3"/>
  <c r="DB2" i="3"/>
  <c r="DB124" i="3" s="1"/>
  <c r="DA76" i="3"/>
  <c r="DC4" i="3"/>
  <c r="DB65" i="3"/>
  <c r="DB21" i="3"/>
  <c r="DB80" i="3"/>
  <c r="DB51" i="3" s="1"/>
  <c r="DB3" i="3"/>
  <c r="DB22" i="3"/>
  <c r="DB45" i="3"/>
  <c r="DB5" i="3"/>
  <c r="DB32" i="3"/>
  <c r="DB58" i="3"/>
  <c r="DB40" i="3" s="1"/>
  <c r="DB16" i="3"/>
  <c r="DB20" i="3"/>
  <c r="DB17" i="3"/>
  <c r="DB63" i="3"/>
  <c r="DB18" i="3"/>
  <c r="DB114" i="3" a="1"/>
  <c r="DB114" i="3" s="1"/>
  <c r="DB84" i="3"/>
  <c r="DB66" i="3" s="1"/>
  <c r="DB64" i="3"/>
  <c r="CX10" i="3"/>
  <c r="CX33" i="3" s="1"/>
  <c r="CW38" i="3"/>
  <c r="BD39" i="9"/>
  <c r="CU39" i="3"/>
  <c r="CX47" i="9"/>
  <c r="CX46" i="9"/>
  <c r="DC8" i="7"/>
  <c r="DC8" i="11"/>
  <c r="CV38" i="3"/>
  <c r="DC16" i="6"/>
  <c r="DC17" i="6"/>
  <c r="DC18" i="6"/>
  <c r="DC15" i="7"/>
  <c r="DC13" i="7"/>
  <c r="DC11" i="7"/>
  <c r="DC12" i="7"/>
  <c r="BC50" i="9"/>
  <c r="BC58" i="9"/>
  <c r="BC59" i="9" s="1"/>
  <c r="BE17" i="9"/>
  <c r="BD40" i="9"/>
  <c r="CL62" i="9"/>
  <c r="CY61" i="9" a="1"/>
  <c r="CY61" i="9" s="1"/>
  <c r="CY24" i="3" s="1" a="1"/>
  <c r="CY24" i="3" s="1"/>
  <c r="DC11" i="2"/>
  <c r="DC15" i="6"/>
  <c r="DC14" i="6"/>
  <c r="DC14" i="7"/>
  <c r="DB12" i="2"/>
  <c r="CY7" i="3" s="1" a="1"/>
  <c r="CY7" i="3" s="1"/>
  <c r="DB12" i="11"/>
  <c r="CY8" i="3" s="1" a="1"/>
  <c r="CY8" i="3" s="1"/>
  <c r="DB19" i="6"/>
  <c r="CY6" i="3" s="1" a="1"/>
  <c r="CY6" i="3" s="1"/>
  <c r="DC7" i="6"/>
  <c r="DC12" i="6"/>
  <c r="DC7" i="2"/>
  <c r="DC6" i="2"/>
  <c r="DC5" i="2"/>
  <c r="DC10" i="2"/>
  <c r="DC10" i="11"/>
  <c r="CX65" i="9"/>
  <c r="CX25" i="3" s="1" a="1"/>
  <c r="CX25" i="3" s="1"/>
  <c r="CX26" i="3" s="1"/>
  <c r="DC5" i="11"/>
  <c r="DD4" i="7"/>
  <c r="DD9" i="7" s="1"/>
  <c r="DD4" i="6"/>
  <c r="DD8" i="6" s="1"/>
  <c r="DD4" i="11"/>
  <c r="DD4" i="2"/>
  <c r="DD9" i="2" s="1"/>
  <c r="DC11" i="6"/>
  <c r="DC9" i="6"/>
  <c r="DC13" i="6"/>
  <c r="DC6" i="6"/>
  <c r="DC5" i="6"/>
  <c r="DC10" i="6"/>
  <c r="DC6" i="11"/>
  <c r="DC9" i="11"/>
  <c r="DC11" i="11"/>
  <c r="DC7" i="11"/>
  <c r="DB16" i="7"/>
  <c r="CY9" i="3" s="1" a="1"/>
  <c r="CY9" i="3" s="1"/>
  <c r="DC8" i="2"/>
  <c r="DC7" i="7"/>
  <c r="DC5" i="7"/>
  <c r="DC6" i="7"/>
  <c r="DC10" i="7"/>
  <c r="CY11" i="9"/>
  <c r="CY10" i="9"/>
  <c r="CY12" i="9"/>
  <c r="CY13" i="9"/>
  <c r="CX49" i="9"/>
  <c r="CX38" i="9"/>
  <c r="CX51" i="9"/>
  <c r="CX42" i="9"/>
  <c r="CX45" i="9"/>
  <c r="CY44" i="9" l="1"/>
  <c r="CY43" i="9"/>
  <c r="CZ15" i="9"/>
  <c r="CZ18" i="9"/>
  <c r="CZ19" i="9"/>
  <c r="CZ11" i="9"/>
  <c r="CZ12" i="9"/>
  <c r="DA16" i="9"/>
  <c r="DA11" i="9" s="1"/>
  <c r="CZ61" i="9" a="1"/>
  <c r="CZ61" i="9" s="1"/>
  <c r="CZ24" i="3" s="1" a="1"/>
  <c r="CZ24" i="3" s="1"/>
  <c r="G22" i="31"/>
  <c r="H22" i="31"/>
  <c r="I22" i="31"/>
  <c r="J22" i="31"/>
  <c r="K22" i="31"/>
  <c r="CY37" i="9"/>
  <c r="CY41" i="9"/>
  <c r="CZ13" i="9"/>
  <c r="CZ10" i="9"/>
  <c r="CZ22" i="9" s="1"/>
  <c r="CX26" i="9"/>
  <c r="CX27" i="9" s="1"/>
  <c r="CY25" i="9"/>
  <c r="CY24" i="9"/>
  <c r="CY32" i="9" s="1"/>
  <c r="CY23" i="9"/>
  <c r="CY22" i="9"/>
  <c r="BD34" i="9"/>
  <c r="CW33" i="9"/>
  <c r="DA104" i="3"/>
  <c r="DA97" i="3"/>
  <c r="DB104" i="3"/>
  <c r="DB97" i="3"/>
  <c r="DB14" i="9"/>
  <c r="CZ38" i="9"/>
  <c r="CZ46" i="9"/>
  <c r="CZ47" i="9"/>
  <c r="DC3" i="3"/>
  <c r="DC58" i="3"/>
  <c r="DC40" i="3" s="1"/>
  <c r="DC5" i="3"/>
  <c r="DC63" i="3"/>
  <c r="DD4" i="3"/>
  <c r="DC114" i="3" a="1"/>
  <c r="DC114" i="3" s="1"/>
  <c r="DC80" i="3"/>
  <c r="DC51" i="3" s="1"/>
  <c r="DC45" i="3"/>
  <c r="DC84" i="3"/>
  <c r="DC66" i="3" s="1"/>
  <c r="DC64" i="3"/>
  <c r="DC2" i="3"/>
  <c r="DC124" i="3" s="1"/>
  <c r="DB76" i="3"/>
  <c r="CY10" i="3"/>
  <c r="CY33" i="3" s="1"/>
  <c r="CX38" i="3"/>
  <c r="CW39" i="3"/>
  <c r="CV39" i="3"/>
  <c r="CY47" i="9"/>
  <c r="CY46" i="9"/>
  <c r="DD8" i="7"/>
  <c r="DD8" i="11"/>
  <c r="DD16" i="6"/>
  <c r="DD17" i="6"/>
  <c r="DD18" i="6"/>
  <c r="DD15" i="7"/>
  <c r="DD12" i="7"/>
  <c r="DD13" i="7"/>
  <c r="DD11" i="7"/>
  <c r="CM62" i="9"/>
  <c r="BE20" i="9"/>
  <c r="I24" i="3" a="1"/>
  <c r="I24" i="3" s="1"/>
  <c r="J24" i="3" a="1"/>
  <c r="J24" i="3" s="1"/>
  <c r="H25" i="3" a="1"/>
  <c r="H25" i="3" s="1"/>
  <c r="H24" i="3" a="1"/>
  <c r="H24" i="3" s="1"/>
  <c r="I25" i="3" a="1"/>
  <c r="I25" i="3" s="1"/>
  <c r="K24" i="3" a="1"/>
  <c r="K24" i="3" s="1"/>
  <c r="J25" i="3" a="1"/>
  <c r="J25" i="3" s="1"/>
  <c r="K25" i="3" a="1"/>
  <c r="K25" i="3" s="1"/>
  <c r="L25" i="3" a="1"/>
  <c r="L25" i="3" s="1"/>
  <c r="L24" i="3" a="1"/>
  <c r="L24" i="3" s="1"/>
  <c r="M24" i="3" a="1"/>
  <c r="M24" i="3" s="1"/>
  <c r="M25" i="3" a="1"/>
  <c r="M25" i="3" s="1"/>
  <c r="N24" i="3" a="1"/>
  <c r="N24" i="3" s="1"/>
  <c r="N25" i="3" a="1"/>
  <c r="N25" i="3" s="1"/>
  <c r="O25" i="3" a="1"/>
  <c r="O25" i="3" s="1"/>
  <c r="O24" i="3" a="1"/>
  <c r="O24" i="3" s="1"/>
  <c r="P25" i="3" a="1"/>
  <c r="P25" i="3" s="1"/>
  <c r="P24" i="3" a="1"/>
  <c r="P24" i="3" s="1"/>
  <c r="DD11" i="2"/>
  <c r="DD14" i="6"/>
  <c r="DD15" i="6"/>
  <c r="DD14" i="7"/>
  <c r="H113" i="3" a="1"/>
  <c r="H113" i="3" s="1"/>
  <c r="H115" i="3" s="1"/>
  <c r="H116" i="3" s="1"/>
  <c r="U113" i="3" a="1"/>
  <c r="U113" i="3" s="1"/>
  <c r="U115" i="3" s="1"/>
  <c r="U116" i="3" s="1"/>
  <c r="O113" i="3" a="1"/>
  <c r="O113" i="3" s="1"/>
  <c r="O115" i="3" s="1"/>
  <c r="O116" i="3" s="1"/>
  <c r="AL113" i="3" a="1"/>
  <c r="AL113" i="3" s="1"/>
  <c r="AL115" i="3" s="1"/>
  <c r="AL116" i="3" s="1"/>
  <c r="R113" i="3" a="1"/>
  <c r="R113" i="3" s="1"/>
  <c r="R115" i="3" s="1"/>
  <c r="R116" i="3" s="1"/>
  <c r="AJ113" i="3" a="1"/>
  <c r="AJ113" i="3" s="1"/>
  <c r="AJ115" i="3" s="1"/>
  <c r="AJ116" i="3" s="1"/>
  <c r="AO113" i="3" a="1"/>
  <c r="AO113" i="3" s="1"/>
  <c r="AO115" i="3" s="1"/>
  <c r="AO116" i="3" s="1"/>
  <c r="X113" i="3" a="1"/>
  <c r="X113" i="3" s="1"/>
  <c r="X115" i="3" s="1"/>
  <c r="X116" i="3" s="1"/>
  <c r="BC113" i="3" a="1"/>
  <c r="BC113" i="3" s="1"/>
  <c r="BC115" i="3" s="1"/>
  <c r="BC116" i="3" s="1"/>
  <c r="AU113" i="3" a="1"/>
  <c r="AU113" i="3" s="1"/>
  <c r="AU115" i="3" s="1"/>
  <c r="AU116" i="3" s="1"/>
  <c r="AR113" i="3" a="1"/>
  <c r="AR113" i="3" s="1"/>
  <c r="AR115" i="3" s="1"/>
  <c r="AR116" i="3" s="1"/>
  <c r="I113" i="3" a="1"/>
  <c r="I113" i="3" s="1"/>
  <c r="I115" i="3" s="1"/>
  <c r="I116" i="3" s="1"/>
  <c r="AQ113" i="3" a="1"/>
  <c r="AQ113" i="3" s="1"/>
  <c r="AQ115" i="3" s="1"/>
  <c r="AQ116" i="3" s="1"/>
  <c r="L113" i="3" a="1"/>
  <c r="L113" i="3" s="1"/>
  <c r="L115" i="3" s="1"/>
  <c r="L116" i="3" s="1"/>
  <c r="AE113" i="3" a="1"/>
  <c r="AE113" i="3" s="1"/>
  <c r="AE115" i="3" s="1"/>
  <c r="AE116" i="3" s="1"/>
  <c r="AP113" i="3" a="1"/>
  <c r="AP113" i="3" s="1"/>
  <c r="AP115" i="3" s="1"/>
  <c r="AP116" i="3" s="1"/>
  <c r="AA113" i="3" a="1"/>
  <c r="AA113" i="3" s="1"/>
  <c r="AA115" i="3" s="1"/>
  <c r="AA116" i="3" s="1"/>
  <c r="N113" i="3" a="1"/>
  <c r="N113" i="3" s="1"/>
  <c r="N115" i="3" s="1"/>
  <c r="N116" i="3" s="1"/>
  <c r="AV113" i="3" a="1"/>
  <c r="AV113" i="3" s="1"/>
  <c r="AV115" i="3" s="1"/>
  <c r="AV116" i="3" s="1"/>
  <c r="AI113" i="3" a="1"/>
  <c r="AI113" i="3" s="1"/>
  <c r="AI115" i="3" s="1"/>
  <c r="AI116" i="3" s="1"/>
  <c r="AM113" i="3" a="1"/>
  <c r="AM113" i="3" s="1"/>
  <c r="AM115" i="3" s="1"/>
  <c r="AM116" i="3" s="1"/>
  <c r="AD113" i="3" a="1"/>
  <c r="AD113" i="3" s="1"/>
  <c r="AD115" i="3" s="1"/>
  <c r="AD116" i="3" s="1"/>
  <c r="S113" i="3" a="1"/>
  <c r="S113" i="3" s="1"/>
  <c r="S115" i="3" s="1"/>
  <c r="S116" i="3" s="1"/>
  <c r="AB113" i="3" a="1"/>
  <c r="AB113" i="3" s="1"/>
  <c r="AB115" i="3" s="1"/>
  <c r="AB116" i="3" s="1"/>
  <c r="AF113" i="3" a="1"/>
  <c r="AF113" i="3" s="1"/>
  <c r="AF115" i="3" s="1"/>
  <c r="AF116" i="3" s="1"/>
  <c r="K113" i="3" a="1"/>
  <c r="K113" i="3" s="1"/>
  <c r="K115" i="3" s="1"/>
  <c r="K116" i="3" s="1"/>
  <c r="T113" i="3" a="1"/>
  <c r="T113" i="3" s="1"/>
  <c r="T115" i="3" s="1"/>
  <c r="T116" i="3" s="1"/>
  <c r="V113" i="3" a="1"/>
  <c r="V113" i="3" s="1"/>
  <c r="V115" i="3" s="1"/>
  <c r="V116" i="3" s="1"/>
  <c r="AK113" i="3" a="1"/>
  <c r="AK113" i="3" s="1"/>
  <c r="AK115" i="3" s="1"/>
  <c r="AK116" i="3" s="1"/>
  <c r="AT113" i="3" a="1"/>
  <c r="AT113" i="3" s="1"/>
  <c r="AT115" i="3" s="1"/>
  <c r="AT116" i="3" s="1"/>
  <c r="AC113" i="3" a="1"/>
  <c r="AC113" i="3" s="1"/>
  <c r="AC115" i="3" s="1"/>
  <c r="AC116" i="3" s="1"/>
  <c r="AN113" i="3" a="1"/>
  <c r="AN113" i="3" s="1"/>
  <c r="AN115" i="3" s="1"/>
  <c r="AN116" i="3" s="1"/>
  <c r="J113" i="3" a="1"/>
  <c r="J113" i="3" s="1"/>
  <c r="J115" i="3" s="1"/>
  <c r="J116" i="3" s="1"/>
  <c r="AH113" i="3" a="1"/>
  <c r="AH113" i="3" s="1"/>
  <c r="AH115" i="3" s="1"/>
  <c r="AH116" i="3" s="1"/>
  <c r="AG113" i="3" a="1"/>
  <c r="AG113" i="3" s="1"/>
  <c r="AG115" i="3" s="1"/>
  <c r="AG116" i="3" s="1"/>
  <c r="W113" i="3" a="1"/>
  <c r="W113" i="3" s="1"/>
  <c r="W115" i="3" s="1"/>
  <c r="W116" i="3" s="1"/>
  <c r="M113" i="3" a="1"/>
  <c r="M113" i="3" s="1"/>
  <c r="M115" i="3" s="1"/>
  <c r="M116" i="3" s="1"/>
  <c r="AS113" i="3" a="1"/>
  <c r="AS113" i="3" s="1"/>
  <c r="AS115" i="3" s="1"/>
  <c r="AS116" i="3" s="1"/>
  <c r="Y113" i="3" a="1"/>
  <c r="Y113" i="3" s="1"/>
  <c r="Y115" i="3" s="1"/>
  <c r="Y116" i="3" s="1"/>
  <c r="Z113" i="3" a="1"/>
  <c r="Z113" i="3" s="1"/>
  <c r="Z115" i="3" s="1"/>
  <c r="Z116" i="3" s="1"/>
  <c r="P113" i="3" a="1"/>
  <c r="P113" i="3" s="1"/>
  <c r="P115" i="3" s="1"/>
  <c r="P116" i="3" s="1"/>
  <c r="Q113" i="3" a="1"/>
  <c r="Q113" i="3" s="1"/>
  <c r="Q115" i="3" s="1"/>
  <c r="Q116" i="3" s="1"/>
  <c r="DC12" i="11"/>
  <c r="DC12" i="2"/>
  <c r="DC19" i="6"/>
  <c r="DD7" i="6"/>
  <c r="DD12" i="6"/>
  <c r="DD7" i="2"/>
  <c r="DD6" i="2"/>
  <c r="DD5" i="2"/>
  <c r="DD10" i="2"/>
  <c r="AF29" i="3" a="1"/>
  <c r="AF29" i="3" s="1"/>
  <c r="AG29" i="3" a="1"/>
  <c r="AG29" i="3" s="1"/>
  <c r="AH29" i="3" a="1"/>
  <c r="AH29" i="3" s="1"/>
  <c r="AI29" i="3" a="1"/>
  <c r="AI29" i="3" s="1"/>
  <c r="AJ29" i="3" a="1"/>
  <c r="AJ29" i="3" s="1"/>
  <c r="DD10" i="11"/>
  <c r="CY65" i="9"/>
  <c r="CY25" i="3" s="1" a="1"/>
  <c r="CY25" i="3" s="1"/>
  <c r="CY26" i="3" s="1"/>
  <c r="DD5" i="11"/>
  <c r="DD6" i="7"/>
  <c r="DD5" i="7"/>
  <c r="DD10" i="7"/>
  <c r="DD7" i="7"/>
  <c r="DD8" i="2"/>
  <c r="DD5" i="6"/>
  <c r="DD13" i="6"/>
  <c r="DD10" i="6"/>
  <c r="DD11" i="6"/>
  <c r="DD9" i="6"/>
  <c r="DD6" i="6"/>
  <c r="DE4" i="11"/>
  <c r="DE4" i="7"/>
  <c r="DE9" i="7" s="1"/>
  <c r="DE4" i="6"/>
  <c r="DE8" i="6" s="1"/>
  <c r="DE4" i="2"/>
  <c r="DE9" i="2" s="1"/>
  <c r="DD9" i="11"/>
  <c r="DD11" i="11"/>
  <c r="DD7" i="11"/>
  <c r="DD6" i="11"/>
  <c r="DC16" i="7"/>
  <c r="AY29" i="3" a="1"/>
  <c r="AY29" i="3" s="1"/>
  <c r="BA29" i="3" a="1"/>
  <c r="BA29" i="3" s="1"/>
  <c r="Y29" i="3" a="1"/>
  <c r="Y29" i="3" s="1"/>
  <c r="AL29" i="3" a="1"/>
  <c r="AL29" i="3" s="1"/>
  <c r="S29" i="3" a="1"/>
  <c r="S29" i="3" s="1"/>
  <c r="M29" i="3" a="1"/>
  <c r="M29" i="3" s="1"/>
  <c r="AQ29" i="3" a="1"/>
  <c r="AQ29" i="3" s="1"/>
  <c r="V29" i="3" a="1"/>
  <c r="V29" i="3" s="1"/>
  <c r="AC29" i="3" a="1"/>
  <c r="AC29" i="3" s="1"/>
  <c r="Q29" i="3" a="1"/>
  <c r="Q29" i="3" s="1"/>
  <c r="AO29" i="3" a="1"/>
  <c r="AO29" i="3" s="1"/>
  <c r="AR29" i="3" a="1"/>
  <c r="AR29" i="3" s="1"/>
  <c r="K29" i="3" a="1"/>
  <c r="K29" i="3" s="1"/>
  <c r="X29" i="3" a="1"/>
  <c r="X29" i="3" s="1"/>
  <c r="AM29" i="3" a="1"/>
  <c r="AM29" i="3" s="1"/>
  <c r="AP29" i="3" a="1"/>
  <c r="AP29" i="3" s="1"/>
  <c r="AA29" i="3" a="1"/>
  <c r="AA29" i="3" s="1"/>
  <c r="AZ29" i="3" a="1"/>
  <c r="AZ29" i="3" s="1"/>
  <c r="T29" i="3" a="1"/>
  <c r="T29" i="3" s="1"/>
  <c r="AK29" i="3" a="1"/>
  <c r="AK29" i="3" s="1"/>
  <c r="H29" i="3" a="1"/>
  <c r="H29" i="3" s="1"/>
  <c r="J29" i="3" a="1"/>
  <c r="J29" i="3" s="1"/>
  <c r="BC29" i="3" a="1"/>
  <c r="BC29" i="3" s="1"/>
  <c r="P29" i="3" a="1"/>
  <c r="P29" i="3" s="1"/>
  <c r="I29" i="3" a="1"/>
  <c r="I29" i="3" s="1"/>
  <c r="W29" i="3" a="1"/>
  <c r="W29" i="3" s="1"/>
  <c r="AT29" i="3" a="1"/>
  <c r="AT29" i="3" s="1"/>
  <c r="AX29" i="3" a="1"/>
  <c r="AX29" i="3" s="1"/>
  <c r="R29" i="3" a="1"/>
  <c r="R29" i="3" s="1"/>
  <c r="AN29" i="3" a="1"/>
  <c r="AN29" i="3" s="1"/>
  <c r="AV29" i="3" a="1"/>
  <c r="AV29" i="3" s="1"/>
  <c r="AW29" i="3" a="1"/>
  <c r="AW29" i="3" s="1"/>
  <c r="N29" i="3" a="1"/>
  <c r="N29" i="3" s="1"/>
  <c r="BB29" i="3" a="1"/>
  <c r="BB29" i="3" s="1"/>
  <c r="Z29" i="3" a="1"/>
  <c r="Z29" i="3" s="1"/>
  <c r="L29" i="3" a="1"/>
  <c r="L29" i="3" s="1"/>
  <c r="U29" i="3" a="1"/>
  <c r="U29" i="3" s="1"/>
  <c r="AS29" i="3" a="1"/>
  <c r="AS29" i="3" s="1"/>
  <c r="O29" i="3" a="1"/>
  <c r="O29" i="3" s="1"/>
  <c r="AD29" i="3" a="1"/>
  <c r="AD29" i="3" s="1"/>
  <c r="AB29" i="3" a="1"/>
  <c r="AB29" i="3" s="1"/>
  <c r="AU29" i="3" a="1"/>
  <c r="AU29" i="3" s="1"/>
  <c r="AE29" i="3" a="1"/>
  <c r="AE29" i="3" s="1"/>
  <c r="CY51" i="9"/>
  <c r="CY49" i="9"/>
  <c r="CY42" i="9"/>
  <c r="CY45" i="9"/>
  <c r="CY38" i="9"/>
  <c r="DC14" i="9"/>
  <c r="CZ49" i="9" l="1"/>
  <c r="CZ43" i="9"/>
  <c r="DA12" i="9"/>
  <c r="DA43" i="9" s="1"/>
  <c r="DA10" i="9"/>
  <c r="CZ51" i="9"/>
  <c r="CZ45" i="9"/>
  <c r="DB16" i="9"/>
  <c r="DB15" i="9" s="1"/>
  <c r="DA13" i="9"/>
  <c r="CZ37" i="9"/>
  <c r="CZ42" i="9"/>
  <c r="DA61" i="9" a="1"/>
  <c r="DA61" i="9" s="1"/>
  <c r="CZ24" i="9"/>
  <c r="CZ32" i="9" s="1"/>
  <c r="CZ23" i="9"/>
  <c r="CZ26" i="9" s="1"/>
  <c r="CZ25" i="9"/>
  <c r="DA15" i="9"/>
  <c r="DA18" i="9"/>
  <c r="DA24" i="9" s="1"/>
  <c r="DA32" i="9" s="1"/>
  <c r="DA19" i="9"/>
  <c r="DA25" i="9" s="1"/>
  <c r="CZ41" i="9"/>
  <c r="CZ44" i="9"/>
  <c r="G25" i="31" s="1"/>
  <c r="DB18" i="9"/>
  <c r="DB19" i="9"/>
  <c r="CZ65" i="9"/>
  <c r="CZ25" i="3" s="1" a="1"/>
  <c r="CZ25" i="3" s="1"/>
  <c r="CZ26" i="3" s="1"/>
  <c r="J25" i="31"/>
  <c r="H25" i="31"/>
  <c r="I25" i="31"/>
  <c r="K25" i="31"/>
  <c r="CY26" i="9"/>
  <c r="CY27" i="9" s="1"/>
  <c r="DA22" i="9"/>
  <c r="G9" i="31"/>
  <c r="H9" i="31"/>
  <c r="I9" i="31"/>
  <c r="J9" i="31"/>
  <c r="K9" i="31"/>
  <c r="BE31" i="9"/>
  <c r="BE29" i="9"/>
  <c r="BE30" i="9"/>
  <c r="BE28" i="9"/>
  <c r="G6" i="31"/>
  <c r="H6" i="31"/>
  <c r="I6" i="31"/>
  <c r="J6" i="31"/>
  <c r="K6" i="31"/>
  <c r="CX33" i="9"/>
  <c r="G19" i="31"/>
  <c r="H19" i="31"/>
  <c r="I19" i="31"/>
  <c r="J19" i="31"/>
  <c r="K19" i="31"/>
  <c r="G30" i="31"/>
  <c r="H30" i="31"/>
  <c r="I30" i="31"/>
  <c r="J30" i="31"/>
  <c r="K30" i="31"/>
  <c r="G32" i="31"/>
  <c r="H32" i="31"/>
  <c r="I32" i="31"/>
  <c r="J32" i="31"/>
  <c r="K32" i="31"/>
  <c r="G26" i="31"/>
  <c r="H26" i="31"/>
  <c r="I26" i="31"/>
  <c r="J26" i="31"/>
  <c r="K26" i="31"/>
  <c r="G18" i="31"/>
  <c r="H18" i="31"/>
  <c r="I18" i="31"/>
  <c r="J18" i="31"/>
  <c r="K18" i="31"/>
  <c r="G23" i="31"/>
  <c r="H23" i="31"/>
  <c r="I23" i="31"/>
  <c r="J23" i="31"/>
  <c r="K23" i="31"/>
  <c r="DC104" i="3"/>
  <c r="DC97" i="3"/>
  <c r="DA65" i="9"/>
  <c r="DA25" i="3" s="1" a="1"/>
  <c r="DA25" i="3" s="1"/>
  <c r="DB13" i="9"/>
  <c r="DB10" i="9"/>
  <c r="DB11" i="9"/>
  <c r="DB12" i="9"/>
  <c r="DB43" i="9" s="1"/>
  <c r="DB61" i="9" a="1"/>
  <c r="DB61" i="9" s="1"/>
  <c r="DA24" i="3" a="1"/>
  <c r="DA24" i="3" s="1"/>
  <c r="DA45" i="9"/>
  <c r="DA47" i="9"/>
  <c r="DA37" i="9"/>
  <c r="DA38" i="9"/>
  <c r="DA46" i="9"/>
  <c r="DA51" i="9"/>
  <c r="DA49" i="9"/>
  <c r="DA42" i="9"/>
  <c r="DD2" i="3"/>
  <c r="DD124" i="3" s="1"/>
  <c r="DC76" i="3"/>
  <c r="DD21" i="3"/>
  <c r="DD63" i="3"/>
  <c r="DD18" i="3"/>
  <c r="DD32" i="3" s="1"/>
  <c r="DE4" i="3"/>
  <c r="DD22" i="3"/>
  <c r="DD65" i="3"/>
  <c r="DD16" i="3"/>
  <c r="DD20" i="3"/>
  <c r="DD17" i="3"/>
  <c r="DD114" i="3" a="1"/>
  <c r="DD114" i="3" s="1"/>
  <c r="DD58" i="3"/>
  <c r="DD40" i="3" s="1"/>
  <c r="DD3" i="3"/>
  <c r="DD80" i="3"/>
  <c r="DD51" i="3" s="1"/>
  <c r="DD5" i="3"/>
  <c r="DD45" i="3"/>
  <c r="DD84" i="3"/>
  <c r="DD66" i="3" s="1"/>
  <c r="DD64" i="3"/>
  <c r="CY38" i="3"/>
  <c r="CY39" i="3" s="1"/>
  <c r="CX39" i="3"/>
  <c r="BE39" i="9"/>
  <c r="DE8" i="7"/>
  <c r="DE8" i="11"/>
  <c r="DE16" i="6"/>
  <c r="DE17" i="6"/>
  <c r="DE18" i="6"/>
  <c r="DE15" i="7"/>
  <c r="DE11" i="7"/>
  <c r="DE12" i="7"/>
  <c r="DE13" i="7"/>
  <c r="BD50" i="9"/>
  <c r="BD58" i="9"/>
  <c r="BD59" i="9" s="1"/>
  <c r="BD113" i="3" a="1"/>
  <c r="BD113" i="3" s="1"/>
  <c r="BD115" i="3" s="1"/>
  <c r="BD116" i="3" s="1"/>
  <c r="P26" i="3"/>
  <c r="BF17" i="9"/>
  <c r="BE40" i="9"/>
  <c r="L26" i="3"/>
  <c r="M26" i="3"/>
  <c r="K26" i="3"/>
  <c r="N26" i="3"/>
  <c r="J26" i="3"/>
  <c r="O26" i="3"/>
  <c r="H26" i="3"/>
  <c r="I26" i="3"/>
  <c r="DE11" i="2"/>
  <c r="DE15" i="6"/>
  <c r="DE14" i="6"/>
  <c r="DE14" i="7"/>
  <c r="DD12" i="11"/>
  <c r="DD12" i="2"/>
  <c r="DD19" i="6"/>
  <c r="CY62" i="9"/>
  <c r="DE7" i="6"/>
  <c r="DE12" i="6"/>
  <c r="DE6" i="2"/>
  <c r="DE7" i="2"/>
  <c r="DE5" i="2"/>
  <c r="DE10" i="2"/>
  <c r="DE10" i="11"/>
  <c r="DE5" i="11"/>
  <c r="DF4" i="11"/>
  <c r="DF4" i="7"/>
  <c r="DF9" i="7" s="1"/>
  <c r="DF4" i="6"/>
  <c r="DF8" i="6" s="1"/>
  <c r="DF4" i="2"/>
  <c r="DF9" i="2" s="1"/>
  <c r="DE7" i="7"/>
  <c r="DE10" i="7"/>
  <c r="DE5" i="7"/>
  <c r="DE6" i="7"/>
  <c r="DD16" i="7"/>
  <c r="DE8" i="2"/>
  <c r="DE5" i="6"/>
  <c r="DE6" i="6"/>
  <c r="DE9" i="6"/>
  <c r="DE13" i="6"/>
  <c r="DE10" i="6"/>
  <c r="DE11" i="6"/>
  <c r="DE6" i="11"/>
  <c r="DE9" i="11"/>
  <c r="DE7" i="11"/>
  <c r="DE11" i="11"/>
  <c r="DA23" i="9" l="1"/>
  <c r="DA26" i="9" s="1"/>
  <c r="DA27" i="9" s="1"/>
  <c r="DA44" i="9"/>
  <c r="DA41" i="9"/>
  <c r="DC16" i="9"/>
  <c r="DB41" i="9"/>
  <c r="DB44" i="9"/>
  <c r="DC15" i="9"/>
  <c r="DC18" i="9"/>
  <c r="DC19" i="9"/>
  <c r="DB25" i="9"/>
  <c r="DB23" i="9"/>
  <c r="DB24" i="9"/>
  <c r="DB32" i="9" s="1"/>
  <c r="DB22" i="9"/>
  <c r="CZ27" i="9"/>
  <c r="G7" i="31"/>
  <c r="H7" i="31"/>
  <c r="I7" i="31"/>
  <c r="J7" i="31"/>
  <c r="K7" i="31"/>
  <c r="CZ33" i="9"/>
  <c r="BE34" i="9"/>
  <c r="CY33" i="9"/>
  <c r="DA26" i="3"/>
  <c r="DD14" i="9"/>
  <c r="DD104" i="3"/>
  <c r="DD97" i="3"/>
  <c r="BD29" i="3" a="1"/>
  <c r="BD29" i="3" s="1"/>
  <c r="G14" i="31"/>
  <c r="H14" i="31"/>
  <c r="I14" i="31"/>
  <c r="J14" i="31"/>
  <c r="K14" i="31"/>
  <c r="G5" i="31"/>
  <c r="H5" i="31"/>
  <c r="I5" i="31"/>
  <c r="J5" i="31"/>
  <c r="K5" i="31"/>
  <c r="DB65" i="9"/>
  <c r="DB25" i="3" s="1" a="1"/>
  <c r="DB25" i="3" s="1"/>
  <c r="DB46" i="9"/>
  <c r="DB45" i="9"/>
  <c r="DB42" i="9"/>
  <c r="DB47" i="9"/>
  <c r="DB38" i="9"/>
  <c r="DB51" i="9"/>
  <c r="DB37" i="9"/>
  <c r="DB49" i="9"/>
  <c r="DC13" i="9"/>
  <c r="DD16" i="9"/>
  <c r="DC11" i="9"/>
  <c r="DC10" i="9"/>
  <c r="DC12" i="9"/>
  <c r="DC43" i="9" s="1"/>
  <c r="DC61" i="9" a="1"/>
  <c r="DC61" i="9" s="1"/>
  <c r="DC24" i="3" s="1" a="1"/>
  <c r="DC24" i="3" s="1"/>
  <c r="DB24" i="3" a="1"/>
  <c r="DB24" i="3" s="1"/>
  <c r="DE16" i="3"/>
  <c r="DE58" i="3"/>
  <c r="DE40" i="3" s="1"/>
  <c r="DE3" i="3"/>
  <c r="DE63" i="3"/>
  <c r="DE65" i="3"/>
  <c r="DE18" i="3"/>
  <c r="DE22" i="3"/>
  <c r="DE5" i="3"/>
  <c r="DE45" i="3"/>
  <c r="DF4" i="3"/>
  <c r="DE32" i="3"/>
  <c r="DE80" i="3"/>
  <c r="DE51" i="3" s="1"/>
  <c r="DE114" i="3" a="1"/>
  <c r="DE114" i="3" s="1"/>
  <c r="DE21" i="3"/>
  <c r="DE17" i="3"/>
  <c r="DE20" i="3"/>
  <c r="DE64" i="3"/>
  <c r="DE84" i="3"/>
  <c r="DE66" i="3" s="1"/>
  <c r="DE2" i="3"/>
  <c r="DE124" i="3" s="1"/>
  <c r="DD76" i="3"/>
  <c r="DF8" i="7"/>
  <c r="DF8" i="11"/>
  <c r="DF16" i="6"/>
  <c r="DF17" i="6"/>
  <c r="DF18" i="6"/>
  <c r="DF15" i="7"/>
  <c r="DF12" i="7"/>
  <c r="DF11" i="7"/>
  <c r="DF13" i="7"/>
  <c r="BF20" i="9"/>
  <c r="DF11" i="2"/>
  <c r="DF14" i="6"/>
  <c r="DF15" i="6"/>
  <c r="DF14" i="7"/>
  <c r="J175" i="1" a="1"/>
  <c r="J175" i="1" s="1"/>
  <c r="DE12" i="2"/>
  <c r="DE12" i="11"/>
  <c r="DE19" i="6"/>
  <c r="DF7" i="6"/>
  <c r="DF12" i="6"/>
  <c r="DF7" i="2"/>
  <c r="DF6" i="2"/>
  <c r="DF5" i="2"/>
  <c r="DF10" i="2"/>
  <c r="DF10" i="11"/>
  <c r="DF5" i="11"/>
  <c r="DE16" i="7"/>
  <c r="DF8" i="2"/>
  <c r="DF9" i="6"/>
  <c r="DF5" i="6"/>
  <c r="DF13" i="6"/>
  <c r="DF6" i="6"/>
  <c r="DF11" i="6"/>
  <c r="DF10" i="6"/>
  <c r="DG4" i="11"/>
  <c r="DG4" i="7"/>
  <c r="DG9" i="7" s="1"/>
  <c r="DG4" i="6"/>
  <c r="DG8" i="6" s="1"/>
  <c r="DG4" i="2"/>
  <c r="DG9" i="2" s="1"/>
  <c r="DF6" i="7"/>
  <c r="DF7" i="7"/>
  <c r="DF10" i="7"/>
  <c r="DF5" i="7"/>
  <c r="DF9" i="11"/>
  <c r="DF11" i="11"/>
  <c r="DF7" i="11"/>
  <c r="DF6" i="11"/>
  <c r="DC41" i="9" l="1"/>
  <c r="DC44" i="9"/>
  <c r="DD15" i="9"/>
  <c r="DD18" i="9"/>
  <c r="DD19" i="9"/>
  <c r="DC25" i="9"/>
  <c r="DC23" i="9"/>
  <c r="DC22" i="9"/>
  <c r="DC24" i="9"/>
  <c r="DC32" i="9" s="1"/>
  <c r="DA33" i="9"/>
  <c r="DB26" i="9"/>
  <c r="DB27" i="9" s="1"/>
  <c r="BF31" i="9"/>
  <c r="BF29" i="9"/>
  <c r="BF28" i="9"/>
  <c r="BF30" i="9"/>
  <c r="K8" i="31"/>
  <c r="I8" i="31"/>
  <c r="H8" i="31"/>
  <c r="G8" i="31"/>
  <c r="J8" i="31"/>
  <c r="DE104" i="3"/>
  <c r="DE97" i="3"/>
  <c r="DB26" i="3"/>
  <c r="BE113" i="3" a="1"/>
  <c r="BE113" i="3" s="1"/>
  <c r="BE115" i="3" s="1"/>
  <c r="BE116" i="3" s="1"/>
  <c r="DE16" i="9"/>
  <c r="DD13" i="9"/>
  <c r="DD11" i="9"/>
  <c r="DD10" i="9"/>
  <c r="DD12" i="9"/>
  <c r="DD43" i="9" s="1"/>
  <c r="DD61" i="9" a="1"/>
  <c r="DD61" i="9" s="1"/>
  <c r="DC38" i="9"/>
  <c r="DC49" i="9"/>
  <c r="DC46" i="9"/>
  <c r="DC45" i="9"/>
  <c r="DC51" i="9"/>
  <c r="DC37" i="9"/>
  <c r="DC47" i="9"/>
  <c r="DC42" i="9"/>
  <c r="DC65" i="9"/>
  <c r="DC25" i="3" s="1" a="1"/>
  <c r="DC25" i="3" s="1"/>
  <c r="DC26" i="3" s="1"/>
  <c r="DF2" i="3"/>
  <c r="DE76" i="3"/>
  <c r="DE14" i="9"/>
  <c r="DF5" i="3"/>
  <c r="DF18" i="3"/>
  <c r="DF58" i="3"/>
  <c r="DF40" i="3" s="1"/>
  <c r="DF16" i="3"/>
  <c r="DF80" i="3"/>
  <c r="DF51" i="3" s="1"/>
  <c r="DF63" i="3"/>
  <c r="DF3" i="3"/>
  <c r="DG4" i="3"/>
  <c r="DF114" i="3" a="1"/>
  <c r="DF114" i="3" s="1"/>
  <c r="DF21" i="3"/>
  <c r="DF45" i="3"/>
  <c r="DF17" i="3"/>
  <c r="DF22" i="3"/>
  <c r="DF32" i="3" s="1"/>
  <c r="DF20" i="3"/>
  <c r="DF65" i="3"/>
  <c r="DF84" i="3"/>
  <c r="DF66" i="3" s="1"/>
  <c r="DF64" i="3"/>
  <c r="BF39" i="9"/>
  <c r="DG8" i="7"/>
  <c r="DG8" i="11"/>
  <c r="DG16" i="6"/>
  <c r="DG17" i="6"/>
  <c r="DG18" i="6"/>
  <c r="DG15" i="7"/>
  <c r="DG13" i="7"/>
  <c r="DG11" i="7"/>
  <c r="DG12" i="7"/>
  <c r="BE50" i="9"/>
  <c r="BE58" i="9"/>
  <c r="BE59" i="9" s="1"/>
  <c r="BG17" i="9"/>
  <c r="BF40" i="9"/>
  <c r="DG11" i="2"/>
  <c r="DG14" i="6"/>
  <c r="DG15" i="6"/>
  <c r="DG14" i="7"/>
  <c r="DF12" i="2"/>
  <c r="DF12" i="11"/>
  <c r="DF19" i="6"/>
  <c r="DG7" i="6"/>
  <c r="DG12" i="6"/>
  <c r="DG6" i="2"/>
  <c r="DG7" i="2"/>
  <c r="DG5" i="2"/>
  <c r="DG10" i="2"/>
  <c r="DG10" i="11"/>
  <c r="DG5" i="11"/>
  <c r="DG9" i="11"/>
  <c r="DG6" i="11"/>
  <c r="DG11" i="11"/>
  <c r="DG7" i="11"/>
  <c r="DG8" i="2"/>
  <c r="DH4" i="11"/>
  <c r="DH4" i="7"/>
  <c r="DH9" i="7" s="1"/>
  <c r="DH4" i="6"/>
  <c r="DH8" i="6" s="1"/>
  <c r="DH4" i="2"/>
  <c r="DH9" i="2" s="1"/>
  <c r="DG10" i="6"/>
  <c r="DG11" i="6"/>
  <c r="DG6" i="6"/>
  <c r="DG9" i="6"/>
  <c r="DG5" i="6"/>
  <c r="DG13" i="6"/>
  <c r="DF16" i="7"/>
  <c r="DG5" i="7"/>
  <c r="DG7" i="7"/>
  <c r="DG10" i="7"/>
  <c r="DG6" i="7"/>
  <c r="DD41" i="9" l="1"/>
  <c r="DD44" i="9"/>
  <c r="DE15" i="9"/>
  <c r="DE19" i="9"/>
  <c r="DE18" i="9"/>
  <c r="DD65" i="9"/>
  <c r="DD25" i="3" s="1" a="1"/>
  <c r="DD25" i="3" s="1"/>
  <c r="BF34" i="9"/>
  <c r="DB33" i="9"/>
  <c r="DD25" i="9"/>
  <c r="DD23" i="9"/>
  <c r="DD22" i="9"/>
  <c r="DD24" i="9"/>
  <c r="DD32" i="9" s="1"/>
  <c r="DC26" i="9"/>
  <c r="DC27" i="9" s="1"/>
  <c r="DF14" i="9"/>
  <c r="DF124" i="3"/>
  <c r="BE29" i="3" a="1"/>
  <c r="BE29" i="3" s="1"/>
  <c r="DD24" i="3" a="1"/>
  <c r="DD24" i="3" s="1"/>
  <c r="DD38" i="9"/>
  <c r="DD49" i="9"/>
  <c r="DD46" i="9"/>
  <c r="DD47" i="9"/>
  <c r="DD42" i="9"/>
  <c r="DD51" i="9"/>
  <c r="DD37" i="9"/>
  <c r="DD45" i="9"/>
  <c r="DE13" i="9"/>
  <c r="DF16" i="9"/>
  <c r="DE12" i="9"/>
  <c r="DE43" i="9" s="1"/>
  <c r="DE11" i="9"/>
  <c r="DE10" i="9"/>
  <c r="DE61" i="9" a="1"/>
  <c r="DE61" i="9" s="1"/>
  <c r="DG3" i="3"/>
  <c r="DG21" i="3"/>
  <c r="DG114" i="3" a="1"/>
  <c r="DG114" i="3" s="1"/>
  <c r="DG5" i="3"/>
  <c r="DG20" i="3"/>
  <c r="DG32" i="3"/>
  <c r="DH4" i="3"/>
  <c r="DG22" i="3"/>
  <c r="DG18" i="3"/>
  <c r="DG45" i="3"/>
  <c r="DG58" i="3"/>
  <c r="DG40" i="3" s="1"/>
  <c r="DG80" i="3"/>
  <c r="DG51" i="3" s="1"/>
  <c r="DG17" i="3"/>
  <c r="DG65" i="3"/>
  <c r="DG16" i="3"/>
  <c r="DG63" i="3"/>
  <c r="DG64" i="3"/>
  <c r="DG84" i="3"/>
  <c r="DG66" i="3" s="1"/>
  <c r="DG2" i="3"/>
  <c r="DG124" i="3" s="1"/>
  <c r="DF76" i="3"/>
  <c r="DH8" i="7"/>
  <c r="DH8" i="11"/>
  <c r="DH16" i="6"/>
  <c r="DH17" i="6"/>
  <c r="DH18" i="6"/>
  <c r="DH15" i="7"/>
  <c r="DH12" i="7"/>
  <c r="DH13" i="7"/>
  <c r="DH11" i="7"/>
  <c r="BG20" i="9"/>
  <c r="DH11" i="2"/>
  <c r="DH14" i="6"/>
  <c r="DH15" i="6"/>
  <c r="DH14" i="7"/>
  <c r="DG12" i="2"/>
  <c r="DG12" i="11"/>
  <c r="DG19" i="6"/>
  <c r="DH7" i="6"/>
  <c r="DH12" i="6"/>
  <c r="DH7" i="2"/>
  <c r="DH6" i="2"/>
  <c r="DH5" i="2"/>
  <c r="DH10" i="2"/>
  <c r="DH10" i="11"/>
  <c r="DH5" i="11"/>
  <c r="DH6" i="7"/>
  <c r="DH5" i="7"/>
  <c r="DH7" i="7"/>
  <c r="DH10" i="7"/>
  <c r="DH8" i="2"/>
  <c r="DH9" i="11"/>
  <c r="DH6" i="11"/>
  <c r="DH7" i="11"/>
  <c r="DH11" i="11"/>
  <c r="DI4" i="11"/>
  <c r="DI4" i="7"/>
  <c r="DI9" i="7" s="1"/>
  <c r="DI4" i="6"/>
  <c r="DI8" i="6" s="1"/>
  <c r="DI4" i="2"/>
  <c r="DI9" i="2" s="1"/>
  <c r="DG16" i="7"/>
  <c r="DH11" i="6"/>
  <c r="DH5" i="6"/>
  <c r="DH6" i="6"/>
  <c r="DH9" i="6"/>
  <c r="DH10" i="6"/>
  <c r="DH13" i="6"/>
  <c r="DE41" i="9" l="1"/>
  <c r="DE44" i="9"/>
  <c r="DF15" i="9"/>
  <c r="DF19" i="9"/>
  <c r="DF18" i="9"/>
  <c r="DD26" i="3"/>
  <c r="DC33" i="9"/>
  <c r="DD26" i="9"/>
  <c r="DD27" i="9" s="1"/>
  <c r="DE25" i="9"/>
  <c r="DE23" i="9"/>
  <c r="DE24" i="9"/>
  <c r="DE32" i="9" s="1"/>
  <c r="DE22" i="9"/>
  <c r="BG31" i="9"/>
  <c r="BG29" i="9"/>
  <c r="BG30" i="9"/>
  <c r="BG28" i="9"/>
  <c r="DG104" i="3"/>
  <c r="DG97" i="3"/>
  <c r="DF104" i="3"/>
  <c r="DF97" i="3"/>
  <c r="BF113" i="3" a="1"/>
  <c r="BF113" i="3" s="1"/>
  <c r="BF115" i="3" s="1"/>
  <c r="BF116" i="3" s="1"/>
  <c r="DE42" i="9"/>
  <c r="DE38" i="9"/>
  <c r="DE46" i="9"/>
  <c r="DE47" i="9"/>
  <c r="DE49" i="9"/>
  <c r="DE51" i="9"/>
  <c r="DE37" i="9"/>
  <c r="DE45" i="9"/>
  <c r="DG16" i="9"/>
  <c r="DF13" i="9"/>
  <c r="DF12" i="9"/>
  <c r="DF43" i="9" s="1"/>
  <c r="DF11" i="9"/>
  <c r="DF10" i="9"/>
  <c r="DF61" i="9" a="1"/>
  <c r="DF61" i="9" s="1"/>
  <c r="DE65" i="9"/>
  <c r="DE25" i="3" s="1" a="1"/>
  <c r="DE25" i="3" s="1"/>
  <c r="DE24" i="3" a="1"/>
  <c r="DE24" i="3" s="1"/>
  <c r="DH2" i="3"/>
  <c r="DG76" i="3"/>
  <c r="DH58" i="3"/>
  <c r="DH40" i="3" s="1"/>
  <c r="DH80" i="3"/>
  <c r="DH51" i="3" s="1"/>
  <c r="DH3" i="3"/>
  <c r="DH63" i="3"/>
  <c r="DH5" i="3"/>
  <c r="DH16" i="3"/>
  <c r="DH114" i="3" a="1"/>
  <c r="DH114" i="3" s="1"/>
  <c r="DH17" i="3"/>
  <c r="DH21" i="3"/>
  <c r="DH65" i="3"/>
  <c r="DI4" i="3"/>
  <c r="DH18" i="3"/>
  <c r="DH32" i="3" s="1"/>
  <c r="DH45" i="3"/>
  <c r="DH20" i="3"/>
  <c r="DH22" i="3"/>
  <c r="DH64" i="3"/>
  <c r="DH84" i="3"/>
  <c r="DH66" i="3" s="1"/>
  <c r="DG14" i="9"/>
  <c r="BG39" i="9"/>
  <c r="DI8" i="7"/>
  <c r="DI8" i="11"/>
  <c r="DI16" i="6"/>
  <c r="DI17" i="6"/>
  <c r="DI18" i="6"/>
  <c r="DI15" i="7"/>
  <c r="DI11" i="7"/>
  <c r="DI13" i="7"/>
  <c r="DI12" i="7"/>
  <c r="BF50" i="9"/>
  <c r="BF58" i="9"/>
  <c r="BF59" i="9" s="1"/>
  <c r="BH17" i="9"/>
  <c r="BG40" i="9"/>
  <c r="DI11" i="2"/>
  <c r="DI15" i="6"/>
  <c r="DI14" i="6"/>
  <c r="DI14" i="7"/>
  <c r="DH12" i="11"/>
  <c r="DH12" i="2"/>
  <c r="DH19" i="6"/>
  <c r="DI7" i="6"/>
  <c r="DI12" i="6"/>
  <c r="DI6" i="2"/>
  <c r="DI7" i="2"/>
  <c r="DI5" i="2"/>
  <c r="DI10" i="2"/>
  <c r="DI10" i="11"/>
  <c r="DI5" i="11"/>
  <c r="DI8" i="2"/>
  <c r="DI5" i="7"/>
  <c r="DI10" i="7"/>
  <c r="DI7" i="7"/>
  <c r="DI6" i="7"/>
  <c r="DI9" i="11"/>
  <c r="DI6" i="11"/>
  <c r="DI7" i="11"/>
  <c r="DI11" i="11"/>
  <c r="DH16" i="7"/>
  <c r="DJ4" i="11"/>
  <c r="DJ4" i="7"/>
  <c r="DJ9" i="7" s="1"/>
  <c r="DJ4" i="6"/>
  <c r="DJ8" i="6" s="1"/>
  <c r="DJ4" i="2"/>
  <c r="DJ9" i="2" s="1"/>
  <c r="DI5" i="6"/>
  <c r="DI6" i="6"/>
  <c r="DI10" i="6"/>
  <c r="DI13" i="6"/>
  <c r="DI11" i="6"/>
  <c r="DI9" i="6"/>
  <c r="DG15" i="9" l="1"/>
  <c r="DG19" i="9"/>
  <c r="DG18" i="9"/>
  <c r="DF65" i="9"/>
  <c r="DF25" i="3" s="1" a="1"/>
  <c r="DF25" i="3" s="1"/>
  <c r="DF41" i="9"/>
  <c r="DF44" i="9"/>
  <c r="DF25" i="9"/>
  <c r="DF24" i="9"/>
  <c r="DF32" i="9" s="1"/>
  <c r="DF23" i="9"/>
  <c r="DF22" i="9"/>
  <c r="BG34" i="9"/>
  <c r="DE26" i="9"/>
  <c r="DE27" i="9" s="1"/>
  <c r="DD33" i="9"/>
  <c r="DE26" i="3"/>
  <c r="DH14" i="9"/>
  <c r="DH124" i="3"/>
  <c r="BF29" i="3" a="1"/>
  <c r="BF29" i="3" s="1"/>
  <c r="DF51" i="9"/>
  <c r="DF45" i="9"/>
  <c r="DF47" i="9"/>
  <c r="DF38" i="9"/>
  <c r="DF42" i="9"/>
  <c r="DF46" i="9"/>
  <c r="DF37" i="9"/>
  <c r="DF49" i="9"/>
  <c r="DF24" i="3" a="1"/>
  <c r="DF24" i="3" s="1"/>
  <c r="DH16" i="9"/>
  <c r="DG13" i="9"/>
  <c r="DG12" i="9"/>
  <c r="DG43" i="9" s="1"/>
  <c r="DG11" i="9"/>
  <c r="DG10" i="9"/>
  <c r="DG61" i="9" a="1"/>
  <c r="DG61" i="9" s="1"/>
  <c r="DI16" i="3"/>
  <c r="DI80" i="3"/>
  <c r="DI51" i="3" s="1"/>
  <c r="DI63" i="3"/>
  <c r="DI3" i="3"/>
  <c r="DI45" i="3"/>
  <c r="DI5" i="3"/>
  <c r="DI58" i="3"/>
  <c r="DI40" i="3" s="1"/>
  <c r="DJ4" i="3"/>
  <c r="DI65" i="3"/>
  <c r="DI21" i="3"/>
  <c r="DI17" i="3"/>
  <c r="DI114" i="3" a="1"/>
  <c r="DI114" i="3" s="1"/>
  <c r="DI22" i="3"/>
  <c r="DI32" i="3" s="1"/>
  <c r="DI20" i="3"/>
  <c r="DI18" i="3"/>
  <c r="DI84" i="3"/>
  <c r="DI66" i="3" s="1"/>
  <c r="DI64" i="3"/>
  <c r="DI2" i="3"/>
  <c r="DI124" i="3" s="1"/>
  <c r="DH76" i="3"/>
  <c r="DJ8" i="7"/>
  <c r="DJ8" i="11"/>
  <c r="DJ18" i="6"/>
  <c r="DJ16" i="6"/>
  <c r="DJ17" i="6"/>
  <c r="DJ15" i="7"/>
  <c r="DJ11" i="7"/>
  <c r="DJ12" i="7"/>
  <c r="DJ13" i="7"/>
  <c r="BH20" i="9"/>
  <c r="DJ11" i="2"/>
  <c r="DJ14" i="6"/>
  <c r="DJ15" i="6"/>
  <c r="DJ14" i="7"/>
  <c r="DI12" i="2"/>
  <c r="DI12" i="11"/>
  <c r="DI19" i="6"/>
  <c r="DJ7" i="6"/>
  <c r="DJ12" i="6"/>
  <c r="DJ7" i="2"/>
  <c r="DJ6" i="2"/>
  <c r="DJ5" i="2"/>
  <c r="DJ10" i="2"/>
  <c r="DJ10" i="11"/>
  <c r="DJ5" i="11"/>
  <c r="DJ8" i="2"/>
  <c r="DJ5" i="6"/>
  <c r="DJ10" i="6"/>
  <c r="DJ9" i="6"/>
  <c r="DJ13" i="6"/>
  <c r="DJ11" i="6"/>
  <c r="DJ6" i="6"/>
  <c r="DK4" i="11"/>
  <c r="DK4" i="7"/>
  <c r="DK9" i="7" s="1"/>
  <c r="DK4" i="6"/>
  <c r="DK8" i="6" s="1"/>
  <c r="DK4" i="2"/>
  <c r="DK9" i="2" s="1"/>
  <c r="DJ6" i="7"/>
  <c r="DJ5" i="7"/>
  <c r="DJ7" i="7"/>
  <c r="DJ10" i="7"/>
  <c r="DJ9" i="11"/>
  <c r="DJ6" i="11"/>
  <c r="DJ11" i="11"/>
  <c r="DJ7" i="11"/>
  <c r="DI16" i="7"/>
  <c r="DF26" i="3" l="1"/>
  <c r="DG41" i="9"/>
  <c r="DG44" i="9"/>
  <c r="DH15" i="9"/>
  <c r="DH18" i="9"/>
  <c r="DH19" i="9"/>
  <c r="DE33" i="9"/>
  <c r="DG25" i="9"/>
  <c r="DG23" i="9"/>
  <c r="DG22" i="9"/>
  <c r="DG24" i="9"/>
  <c r="DG32" i="9" s="1"/>
  <c r="DF26" i="9"/>
  <c r="DF27" i="9" s="1"/>
  <c r="BH31" i="9"/>
  <c r="BH29" i="9"/>
  <c r="BH30" i="9"/>
  <c r="BH28" i="9"/>
  <c r="DG65" i="9"/>
  <c r="DG25" i="3" s="1" a="1"/>
  <c r="DG25" i="3" s="1"/>
  <c r="DI104" i="3"/>
  <c r="DI97" i="3"/>
  <c r="DH104" i="3"/>
  <c r="DH97" i="3"/>
  <c r="DI14" i="9"/>
  <c r="DG24" i="3" a="1"/>
  <c r="DG24" i="3" s="1"/>
  <c r="DG46" i="9"/>
  <c r="DG45" i="9"/>
  <c r="DG47" i="9"/>
  <c r="DG37" i="9"/>
  <c r="DG42" i="9"/>
  <c r="DG38" i="9"/>
  <c r="DG49" i="9"/>
  <c r="DG51" i="9"/>
  <c r="DH13" i="9"/>
  <c r="DI16" i="9"/>
  <c r="DH10" i="9"/>
  <c r="DH12" i="9"/>
  <c r="DH43" i="9" s="1"/>
  <c r="DH11" i="9"/>
  <c r="DH61" i="9" a="1"/>
  <c r="DH61" i="9" s="1"/>
  <c r="DJ21" i="3"/>
  <c r="DJ80" i="3"/>
  <c r="DJ51" i="3" s="1"/>
  <c r="DJ17" i="3"/>
  <c r="DJ22" i="3"/>
  <c r="DJ58" i="3"/>
  <c r="DJ40" i="3" s="1"/>
  <c r="DJ114" i="3" a="1"/>
  <c r="DJ114" i="3" s="1"/>
  <c r="DJ20" i="3"/>
  <c r="DJ3" i="3"/>
  <c r="DK4" i="3"/>
  <c r="DJ63" i="3"/>
  <c r="DJ45" i="3"/>
  <c r="DJ5" i="3"/>
  <c r="DJ65" i="3"/>
  <c r="DJ16" i="3"/>
  <c r="DJ18" i="3"/>
  <c r="DJ32" i="3" s="1"/>
  <c r="DJ64" i="3"/>
  <c r="DJ84" i="3"/>
  <c r="DJ66" i="3" s="1"/>
  <c r="DJ2" i="3"/>
  <c r="DJ124" i="3" s="1"/>
  <c r="DI76" i="3"/>
  <c r="BH39" i="9"/>
  <c r="DK8" i="7"/>
  <c r="DK8" i="11"/>
  <c r="DK18" i="6"/>
  <c r="DK16" i="6"/>
  <c r="DK17" i="6"/>
  <c r="DK15" i="7"/>
  <c r="DK13" i="7"/>
  <c r="DK11" i="7"/>
  <c r="DK12" i="7"/>
  <c r="BG50" i="9"/>
  <c r="BG58" i="9"/>
  <c r="BG59" i="9" s="1"/>
  <c r="BG113" i="3" a="1"/>
  <c r="BG113" i="3" s="1"/>
  <c r="BG115" i="3" s="1"/>
  <c r="BG116" i="3" s="1"/>
  <c r="BI17" i="9"/>
  <c r="BH40" i="9"/>
  <c r="DK11" i="2"/>
  <c r="DK15" i="6"/>
  <c r="DK14" i="6"/>
  <c r="DK14" i="7"/>
  <c r="DJ12" i="11"/>
  <c r="DJ12" i="2"/>
  <c r="DJ19" i="6"/>
  <c r="DK7" i="6"/>
  <c r="DK12" i="6"/>
  <c r="DK6" i="2"/>
  <c r="DK7" i="2"/>
  <c r="DK5" i="2"/>
  <c r="DK10" i="2"/>
  <c r="DK10" i="11"/>
  <c r="DK5" i="11"/>
  <c r="DJ16" i="7"/>
  <c r="DK8" i="2"/>
  <c r="DK7" i="7"/>
  <c r="DK10" i="7"/>
  <c r="DK5" i="7"/>
  <c r="DK6" i="7"/>
  <c r="DL4" i="11"/>
  <c r="DL4" i="6"/>
  <c r="DL8" i="6" s="1"/>
  <c r="DL4" i="7"/>
  <c r="DL9" i="7" s="1"/>
  <c r="DL4" i="2"/>
  <c r="DL9" i="2" s="1"/>
  <c r="DK9" i="11"/>
  <c r="DK7" i="11"/>
  <c r="DK11" i="11"/>
  <c r="DK6" i="11"/>
  <c r="DK5" i="6"/>
  <c r="DK13" i="6"/>
  <c r="DK11" i="6"/>
  <c r="DK9" i="6"/>
  <c r="DK6" i="6"/>
  <c r="DK10" i="6"/>
  <c r="DI15" i="9" l="1"/>
  <c r="DI18" i="9"/>
  <c r="DI19" i="9"/>
  <c r="DH41" i="9"/>
  <c r="DH44" i="9"/>
  <c r="BH34" i="9"/>
  <c r="BH113" i="3" s="1" a="1"/>
  <c r="BH113" i="3" s="1"/>
  <c r="BH115" i="3" s="1"/>
  <c r="BH116" i="3" s="1"/>
  <c r="DF33" i="9"/>
  <c r="DG26" i="9"/>
  <c r="DG27" i="9" s="1"/>
  <c r="DG26" i="3"/>
  <c r="DH25" i="9"/>
  <c r="DH24" i="9"/>
  <c r="DH32" i="9" s="1"/>
  <c r="DH23" i="9"/>
  <c r="DH22" i="9"/>
  <c r="DJ14" i="9"/>
  <c r="DJ104" i="3"/>
  <c r="DJ97" i="3"/>
  <c r="BG29" i="3" a="1"/>
  <c r="BG29" i="3" s="1"/>
  <c r="DH65" i="9"/>
  <c r="DH25" i="3" s="1" a="1"/>
  <c r="DH25" i="3" s="1"/>
  <c r="DH24" i="3" a="1"/>
  <c r="DH24" i="3" s="1"/>
  <c r="DH51" i="9"/>
  <c r="DH47" i="9"/>
  <c r="DH49" i="9"/>
  <c r="DH37" i="9"/>
  <c r="DH42" i="9"/>
  <c r="DH45" i="9"/>
  <c r="DH38" i="9"/>
  <c r="DH46" i="9"/>
  <c r="DJ16" i="9"/>
  <c r="DI13" i="9"/>
  <c r="DI10" i="9"/>
  <c r="DI12" i="9"/>
  <c r="DI43" i="9" s="1"/>
  <c r="DI11" i="9"/>
  <c r="DI61" i="9" a="1"/>
  <c r="DI61" i="9" s="1"/>
  <c r="DK2" i="3"/>
  <c r="DK124" i="3" s="1"/>
  <c r="DJ76" i="3"/>
  <c r="DK20" i="3"/>
  <c r="DK63" i="3"/>
  <c r="DK3" i="3"/>
  <c r="DL4" i="3"/>
  <c r="DK64" i="3"/>
  <c r="DK65" i="3"/>
  <c r="DK114" i="3" a="1"/>
  <c r="DK114" i="3" s="1"/>
  <c r="DK18" i="3"/>
  <c r="DK45" i="3"/>
  <c r="DK58" i="3"/>
  <c r="DK40" i="3" s="1"/>
  <c r="DK21" i="3"/>
  <c r="DK22" i="3"/>
  <c r="DK5" i="3"/>
  <c r="DK80" i="3"/>
  <c r="DK51" i="3" s="1"/>
  <c r="DK17" i="3"/>
  <c r="DK16" i="3"/>
  <c r="DK84" i="3"/>
  <c r="DK66" i="3" s="1"/>
  <c r="DL8" i="7"/>
  <c r="DL8" i="11"/>
  <c r="DL16" i="6"/>
  <c r="DL17" i="6"/>
  <c r="DL18" i="6"/>
  <c r="DL15" i="7"/>
  <c r="DL12" i="7"/>
  <c r="DL13" i="7"/>
  <c r="DL11" i="7"/>
  <c r="BI20" i="9"/>
  <c r="DL11" i="2"/>
  <c r="DL14" i="6"/>
  <c r="DL15" i="6"/>
  <c r="DL14" i="7"/>
  <c r="DK12" i="2"/>
  <c r="DK12" i="11"/>
  <c r="DK19" i="6"/>
  <c r="DL7" i="6"/>
  <c r="DL12" i="6"/>
  <c r="DL7" i="2"/>
  <c r="DL6" i="2"/>
  <c r="DL5" i="2"/>
  <c r="DL10" i="2"/>
  <c r="DL10" i="11"/>
  <c r="DL5" i="11"/>
  <c r="DL6" i="7"/>
  <c r="DL5" i="7"/>
  <c r="DL7" i="7"/>
  <c r="DL10" i="7"/>
  <c r="DL9" i="11"/>
  <c r="DL6" i="11"/>
  <c r="DL11" i="11"/>
  <c r="DL7" i="11"/>
  <c r="DL8" i="2"/>
  <c r="DL5" i="6"/>
  <c r="DL11" i="6"/>
  <c r="DL9" i="6"/>
  <c r="DL10" i="6"/>
  <c r="DL13" i="6"/>
  <c r="DL6" i="6"/>
  <c r="DK16" i="7"/>
  <c r="DM4" i="11"/>
  <c r="DM4" i="6"/>
  <c r="DM8" i="6" s="1"/>
  <c r="DM4" i="7"/>
  <c r="DM9" i="7" s="1"/>
  <c r="DM4" i="2"/>
  <c r="DM9" i="2" s="1"/>
  <c r="DI41" i="9" l="1"/>
  <c r="DI44" i="9"/>
  <c r="DJ15" i="9"/>
  <c r="DJ18" i="9"/>
  <c r="DJ19" i="9"/>
  <c r="DH26" i="9"/>
  <c r="DH27" i="9" s="1"/>
  <c r="BI31" i="9"/>
  <c r="BI29" i="9"/>
  <c r="BI28" i="9"/>
  <c r="BI30" i="9"/>
  <c r="DI25" i="9"/>
  <c r="DI22" i="9"/>
  <c r="DI23" i="9"/>
  <c r="DI24" i="9"/>
  <c r="DI32" i="9" s="1"/>
  <c r="DG33" i="9"/>
  <c r="DK14" i="9"/>
  <c r="DK104" i="3"/>
  <c r="DK97" i="3"/>
  <c r="DH26" i="3"/>
  <c r="DK32" i="3"/>
  <c r="DI37" i="9"/>
  <c r="DI45" i="9"/>
  <c r="DI47" i="9"/>
  <c r="DI49" i="9"/>
  <c r="DI46" i="9"/>
  <c r="DI51" i="9"/>
  <c r="DI42" i="9"/>
  <c r="DI38" i="9"/>
  <c r="DK16" i="9"/>
  <c r="DJ13" i="9"/>
  <c r="DJ10" i="9"/>
  <c r="DJ11" i="9"/>
  <c r="DJ12" i="9"/>
  <c r="DJ43" i="9" s="1"/>
  <c r="DJ61" i="9" a="1"/>
  <c r="DJ61" i="9" s="1"/>
  <c r="DJ24" i="3" s="1" a="1"/>
  <c r="DJ24" i="3" s="1"/>
  <c r="DI65" i="9"/>
  <c r="DI25" i="3" s="1" a="1"/>
  <c r="DI25" i="3" s="1"/>
  <c r="DI24" i="3" a="1"/>
  <c r="DI24" i="3" s="1"/>
  <c r="DL64" i="3"/>
  <c r="DL17" i="3"/>
  <c r="DM4" i="3"/>
  <c r="DL16" i="3"/>
  <c r="DL3" i="3"/>
  <c r="DL20" i="3"/>
  <c r="DL18" i="3"/>
  <c r="DL114" i="3" a="1"/>
  <c r="DL114" i="3" s="1"/>
  <c r="DL21" i="3"/>
  <c r="DL80" i="3"/>
  <c r="DL51" i="3" s="1"/>
  <c r="DL45" i="3"/>
  <c r="DL84" i="3"/>
  <c r="DL66" i="3" s="1"/>
  <c r="DL63" i="3"/>
  <c r="DL58" i="3"/>
  <c r="DL40" i="3" s="1"/>
  <c r="DL5" i="3"/>
  <c r="DL22" i="3"/>
  <c r="DL65" i="3"/>
  <c r="DL2" i="3"/>
  <c r="DK76" i="3"/>
  <c r="BI39" i="9"/>
  <c r="DM8" i="7"/>
  <c r="DM8" i="11"/>
  <c r="DM16" i="6"/>
  <c r="DM17" i="6"/>
  <c r="DM18" i="6"/>
  <c r="DM15" i="7"/>
  <c r="DM11" i="7"/>
  <c r="DM12" i="7"/>
  <c r="DM13" i="7"/>
  <c r="BH50" i="9"/>
  <c r="BH58" i="9"/>
  <c r="BH59" i="9" s="1"/>
  <c r="BJ17" i="9"/>
  <c r="BI40" i="9"/>
  <c r="DM11" i="2"/>
  <c r="DM15" i="6"/>
  <c r="DM14" i="6"/>
  <c r="DM14" i="7"/>
  <c r="DL12" i="2"/>
  <c r="DL12" i="11"/>
  <c r="DL19" i="6"/>
  <c r="DM7" i="6"/>
  <c r="DM12" i="6"/>
  <c r="DM7" i="2"/>
  <c r="DM6" i="2"/>
  <c r="DM5" i="2"/>
  <c r="DM10" i="2"/>
  <c r="DM10" i="11"/>
  <c r="DM5" i="11"/>
  <c r="DM8" i="2"/>
  <c r="DM11" i="6"/>
  <c r="DM9" i="6"/>
  <c r="DM10" i="6"/>
  <c r="DM6" i="6"/>
  <c r="DM5" i="6"/>
  <c r="DM13" i="6"/>
  <c r="DL16" i="7"/>
  <c r="DM6" i="7"/>
  <c r="DM5" i="7"/>
  <c r="DM10" i="7"/>
  <c r="DM7" i="7"/>
  <c r="DN4" i="11"/>
  <c r="DN4" i="7"/>
  <c r="DN9" i="7" s="1"/>
  <c r="DN4" i="6"/>
  <c r="DN8" i="6" s="1"/>
  <c r="DN4" i="2"/>
  <c r="DN9" i="2" s="1"/>
  <c r="DM9" i="11"/>
  <c r="DM11" i="11"/>
  <c r="DM7" i="11"/>
  <c r="DM6" i="11"/>
  <c r="DK15" i="9" l="1"/>
  <c r="DK19" i="9"/>
  <c r="DK18" i="9"/>
  <c r="DJ41" i="9"/>
  <c r="DJ44" i="9"/>
  <c r="DI26" i="9"/>
  <c r="DI27" i="9" s="1"/>
  <c r="DJ25" i="9"/>
  <c r="DJ24" i="9"/>
  <c r="DJ32" i="9" s="1"/>
  <c r="DJ23" i="9"/>
  <c r="DJ22" i="9"/>
  <c r="BI34" i="9"/>
  <c r="BI113" i="3" s="1" a="1"/>
  <c r="BI113" i="3" s="1"/>
  <c r="BI115" i="3" s="1"/>
  <c r="BI116" i="3" s="1"/>
  <c r="DH33" i="9"/>
  <c r="DJ65" i="9"/>
  <c r="DJ25" i="3" s="1" a="1"/>
  <c r="DJ25" i="3" s="1"/>
  <c r="DJ26" i="3" s="1"/>
  <c r="DL14" i="9"/>
  <c r="DL124" i="3"/>
  <c r="BH29" i="3" a="1"/>
  <c r="BH29" i="3" s="1"/>
  <c r="DL32" i="3"/>
  <c r="DI26" i="3"/>
  <c r="DJ46" i="9"/>
  <c r="DJ51" i="9"/>
  <c r="DJ38" i="9"/>
  <c r="DJ37" i="9"/>
  <c r="DJ47" i="9"/>
  <c r="DJ45" i="9"/>
  <c r="DJ49" i="9"/>
  <c r="DJ42" i="9"/>
  <c r="DL16" i="9"/>
  <c r="DK13" i="9"/>
  <c r="DK10" i="9"/>
  <c r="DK12" i="9"/>
  <c r="DK43" i="9" s="1"/>
  <c r="DK11" i="9"/>
  <c r="DK61" i="9" a="1"/>
  <c r="DK61" i="9" s="1"/>
  <c r="DM22" i="3"/>
  <c r="DM32" i="3" s="1"/>
  <c r="DM58" i="3"/>
  <c r="DM40" i="3" s="1"/>
  <c r="DM3" i="3"/>
  <c r="DM65" i="3"/>
  <c r="DM63" i="3"/>
  <c r="DM5" i="3"/>
  <c r="DM64" i="3"/>
  <c r="DM45" i="3"/>
  <c r="DN4" i="3"/>
  <c r="DM80" i="3"/>
  <c r="DM51" i="3" s="1"/>
  <c r="DM114" i="3" a="1"/>
  <c r="DM114" i="3" s="1"/>
  <c r="DM16" i="3"/>
  <c r="DM84" i="3"/>
  <c r="DM66" i="3" s="1"/>
  <c r="DM20" i="3"/>
  <c r="DM21" i="3"/>
  <c r="DM18" i="3"/>
  <c r="DM17" i="3"/>
  <c r="DM2" i="3"/>
  <c r="DL76" i="3"/>
  <c r="DN8" i="7"/>
  <c r="DN8" i="11"/>
  <c r="DN16" i="6"/>
  <c r="DN17" i="6"/>
  <c r="DN18" i="6"/>
  <c r="DN15" i="7"/>
  <c r="DN11" i="7"/>
  <c r="DN12" i="7"/>
  <c r="DN13" i="7"/>
  <c r="BJ20" i="9"/>
  <c r="DN11" i="2"/>
  <c r="DN14" i="6"/>
  <c r="DN15" i="6"/>
  <c r="DN14" i="7"/>
  <c r="DM12" i="2"/>
  <c r="DM12" i="11"/>
  <c r="DM19" i="6"/>
  <c r="DN7" i="6"/>
  <c r="DN12" i="6"/>
  <c r="DN7" i="2"/>
  <c r="DN6" i="2"/>
  <c r="DN5" i="2"/>
  <c r="DN10" i="2"/>
  <c r="DN10" i="11"/>
  <c r="DN5" i="11"/>
  <c r="DM16" i="7"/>
  <c r="DO4" i="11"/>
  <c r="DO4" i="7"/>
  <c r="DO9" i="7" s="1"/>
  <c r="DO4" i="6"/>
  <c r="DO8" i="6" s="1"/>
  <c r="DO4" i="2"/>
  <c r="DO9" i="2" s="1"/>
  <c r="DN5" i="6"/>
  <c r="DN13" i="6"/>
  <c r="DN11" i="6"/>
  <c r="DN6" i="6"/>
  <c r="DN10" i="6"/>
  <c r="DN9" i="6"/>
  <c r="DN5" i="7"/>
  <c r="DN7" i="7"/>
  <c r="DN10" i="7"/>
  <c r="DN6" i="7"/>
  <c r="DN8" i="2"/>
  <c r="DN9" i="11"/>
  <c r="DN7" i="11"/>
  <c r="DN6" i="11"/>
  <c r="DN11" i="11"/>
  <c r="DK41" i="9" l="1"/>
  <c r="DK44" i="9"/>
  <c r="DL15" i="9"/>
  <c r="DL19" i="9"/>
  <c r="DL18" i="9"/>
  <c r="BJ31" i="9"/>
  <c r="BJ29" i="9"/>
  <c r="BJ28" i="9"/>
  <c r="BJ30" i="9"/>
  <c r="DJ26" i="9"/>
  <c r="DJ27" i="9" s="1"/>
  <c r="DK25" i="9"/>
  <c r="DK24" i="9"/>
  <c r="DK32" i="9" s="1"/>
  <c r="DK22" i="9"/>
  <c r="DK23" i="9"/>
  <c r="DI33" i="9"/>
  <c r="DL104" i="3"/>
  <c r="DL97" i="3"/>
  <c r="DM14" i="9"/>
  <c r="DM124" i="3"/>
  <c r="DK65" i="9"/>
  <c r="DK25" i="3" s="1" a="1"/>
  <c r="DK25" i="3" s="1"/>
  <c r="DK51" i="9"/>
  <c r="DK37" i="9"/>
  <c r="DK45" i="9"/>
  <c r="DK42" i="9"/>
  <c r="DK38" i="9"/>
  <c r="DK47" i="9"/>
  <c r="DK49" i="9"/>
  <c r="DK46" i="9"/>
  <c r="DK24" i="3" a="1"/>
  <c r="DK24" i="3" s="1"/>
  <c r="DM16" i="9"/>
  <c r="DL13" i="9"/>
  <c r="DL11" i="9"/>
  <c r="DL12" i="9"/>
  <c r="DL43" i="9" s="1"/>
  <c r="DL10" i="9"/>
  <c r="DL61" i="9" a="1"/>
  <c r="DL61" i="9" s="1"/>
  <c r="DN2" i="3"/>
  <c r="DM76" i="3"/>
  <c r="DN3" i="3"/>
  <c r="DN20" i="3"/>
  <c r="DN45" i="3"/>
  <c r="DN5" i="3"/>
  <c r="DO4" i="3"/>
  <c r="DN80" i="3"/>
  <c r="DN51" i="3" s="1"/>
  <c r="DN64" i="3"/>
  <c r="DN16" i="3"/>
  <c r="DN84" i="3"/>
  <c r="DN66" i="3" s="1"/>
  <c r="DN18" i="3"/>
  <c r="DN17" i="3"/>
  <c r="DN21" i="3"/>
  <c r="DN58" i="3"/>
  <c r="DN40" i="3" s="1"/>
  <c r="DN63" i="3"/>
  <c r="DN22" i="3"/>
  <c r="DN32" i="3" s="1"/>
  <c r="DN65" i="3"/>
  <c r="DN114" i="3" a="1"/>
  <c r="DN114" i="3" s="1"/>
  <c r="BJ39" i="9"/>
  <c r="DO8" i="7"/>
  <c r="DO8" i="11"/>
  <c r="DO16" i="6"/>
  <c r="DO17" i="6"/>
  <c r="DO18" i="6"/>
  <c r="DO15" i="7"/>
  <c r="DO13" i="7"/>
  <c r="DO11" i="7"/>
  <c r="DO12" i="7"/>
  <c r="BI50" i="9"/>
  <c r="BI58" i="9"/>
  <c r="BI59" i="9" s="1"/>
  <c r="BI29" i="3" s="1" a="1"/>
  <c r="BI29" i="3" s="1"/>
  <c r="BK17" i="9"/>
  <c r="BJ40" i="9"/>
  <c r="DO11" i="2"/>
  <c r="DO14" i="6"/>
  <c r="DO15" i="6"/>
  <c r="DO14" i="7"/>
  <c r="DN12" i="2"/>
  <c r="DN12" i="11"/>
  <c r="DN19" i="6"/>
  <c r="DO7" i="6"/>
  <c r="DO12" i="6"/>
  <c r="DO7" i="2"/>
  <c r="DO6" i="2"/>
  <c r="DO5" i="2"/>
  <c r="DO10" i="2"/>
  <c r="DO10" i="11"/>
  <c r="DO5" i="11"/>
  <c r="DO8" i="2"/>
  <c r="DN16" i="7"/>
  <c r="DP4" i="11"/>
  <c r="DP4" i="7"/>
  <c r="DP9" i="7" s="1"/>
  <c r="DP4" i="6"/>
  <c r="DP8" i="6" s="1"/>
  <c r="DP4" i="2"/>
  <c r="DP9" i="2" s="1"/>
  <c r="DO5" i="7"/>
  <c r="DO10" i="7"/>
  <c r="DO6" i="7"/>
  <c r="DO7" i="7"/>
  <c r="DO7" i="11"/>
  <c r="DO9" i="11"/>
  <c r="DO6" i="11"/>
  <c r="DO11" i="11"/>
  <c r="DO5" i="6"/>
  <c r="DO13" i="6"/>
  <c r="DO10" i="6"/>
  <c r="DO11" i="6"/>
  <c r="DO9" i="6"/>
  <c r="DO6" i="6"/>
  <c r="DM15" i="9" l="1"/>
  <c r="DM19" i="9"/>
  <c r="DM18" i="9"/>
  <c r="DL41" i="9"/>
  <c r="DL44" i="9"/>
  <c r="DJ33" i="9"/>
  <c r="BJ34" i="9"/>
  <c r="BJ113" i="3" s="1" a="1"/>
  <c r="BJ113" i="3" s="1"/>
  <c r="BJ115" i="3" s="1"/>
  <c r="BJ116" i="3" s="1"/>
  <c r="DL25" i="9"/>
  <c r="DL23" i="9"/>
  <c r="DL24" i="9"/>
  <c r="DL32" i="9" s="1"/>
  <c r="DL22" i="9"/>
  <c r="DK26" i="9"/>
  <c r="DK27" i="9" s="1"/>
  <c r="DL65" i="9"/>
  <c r="DL25" i="3" s="1" a="1"/>
  <c r="DL25" i="3" s="1"/>
  <c r="DM104" i="3"/>
  <c r="DM97" i="3"/>
  <c r="DK26" i="3"/>
  <c r="DN14" i="9"/>
  <c r="DN124" i="3"/>
  <c r="DL51" i="9"/>
  <c r="DL37" i="9"/>
  <c r="DL45" i="9"/>
  <c r="DL46" i="9"/>
  <c r="DL47" i="9"/>
  <c r="DL49" i="9"/>
  <c r="DL42" i="9"/>
  <c r="DL38" i="9"/>
  <c r="DL24" i="3" a="1"/>
  <c r="DL24" i="3" s="1"/>
  <c r="DN16" i="9"/>
  <c r="DM13" i="9"/>
  <c r="DM12" i="9"/>
  <c r="DM43" i="9" s="1"/>
  <c r="DM10" i="9"/>
  <c r="DM11" i="9"/>
  <c r="DM61" i="9" a="1"/>
  <c r="DM61" i="9" s="1"/>
  <c r="DM24" i="3" s="1" a="1"/>
  <c r="DM24" i="3" s="1"/>
  <c r="DO2" i="3"/>
  <c r="DN76" i="3"/>
  <c r="DO3" i="3"/>
  <c r="DO22" i="3"/>
  <c r="DO63" i="3"/>
  <c r="DO5" i="3"/>
  <c r="DO32" i="3"/>
  <c r="DO64" i="3"/>
  <c r="DO17" i="3"/>
  <c r="DO80" i="3"/>
  <c r="DO51" i="3" s="1"/>
  <c r="DO114" i="3" a="1"/>
  <c r="DO114" i="3" s="1"/>
  <c r="DO58" i="3"/>
  <c r="DO40" i="3" s="1"/>
  <c r="DP4" i="3"/>
  <c r="DO18" i="3"/>
  <c r="DO65" i="3"/>
  <c r="DO21" i="3"/>
  <c r="DO20" i="3"/>
  <c r="DO16" i="3"/>
  <c r="DO45" i="3"/>
  <c r="DO84" i="3"/>
  <c r="DO66" i="3" s="1"/>
  <c r="DP8" i="7"/>
  <c r="DP8" i="11"/>
  <c r="DP16" i="6"/>
  <c r="DP17" i="6"/>
  <c r="DP18" i="6"/>
  <c r="DP15" i="7"/>
  <c r="DP12" i="7"/>
  <c r="DP13" i="7"/>
  <c r="DP11" i="7"/>
  <c r="BK20" i="9"/>
  <c r="DP11" i="2"/>
  <c r="DP14" i="6"/>
  <c r="DP15" i="6"/>
  <c r="DP14" i="7"/>
  <c r="DO12" i="11"/>
  <c r="DO12" i="2"/>
  <c r="DO19" i="6"/>
  <c r="DP7" i="6"/>
  <c r="DP12" i="6"/>
  <c r="DP7" i="2"/>
  <c r="DP6" i="2"/>
  <c r="DP5" i="2"/>
  <c r="DP10" i="2"/>
  <c r="DP10" i="11"/>
  <c r="DP5" i="11"/>
  <c r="DO16" i="7"/>
  <c r="DP8" i="2"/>
  <c r="DP6" i="7"/>
  <c r="DP10" i="7"/>
  <c r="DP7" i="7"/>
  <c r="DP5" i="7"/>
  <c r="DP9" i="11"/>
  <c r="DP6" i="11"/>
  <c r="DP7" i="11"/>
  <c r="DP11" i="11"/>
  <c r="DP6" i="6"/>
  <c r="DP5" i="6"/>
  <c r="DP13" i="6"/>
  <c r="DP10" i="6"/>
  <c r="DP11" i="6"/>
  <c r="DP9" i="6"/>
  <c r="DQ4" i="11"/>
  <c r="DQ4" i="6"/>
  <c r="DQ8" i="6" s="1"/>
  <c r="DQ4" i="7"/>
  <c r="DQ9" i="7" s="1"/>
  <c r="DQ4" i="2"/>
  <c r="DQ9" i="2" s="1"/>
  <c r="DN15" i="9" l="1"/>
  <c r="DN19" i="9"/>
  <c r="DN18" i="9"/>
  <c r="DM41" i="9"/>
  <c r="DM44" i="9"/>
  <c r="DL26" i="3"/>
  <c r="DK33" i="9"/>
  <c r="DL26" i="9"/>
  <c r="DL27" i="9" s="1"/>
  <c r="BK31" i="9"/>
  <c r="BK29" i="9"/>
  <c r="BK28" i="9"/>
  <c r="BK30" i="9"/>
  <c r="DM25" i="9"/>
  <c r="DM24" i="9"/>
  <c r="DM32" i="9" s="1"/>
  <c r="DM23" i="9"/>
  <c r="DM22" i="9"/>
  <c r="DN104" i="3"/>
  <c r="DN97" i="3"/>
  <c r="DO14" i="9"/>
  <c r="DO124" i="3"/>
  <c r="DM37" i="9"/>
  <c r="DM47" i="9"/>
  <c r="DM45" i="9"/>
  <c r="DM49" i="9"/>
  <c r="DM42" i="9"/>
  <c r="DM51" i="9"/>
  <c r="DM38" i="9"/>
  <c r="DM46" i="9"/>
  <c r="DN13" i="9"/>
  <c r="DO16" i="9"/>
  <c r="DN12" i="9"/>
  <c r="DN43" i="9" s="1"/>
  <c r="DN11" i="9"/>
  <c r="DN10" i="9"/>
  <c r="DN61" i="9" a="1"/>
  <c r="DN61" i="9" s="1"/>
  <c r="DM65" i="9"/>
  <c r="DM25" i="3" s="1" a="1"/>
  <c r="DM25" i="3" s="1"/>
  <c r="DM26" i="3" s="1"/>
  <c r="DP2" i="3"/>
  <c r="DO76" i="3"/>
  <c r="DP3" i="3"/>
  <c r="DP63" i="3"/>
  <c r="DP84" i="3"/>
  <c r="DP66" i="3" s="1"/>
  <c r="DP5" i="3"/>
  <c r="DP21" i="3"/>
  <c r="DP65" i="3"/>
  <c r="DP16" i="3"/>
  <c r="DP22" i="3"/>
  <c r="DP32" i="3" s="1"/>
  <c r="DP17" i="3"/>
  <c r="DP114" i="3" a="1"/>
  <c r="DP114" i="3" s="1"/>
  <c r="DP18" i="3"/>
  <c r="DP64" i="3"/>
  <c r="DP58" i="3"/>
  <c r="DP40" i="3" s="1"/>
  <c r="DP20" i="3"/>
  <c r="DP80" i="3"/>
  <c r="DP51" i="3" s="1"/>
  <c r="DQ4" i="3"/>
  <c r="DP45" i="3"/>
  <c r="BK39" i="9"/>
  <c r="DQ8" i="7"/>
  <c r="DQ8" i="11"/>
  <c r="DQ16" i="6"/>
  <c r="DQ17" i="6"/>
  <c r="DQ18" i="6"/>
  <c r="DQ15" i="7"/>
  <c r="DQ11" i="7"/>
  <c r="DQ13" i="7"/>
  <c r="DQ12" i="7"/>
  <c r="BJ50" i="9"/>
  <c r="BJ58" i="9"/>
  <c r="BJ59" i="9" s="1"/>
  <c r="BJ29" i="3" s="1" a="1"/>
  <c r="BJ29" i="3" s="1"/>
  <c r="BL17" i="9"/>
  <c r="BK40" i="9"/>
  <c r="DQ11" i="2"/>
  <c r="DQ15" i="6"/>
  <c r="DQ14" i="6"/>
  <c r="DQ14" i="7"/>
  <c r="DP12" i="11"/>
  <c r="DP12" i="2"/>
  <c r="DP19" i="6"/>
  <c r="DQ7" i="6"/>
  <c r="DQ12" i="6"/>
  <c r="DQ6" i="2"/>
  <c r="DQ7" i="2"/>
  <c r="DQ5" i="2"/>
  <c r="DQ10" i="2"/>
  <c r="DQ10" i="11"/>
  <c r="DQ5" i="11"/>
  <c r="DP16" i="7"/>
  <c r="DQ7" i="7"/>
  <c r="DQ5" i="7"/>
  <c r="DQ6" i="7"/>
  <c r="DQ10" i="7"/>
  <c r="DQ8" i="2"/>
  <c r="DQ5" i="6"/>
  <c r="DQ13" i="6"/>
  <c r="DQ9" i="6"/>
  <c r="DQ10" i="6"/>
  <c r="DQ11" i="6"/>
  <c r="DQ6" i="6"/>
  <c r="DR4" i="11"/>
  <c r="DR4" i="6"/>
  <c r="DR8" i="6" s="1"/>
  <c r="DR4" i="7"/>
  <c r="DR9" i="7" s="1"/>
  <c r="DR4" i="2"/>
  <c r="DR9" i="2" s="1"/>
  <c r="DQ11" i="11"/>
  <c r="DQ9" i="11"/>
  <c r="DQ6" i="11"/>
  <c r="DQ7" i="11"/>
  <c r="DN41" i="9" l="1"/>
  <c r="DN44" i="9"/>
  <c r="DO15" i="9"/>
  <c r="DO19" i="9"/>
  <c r="DO18" i="9"/>
  <c r="DN65" i="9"/>
  <c r="DN25" i="3" s="1" a="1"/>
  <c r="DN25" i="3" s="1"/>
  <c r="DN25" i="9"/>
  <c r="DN22" i="9"/>
  <c r="DN24" i="9"/>
  <c r="DN32" i="9" s="1"/>
  <c r="DN23" i="9"/>
  <c r="BK34" i="9"/>
  <c r="BK113" i="3" s="1" a="1"/>
  <c r="BK113" i="3" s="1"/>
  <c r="BK115" i="3" s="1"/>
  <c r="BK116" i="3" s="1"/>
  <c r="DM26" i="9"/>
  <c r="DM27" i="9" s="1"/>
  <c r="DL33" i="9"/>
  <c r="DO104" i="3"/>
  <c r="DO97" i="3"/>
  <c r="DP14" i="9"/>
  <c r="DP124" i="3"/>
  <c r="DP16" i="9"/>
  <c r="DO13" i="9"/>
  <c r="DO10" i="9"/>
  <c r="DO12" i="9"/>
  <c r="DO43" i="9" s="1"/>
  <c r="DO11" i="9"/>
  <c r="DO61" i="9" a="1"/>
  <c r="DO61" i="9" s="1"/>
  <c r="DN45" i="9"/>
  <c r="DN51" i="9"/>
  <c r="DN47" i="9"/>
  <c r="DN46" i="9"/>
  <c r="DN42" i="9"/>
  <c r="DN49" i="9"/>
  <c r="DN38" i="9"/>
  <c r="DN37" i="9"/>
  <c r="DN24" i="3" a="1"/>
  <c r="DN24" i="3" s="1"/>
  <c r="DQ3" i="3"/>
  <c r="DQ80" i="3"/>
  <c r="DQ51" i="3" s="1"/>
  <c r="DQ5" i="3"/>
  <c r="DQ16" i="3"/>
  <c r="DQ84" i="3"/>
  <c r="DQ66" i="3" s="1"/>
  <c r="DR4" i="3"/>
  <c r="DQ45" i="3"/>
  <c r="DQ58" i="3"/>
  <c r="DQ40" i="3" s="1"/>
  <c r="DQ63" i="3"/>
  <c r="DQ21" i="3"/>
  <c r="DQ65" i="3"/>
  <c r="DQ22" i="3"/>
  <c r="DQ32" i="3" s="1"/>
  <c r="DQ18" i="3"/>
  <c r="DQ17" i="3"/>
  <c r="DQ64" i="3"/>
  <c r="DQ20" i="3"/>
  <c r="DQ114" i="3" a="1"/>
  <c r="DQ114" i="3" s="1"/>
  <c r="DQ2" i="3"/>
  <c r="DQ124" i="3" s="1"/>
  <c r="DP76" i="3"/>
  <c r="DR8" i="7"/>
  <c r="DR8" i="11"/>
  <c r="DR18" i="6"/>
  <c r="DR16" i="6"/>
  <c r="DR17" i="6"/>
  <c r="DR15" i="7"/>
  <c r="DR11" i="7"/>
  <c r="DR12" i="7"/>
  <c r="DR13" i="7"/>
  <c r="BL20" i="9"/>
  <c r="DR11" i="2"/>
  <c r="DR14" i="6"/>
  <c r="DR15" i="6"/>
  <c r="DR14" i="7"/>
  <c r="DQ12" i="2"/>
  <c r="DQ12" i="11"/>
  <c r="DQ19" i="6"/>
  <c r="DR7" i="6"/>
  <c r="DR12" i="6"/>
  <c r="DR7" i="2"/>
  <c r="DR6" i="2"/>
  <c r="DR5" i="2"/>
  <c r="DR10" i="2"/>
  <c r="DR10" i="11"/>
  <c r="DR5" i="11"/>
  <c r="DQ16" i="7"/>
  <c r="DS4" i="11"/>
  <c r="DS4" i="7"/>
  <c r="DS9" i="7" s="1"/>
  <c r="DS4" i="6"/>
  <c r="DS8" i="6" s="1"/>
  <c r="DS4" i="2"/>
  <c r="DS9" i="2" s="1"/>
  <c r="DR5" i="6"/>
  <c r="DR11" i="6"/>
  <c r="DR10" i="6"/>
  <c r="DR9" i="6"/>
  <c r="DR13" i="6"/>
  <c r="DR6" i="6"/>
  <c r="DR9" i="11"/>
  <c r="DR7" i="11"/>
  <c r="DR11" i="11"/>
  <c r="DR6" i="11"/>
  <c r="DR8" i="2"/>
  <c r="DR7" i="7"/>
  <c r="DR10" i="7"/>
  <c r="DR5" i="7"/>
  <c r="DR6" i="7"/>
  <c r="DN26" i="3" l="1"/>
  <c r="DP15" i="9"/>
  <c r="DP18" i="9"/>
  <c r="DP19" i="9"/>
  <c r="DO41" i="9"/>
  <c r="DO44" i="9"/>
  <c r="DM33" i="9"/>
  <c r="BL31" i="9"/>
  <c r="BL29" i="9"/>
  <c r="BL30" i="9"/>
  <c r="BL28" i="9"/>
  <c r="DN26" i="9"/>
  <c r="DN27" i="9" s="1"/>
  <c r="DO25" i="9"/>
  <c r="DO23" i="9"/>
  <c r="DO24" i="9"/>
  <c r="DO32" i="9" s="1"/>
  <c r="DO22" i="9"/>
  <c r="DQ104" i="3"/>
  <c r="DQ97" i="3"/>
  <c r="DP104" i="3"/>
  <c r="DP97" i="3"/>
  <c r="DQ14" i="9"/>
  <c r="DQ16" i="9"/>
  <c r="DP13" i="9"/>
  <c r="DP12" i="9"/>
  <c r="DP43" i="9" s="1"/>
  <c r="DP11" i="9"/>
  <c r="DP10" i="9"/>
  <c r="DP61" i="9" a="1"/>
  <c r="DP61" i="9" s="1"/>
  <c r="DO38" i="9"/>
  <c r="DO49" i="9"/>
  <c r="DO37" i="9"/>
  <c r="DO46" i="9"/>
  <c r="DO47" i="9"/>
  <c r="DO51" i="9"/>
  <c r="DO42" i="9"/>
  <c r="DO45" i="9"/>
  <c r="DO65" i="9"/>
  <c r="DO25" i="3" s="1" a="1"/>
  <c r="DO25" i="3" s="1"/>
  <c r="DO24" i="3" a="1"/>
  <c r="DO24" i="3" s="1"/>
  <c r="DQ76" i="3"/>
  <c r="DR2" i="3"/>
  <c r="DR3" i="3"/>
  <c r="DS4" i="3"/>
  <c r="DR84" i="3"/>
  <c r="DR66" i="3" s="1"/>
  <c r="DR22" i="3"/>
  <c r="DR5" i="3"/>
  <c r="DR32" i="3"/>
  <c r="DR58" i="3"/>
  <c r="DR40" i="3" s="1"/>
  <c r="DR114" i="3" a="1"/>
  <c r="DR114" i="3" s="1"/>
  <c r="DR16" i="3"/>
  <c r="DR65" i="3"/>
  <c r="DR17" i="3"/>
  <c r="DR45" i="3"/>
  <c r="DR18" i="3"/>
  <c r="DR64" i="3"/>
  <c r="DR80" i="3"/>
  <c r="DR51" i="3" s="1"/>
  <c r="DR20" i="3"/>
  <c r="DR21" i="3"/>
  <c r="DR63" i="3"/>
  <c r="BL39" i="9"/>
  <c r="DS8" i="7"/>
  <c r="DS8" i="11"/>
  <c r="DS18" i="6"/>
  <c r="DS16" i="6"/>
  <c r="DS17" i="6"/>
  <c r="DS15" i="7"/>
  <c r="DS13" i="7"/>
  <c r="DS11" i="7"/>
  <c r="DS12" i="7"/>
  <c r="BK50" i="9"/>
  <c r="BK58" i="9"/>
  <c r="BK59" i="9" s="1"/>
  <c r="BK29" i="3" s="1" a="1"/>
  <c r="BK29" i="3" s="1"/>
  <c r="BM17" i="9"/>
  <c r="BL40" i="9"/>
  <c r="DS11" i="2"/>
  <c r="DS15" i="6"/>
  <c r="DS14" i="6"/>
  <c r="DS14" i="7"/>
  <c r="DR12" i="11"/>
  <c r="DR12" i="2"/>
  <c r="DR19" i="6"/>
  <c r="DS7" i="6"/>
  <c r="DS12" i="6"/>
  <c r="DS7" i="2"/>
  <c r="DS6" i="2"/>
  <c r="DS5" i="2"/>
  <c r="DS10" i="2"/>
  <c r="DS10" i="11"/>
  <c r="DS5" i="11"/>
  <c r="DS8" i="2"/>
  <c r="DT4" i="11"/>
  <c r="DT4" i="7"/>
  <c r="DT9" i="7" s="1"/>
  <c r="DT4" i="6"/>
  <c r="DT8" i="6" s="1"/>
  <c r="DT4" i="2"/>
  <c r="DT9" i="2" s="1"/>
  <c r="DS5" i="7"/>
  <c r="DS6" i="7"/>
  <c r="DS7" i="7"/>
  <c r="DS10" i="7"/>
  <c r="DS9" i="11"/>
  <c r="DS7" i="11"/>
  <c r="DS6" i="11"/>
  <c r="DS11" i="11"/>
  <c r="DR16" i="7"/>
  <c r="DS5" i="6"/>
  <c r="DS11" i="6"/>
  <c r="DS6" i="6"/>
  <c r="DS13" i="6"/>
  <c r="DS9" i="6"/>
  <c r="DS10" i="6"/>
  <c r="DP41" i="9" l="1"/>
  <c r="DP44" i="9"/>
  <c r="DQ15" i="9"/>
  <c r="DQ18" i="9"/>
  <c r="DQ19" i="9"/>
  <c r="BL34" i="9"/>
  <c r="BL58" i="9" s="1"/>
  <c r="BL59" i="9" s="1"/>
  <c r="BL29" i="3" s="1" a="1"/>
  <c r="BL29" i="3" s="1"/>
  <c r="DN33" i="9"/>
  <c r="DO26" i="9"/>
  <c r="DO27" i="9" s="1"/>
  <c r="DP25" i="9"/>
  <c r="DP22" i="9"/>
  <c r="DP24" i="9"/>
  <c r="DP32" i="9" s="1"/>
  <c r="DP23" i="9"/>
  <c r="DR14" i="9"/>
  <c r="DR124" i="3"/>
  <c r="DR97" i="3" s="1"/>
  <c r="DP65" i="9"/>
  <c r="DP25" i="3" s="1" a="1"/>
  <c r="DP25" i="3" s="1"/>
  <c r="DO26" i="3"/>
  <c r="DP42" i="9"/>
  <c r="DP46" i="9"/>
  <c r="DP49" i="9"/>
  <c r="DP45" i="9"/>
  <c r="DP38" i="9"/>
  <c r="DP51" i="9"/>
  <c r="DP37" i="9"/>
  <c r="DP47" i="9"/>
  <c r="DR16" i="9"/>
  <c r="DQ13" i="9"/>
  <c r="DQ10" i="9"/>
  <c r="DQ12" i="9"/>
  <c r="DQ43" i="9" s="1"/>
  <c r="DQ11" i="9"/>
  <c r="DQ61" i="9" a="1"/>
  <c r="DQ61" i="9" s="1"/>
  <c r="DP24" i="3" a="1"/>
  <c r="DP24" i="3" s="1"/>
  <c r="DS2" i="3"/>
  <c r="DS22" i="3"/>
  <c r="DS32" i="3" s="1"/>
  <c r="DS58" i="3"/>
  <c r="DS40" i="3" s="1"/>
  <c r="DS84" i="3"/>
  <c r="DS66" i="3" s="1"/>
  <c r="DS3" i="3"/>
  <c r="DS16" i="3"/>
  <c r="DS63" i="3"/>
  <c r="DS5" i="3"/>
  <c r="DT4" i="3"/>
  <c r="DS64" i="3"/>
  <c r="DS114" i="3" a="1"/>
  <c r="DS114" i="3" s="1"/>
  <c r="DS18" i="3"/>
  <c r="DS20" i="3"/>
  <c r="DS65" i="3"/>
  <c r="DS21" i="3"/>
  <c r="DS45" i="3"/>
  <c r="DS17" i="3"/>
  <c r="DS80" i="3"/>
  <c r="DS51" i="3" s="1"/>
  <c r="DR76" i="3"/>
  <c r="DT8" i="7"/>
  <c r="DT8" i="11"/>
  <c r="DT16" i="6"/>
  <c r="DT17" i="6"/>
  <c r="DT18" i="6"/>
  <c r="DT15" i="7"/>
  <c r="DT12" i="7"/>
  <c r="DT13" i="7"/>
  <c r="DT11" i="7"/>
  <c r="BM20" i="9"/>
  <c r="DT11" i="2"/>
  <c r="DT14" i="6"/>
  <c r="DT15" i="6"/>
  <c r="DT14" i="7"/>
  <c r="DS12" i="2"/>
  <c r="DS12" i="11"/>
  <c r="DS19" i="6"/>
  <c r="DT7" i="6"/>
  <c r="DT12" i="6"/>
  <c r="DT7" i="2"/>
  <c r="DT6" i="2"/>
  <c r="DT5" i="2"/>
  <c r="DT10" i="2"/>
  <c r="DT10" i="11"/>
  <c r="DT5" i="11"/>
  <c r="DT6" i="6"/>
  <c r="DT5" i="6"/>
  <c r="DT11" i="6"/>
  <c r="DT13" i="6"/>
  <c r="DT10" i="6"/>
  <c r="DT9" i="6"/>
  <c r="DU4" i="11"/>
  <c r="DU4" i="6"/>
  <c r="DU8" i="6" s="1"/>
  <c r="DU4" i="7"/>
  <c r="DU9" i="7" s="1"/>
  <c r="DU4" i="2"/>
  <c r="DU9" i="2" s="1"/>
  <c r="DT6" i="7"/>
  <c r="DT10" i="7"/>
  <c r="DT5" i="7"/>
  <c r="DT7" i="7"/>
  <c r="DS16" i="7"/>
  <c r="DT8" i="2"/>
  <c r="DT9" i="11"/>
  <c r="DT11" i="11"/>
  <c r="DT7" i="11"/>
  <c r="DT6" i="11"/>
  <c r="DQ41" i="9" l="1"/>
  <c r="DQ44" i="9"/>
  <c r="DR15" i="9"/>
  <c r="DR18" i="9"/>
  <c r="DR19" i="9"/>
  <c r="DP26" i="3"/>
  <c r="DP26" i="9"/>
  <c r="DP27" i="9" s="1"/>
  <c r="BM31" i="9"/>
  <c r="BM29" i="9"/>
  <c r="BM28" i="9"/>
  <c r="BM30" i="9"/>
  <c r="DO33" i="9"/>
  <c r="DQ25" i="9"/>
  <c r="DQ24" i="9"/>
  <c r="DQ32" i="9" s="1"/>
  <c r="DQ22" i="9"/>
  <c r="DQ23" i="9"/>
  <c r="DQ65" i="9"/>
  <c r="DQ25" i="3" s="1" a="1"/>
  <c r="DQ25" i="3" s="1"/>
  <c r="DR104" i="3"/>
  <c r="DS14" i="9"/>
  <c r="DS124" i="3"/>
  <c r="DS76" i="3"/>
  <c r="DQ49" i="9"/>
  <c r="DQ45" i="9"/>
  <c r="DQ42" i="9"/>
  <c r="DQ46" i="9"/>
  <c r="DQ37" i="9"/>
  <c r="DQ51" i="9"/>
  <c r="DQ47" i="9"/>
  <c r="DQ38" i="9"/>
  <c r="DQ24" i="3" a="1"/>
  <c r="DQ24" i="3" s="1"/>
  <c r="DR13" i="9"/>
  <c r="DS16" i="9"/>
  <c r="DR10" i="9"/>
  <c r="DR12" i="9"/>
  <c r="DR43" i="9" s="1"/>
  <c r="DR11" i="9"/>
  <c r="DR61" i="9" a="1"/>
  <c r="DR61" i="9" s="1"/>
  <c r="DR24" i="3" s="1" a="1"/>
  <c r="DR24" i="3" s="1"/>
  <c r="DT2" i="3"/>
  <c r="DT124" i="3" s="1"/>
  <c r="DT17" i="3"/>
  <c r="DT32" i="3"/>
  <c r="DT114" i="3" a="1"/>
  <c r="DT114" i="3" s="1"/>
  <c r="DU4" i="3"/>
  <c r="DT21" i="3"/>
  <c r="DT58" i="3"/>
  <c r="DT40" i="3" s="1"/>
  <c r="DT16" i="3"/>
  <c r="DT3" i="3"/>
  <c r="DT80" i="3"/>
  <c r="DT51" i="3" s="1"/>
  <c r="DT64" i="3"/>
  <c r="DT5" i="3"/>
  <c r="DT45" i="3"/>
  <c r="DT84" i="3"/>
  <c r="DT66" i="3" s="1"/>
  <c r="DT63" i="3"/>
  <c r="DT18" i="3"/>
  <c r="DT20" i="3"/>
  <c r="DT22" i="3"/>
  <c r="DT65" i="3"/>
  <c r="BM39" i="9"/>
  <c r="DU8" i="7"/>
  <c r="DU8" i="11"/>
  <c r="DU16" i="6"/>
  <c r="DU17" i="6"/>
  <c r="DU18" i="6"/>
  <c r="DU15" i="7"/>
  <c r="DU11" i="7"/>
  <c r="DU12" i="7"/>
  <c r="DU13" i="7"/>
  <c r="BL113" i="3" a="1"/>
  <c r="BL113" i="3" s="1"/>
  <c r="BL115" i="3" s="1"/>
  <c r="BL116" i="3" s="1"/>
  <c r="BL50" i="9"/>
  <c r="BN17" i="9"/>
  <c r="BM40" i="9"/>
  <c r="DU11" i="2"/>
  <c r="DU15" i="6"/>
  <c r="DU14" i="6"/>
  <c r="DU14" i="7"/>
  <c r="DT12" i="2"/>
  <c r="DT12" i="11"/>
  <c r="DT19" i="6"/>
  <c r="DU7" i="6"/>
  <c r="DU12" i="6"/>
  <c r="DU6" i="2"/>
  <c r="DU7" i="2"/>
  <c r="DU5" i="2"/>
  <c r="DU10" i="2"/>
  <c r="DU10" i="11"/>
  <c r="DU5" i="11"/>
  <c r="DT16" i="7"/>
  <c r="DV4" i="11"/>
  <c r="DV4" i="6"/>
  <c r="DV8" i="6" s="1"/>
  <c r="DV4" i="7"/>
  <c r="DV9" i="7" s="1"/>
  <c r="DV4" i="2"/>
  <c r="DV9" i="2" s="1"/>
  <c r="DU11" i="6"/>
  <c r="DU6" i="6"/>
  <c r="DU5" i="6"/>
  <c r="DU13" i="6"/>
  <c r="DU10" i="6"/>
  <c r="DU9" i="6"/>
  <c r="DU8" i="2"/>
  <c r="DU7" i="11"/>
  <c r="DU11" i="11"/>
  <c r="DU6" i="11"/>
  <c r="DU9" i="11"/>
  <c r="DU10" i="7"/>
  <c r="DU7" i="7"/>
  <c r="DU5" i="7"/>
  <c r="DU6" i="7"/>
  <c r="DS15" i="9" l="1"/>
  <c r="DS19" i="9"/>
  <c r="DS18" i="9"/>
  <c r="DR41" i="9"/>
  <c r="DR44" i="9"/>
  <c r="DR25" i="9"/>
  <c r="DR23" i="9"/>
  <c r="DR22" i="9"/>
  <c r="DR24" i="9"/>
  <c r="DR32" i="9" s="1"/>
  <c r="BM34" i="9"/>
  <c r="BM58" i="9" s="1"/>
  <c r="BM59" i="9" s="1"/>
  <c r="BM29" i="3" s="1" a="1"/>
  <c r="BM29" i="3" s="1"/>
  <c r="DQ26" i="3"/>
  <c r="DQ26" i="9"/>
  <c r="DQ27" i="9" s="1"/>
  <c r="DP33" i="9"/>
  <c r="DT14" i="9"/>
  <c r="DT104" i="3"/>
  <c r="DT97" i="3"/>
  <c r="DS104" i="3"/>
  <c r="DS97" i="3"/>
  <c r="DT16" i="9"/>
  <c r="DS13" i="9"/>
  <c r="DS12" i="9"/>
  <c r="DS43" i="9" s="1"/>
  <c r="DS10" i="9"/>
  <c r="DS11" i="9"/>
  <c r="DS61" i="9" a="1"/>
  <c r="DS61" i="9" s="1"/>
  <c r="DR37" i="9"/>
  <c r="DR45" i="9"/>
  <c r="DR42" i="9"/>
  <c r="DR51" i="9"/>
  <c r="DR38" i="9"/>
  <c r="DR49" i="9"/>
  <c r="DR47" i="9"/>
  <c r="DR46" i="9"/>
  <c r="DR65" i="9"/>
  <c r="DR25" i="3" s="1" a="1"/>
  <c r="DR25" i="3" s="1"/>
  <c r="DR26" i="3" s="1"/>
  <c r="DU2" i="3"/>
  <c r="DU124" i="3" s="1"/>
  <c r="DU22" i="3"/>
  <c r="DU16" i="3"/>
  <c r="DU32" i="3"/>
  <c r="DU18" i="3"/>
  <c r="DU3" i="3"/>
  <c r="DU64" i="3"/>
  <c r="DU84" i="3"/>
  <c r="DU66" i="3" s="1"/>
  <c r="DU45" i="3"/>
  <c r="DU5" i="3"/>
  <c r="DU63" i="3"/>
  <c r="DU114" i="3" a="1"/>
  <c r="DU114" i="3" s="1"/>
  <c r="DV4" i="3"/>
  <c r="DU80" i="3"/>
  <c r="DU51" i="3" s="1"/>
  <c r="DU21" i="3"/>
  <c r="DU20" i="3"/>
  <c r="DU17" i="3"/>
  <c r="DU58" i="3"/>
  <c r="DU40" i="3" s="1"/>
  <c r="DU65" i="3"/>
  <c r="DT76" i="3"/>
  <c r="DV8" i="7"/>
  <c r="DV8" i="11"/>
  <c r="DV16" i="6"/>
  <c r="DV17" i="6"/>
  <c r="DV18" i="6"/>
  <c r="DV15" i="7"/>
  <c r="DV12" i="7"/>
  <c r="DV11" i="7"/>
  <c r="DV13" i="7"/>
  <c r="BN20" i="9"/>
  <c r="DV11" i="2"/>
  <c r="DV14" i="6"/>
  <c r="DV15" i="6"/>
  <c r="DV14" i="7"/>
  <c r="DU12" i="11"/>
  <c r="DU12" i="2"/>
  <c r="DU19" i="6"/>
  <c r="DV7" i="6"/>
  <c r="DV12" i="6"/>
  <c r="DV7" i="2"/>
  <c r="DV6" i="2"/>
  <c r="DV5" i="2"/>
  <c r="DV10" i="2"/>
  <c r="DV10" i="11"/>
  <c r="DV5" i="11"/>
  <c r="DU16" i="7"/>
  <c r="DW4" i="11"/>
  <c r="DW4" i="7"/>
  <c r="DW9" i="7" s="1"/>
  <c r="DW4" i="6"/>
  <c r="DW8" i="6" s="1"/>
  <c r="DW4" i="2"/>
  <c r="DW9" i="2" s="1"/>
  <c r="DV5" i="6"/>
  <c r="DV13" i="6"/>
  <c r="DV6" i="6"/>
  <c r="DV10" i="6"/>
  <c r="DV9" i="6"/>
  <c r="DV11" i="6"/>
  <c r="DV9" i="11"/>
  <c r="DV7" i="11"/>
  <c r="DV11" i="11"/>
  <c r="DV6" i="11"/>
  <c r="DV8" i="2"/>
  <c r="DV5" i="7"/>
  <c r="DV7" i="7"/>
  <c r="DV10" i="7"/>
  <c r="DV6" i="7"/>
  <c r="DS41" i="9" l="1"/>
  <c r="DS44" i="9"/>
  <c r="DT15" i="9"/>
  <c r="DT19" i="9"/>
  <c r="DT18" i="9"/>
  <c r="DS65" i="9"/>
  <c r="DS25" i="3" s="1" a="1"/>
  <c r="DS25" i="3" s="1"/>
  <c r="DQ33" i="9"/>
  <c r="DS25" i="9"/>
  <c r="DS23" i="9"/>
  <c r="DS24" i="9"/>
  <c r="DS32" i="9" s="1"/>
  <c r="DS22" i="9"/>
  <c r="BN31" i="9"/>
  <c r="BN29" i="9"/>
  <c r="BN30" i="9"/>
  <c r="BN28" i="9"/>
  <c r="DR26" i="9"/>
  <c r="DR27" i="9" s="1"/>
  <c r="DU104" i="3"/>
  <c r="DU97" i="3"/>
  <c r="DU76" i="3"/>
  <c r="DU14" i="9"/>
  <c r="DS24" i="3" a="1"/>
  <c r="DS24" i="3" s="1"/>
  <c r="DS51" i="9"/>
  <c r="DS45" i="9"/>
  <c r="DS47" i="9"/>
  <c r="DS46" i="9"/>
  <c r="DS37" i="9"/>
  <c r="DS49" i="9"/>
  <c r="DS42" i="9"/>
  <c r="DS38" i="9"/>
  <c r="DU16" i="9"/>
  <c r="DT13" i="9"/>
  <c r="DT11" i="9"/>
  <c r="DT10" i="9"/>
  <c r="DT12" i="9"/>
  <c r="DT43" i="9" s="1"/>
  <c r="DT61" i="9" a="1"/>
  <c r="DT61" i="9" s="1"/>
  <c r="DV3" i="3"/>
  <c r="DV32" i="3"/>
  <c r="DV63" i="3"/>
  <c r="DV21" i="3"/>
  <c r="DV5" i="3"/>
  <c r="DV80" i="3"/>
  <c r="DV51" i="3" s="1"/>
  <c r="DW4" i="3"/>
  <c r="DV84" i="3"/>
  <c r="DV66" i="3" s="1"/>
  <c r="DV114" i="3" a="1"/>
  <c r="DV114" i="3" s="1"/>
  <c r="DV20" i="3"/>
  <c r="DV45" i="3"/>
  <c r="DV17" i="3"/>
  <c r="DV64" i="3"/>
  <c r="DV58" i="3"/>
  <c r="DV40" i="3" s="1"/>
  <c r="DV18" i="3"/>
  <c r="DV22" i="3"/>
  <c r="DV16" i="3"/>
  <c r="DV65" i="3"/>
  <c r="DV2" i="3"/>
  <c r="DV124" i="3" s="1"/>
  <c r="BN39" i="9"/>
  <c r="DW8" i="7"/>
  <c r="DW8" i="11"/>
  <c r="DW16" i="6"/>
  <c r="DW17" i="6"/>
  <c r="DW18" i="6"/>
  <c r="BM113" i="3" a="1"/>
  <c r="BM113" i="3" s="1"/>
  <c r="BM115" i="3" s="1"/>
  <c r="BM116" i="3" s="1"/>
  <c r="DW15" i="7"/>
  <c r="DW13" i="7"/>
  <c r="DW11" i="7"/>
  <c r="DW12" i="7"/>
  <c r="BM50" i="9"/>
  <c r="BO17" i="9"/>
  <c r="BN40" i="9"/>
  <c r="DW11" i="2"/>
  <c r="DW14" i="6"/>
  <c r="DW15" i="6"/>
  <c r="DW14" i="7"/>
  <c r="DV12" i="11"/>
  <c r="DV12" i="2"/>
  <c r="DV19" i="6"/>
  <c r="DW7" i="6"/>
  <c r="DW12" i="6"/>
  <c r="DW6" i="2"/>
  <c r="DW7" i="2"/>
  <c r="DW5" i="2"/>
  <c r="DW10" i="2"/>
  <c r="DW10" i="11"/>
  <c r="DW5" i="11"/>
  <c r="DW6" i="6"/>
  <c r="DW13" i="6"/>
  <c r="DW10" i="6"/>
  <c r="DW9" i="6"/>
  <c r="DW11" i="6"/>
  <c r="DW5" i="6"/>
  <c r="DW8" i="2"/>
  <c r="DV16" i="7"/>
  <c r="DX4" i="11"/>
  <c r="DX4" i="7"/>
  <c r="DX9" i="7" s="1"/>
  <c r="DX4" i="6"/>
  <c r="DX8" i="6" s="1"/>
  <c r="DX4" i="2"/>
  <c r="DX9" i="2" s="1"/>
  <c r="DW7" i="7"/>
  <c r="DW5" i="7"/>
  <c r="DW6" i="7"/>
  <c r="DW10" i="7"/>
  <c r="DW9" i="11"/>
  <c r="DW6" i="11"/>
  <c r="DW11" i="11"/>
  <c r="DW7" i="11"/>
  <c r="DU15" i="9" l="1"/>
  <c r="DU19" i="9"/>
  <c r="DU18" i="9"/>
  <c r="DS26" i="3"/>
  <c r="DT41" i="9"/>
  <c r="DT44" i="9"/>
  <c r="DT25" i="9"/>
  <c r="DT22" i="9"/>
  <c r="DT23" i="9"/>
  <c r="DT24" i="9"/>
  <c r="DT32" i="9" s="1"/>
  <c r="DS26" i="9"/>
  <c r="DS27" i="9" s="1"/>
  <c r="DR33" i="9"/>
  <c r="BN34" i="9"/>
  <c r="BN113" i="3" s="1" a="1"/>
  <c r="BN113" i="3" s="1"/>
  <c r="BN115" i="3" s="1"/>
  <c r="BN116" i="3" s="1"/>
  <c r="DV14" i="9"/>
  <c r="DT65" i="9"/>
  <c r="DT25" i="3" s="1" a="1"/>
  <c r="DT25" i="3" s="1"/>
  <c r="DT24" i="3" a="1"/>
  <c r="DT24" i="3" s="1"/>
  <c r="DV104" i="3"/>
  <c r="DV97" i="3"/>
  <c r="DV16" i="9"/>
  <c r="DU13" i="9"/>
  <c r="DU12" i="9"/>
  <c r="DU43" i="9" s="1"/>
  <c r="DU11" i="9"/>
  <c r="DU10" i="9"/>
  <c r="DU61" i="9" a="1"/>
  <c r="DU61" i="9" s="1"/>
  <c r="DT38" i="9"/>
  <c r="DT49" i="9"/>
  <c r="DT37" i="9"/>
  <c r="DT46" i="9"/>
  <c r="DT51" i="9"/>
  <c r="DT45" i="9"/>
  <c r="DT47" i="9"/>
  <c r="DT42" i="9"/>
  <c r="DW2" i="3"/>
  <c r="DW124" i="3" s="1"/>
  <c r="DW64" i="3"/>
  <c r="DW84" i="3"/>
  <c r="DW66" i="3" s="1"/>
  <c r="DZ4" i="7"/>
  <c r="DZ9" i="7" s="1"/>
  <c r="DW3" i="3"/>
  <c r="DZ4" i="2"/>
  <c r="DZ9" i="2" s="1"/>
  <c r="DW5" i="3"/>
  <c r="DZ4" i="11"/>
  <c r="DW80" i="3"/>
  <c r="DW51" i="3" s="1"/>
  <c r="DX4" i="3"/>
  <c r="DW45" i="3"/>
  <c r="DW114" i="3" a="1"/>
  <c r="DW114" i="3" s="1"/>
  <c r="DZ4" i="6"/>
  <c r="DZ8" i="6" s="1"/>
  <c r="DW63" i="3"/>
  <c r="DW58" i="3"/>
  <c r="DW40" i="3" s="1"/>
  <c r="DV76" i="3"/>
  <c r="DX8" i="7"/>
  <c r="DX8" i="11"/>
  <c r="DX16" i="6"/>
  <c r="DX17" i="6"/>
  <c r="DX18" i="6"/>
  <c r="DX15" i="7"/>
  <c r="DX12" i="7"/>
  <c r="DX13" i="7"/>
  <c r="DX11" i="7"/>
  <c r="BO20" i="9"/>
  <c r="DX11" i="2"/>
  <c r="DX14" i="6"/>
  <c r="DX15" i="6"/>
  <c r="DX14" i="7"/>
  <c r="DW12" i="2"/>
  <c r="DW12" i="11"/>
  <c r="DW19" i="6"/>
  <c r="DX7" i="6"/>
  <c r="DX12" i="6"/>
  <c r="DX7" i="2"/>
  <c r="DX6" i="2"/>
  <c r="DX5" i="2"/>
  <c r="DX10" i="2"/>
  <c r="DX10" i="11"/>
  <c r="DX5" i="11"/>
  <c r="DX5" i="7"/>
  <c r="DX6" i="7"/>
  <c r="DX7" i="7"/>
  <c r="DX10" i="7"/>
  <c r="DW16" i="7"/>
  <c r="DX8" i="2"/>
  <c r="DX9" i="11"/>
  <c r="DX7" i="11"/>
  <c r="DX6" i="11"/>
  <c r="DX11" i="11"/>
  <c r="DX11" i="6"/>
  <c r="DX5" i="6"/>
  <c r="DX9" i="6"/>
  <c r="DX6" i="6"/>
  <c r="DX10" i="6"/>
  <c r="DX13" i="6"/>
  <c r="DY4" i="11"/>
  <c r="DY4" i="7"/>
  <c r="DY9" i="7" s="1"/>
  <c r="DY4" i="6"/>
  <c r="DY8" i="6" s="1"/>
  <c r="DY4" i="2"/>
  <c r="DY9" i="2" s="1"/>
  <c r="DW14" i="9"/>
  <c r="DU41" i="9" l="1"/>
  <c r="DU44" i="9"/>
  <c r="DV15" i="9"/>
  <c r="DV19" i="9"/>
  <c r="DV18" i="9"/>
  <c r="DT26" i="3"/>
  <c r="DS33" i="9"/>
  <c r="DU25" i="9"/>
  <c r="DU24" i="9"/>
  <c r="DU32" i="9" s="1"/>
  <c r="DU23" i="9"/>
  <c r="DU22" i="9"/>
  <c r="BO31" i="9"/>
  <c r="BO29" i="9"/>
  <c r="BO28" i="9"/>
  <c r="BO30" i="9"/>
  <c r="DT26" i="9"/>
  <c r="DT27" i="9" s="1"/>
  <c r="F14" i="32"/>
  <c r="F9" i="32"/>
  <c r="F16" i="32"/>
  <c r="F12" i="32"/>
  <c r="F13" i="32"/>
  <c r="DW104" i="3"/>
  <c r="DW97" i="3"/>
  <c r="DU65" i="9"/>
  <c r="DU25" i="3" s="1" a="1"/>
  <c r="DU25" i="3" s="1"/>
  <c r="DU38" i="9"/>
  <c r="DU37" i="9"/>
  <c r="DU47" i="9"/>
  <c r="DU49" i="9"/>
  <c r="DU46" i="9"/>
  <c r="DU51" i="9"/>
  <c r="DU42" i="9"/>
  <c r="DU45" i="9"/>
  <c r="DU24" i="3" a="1"/>
  <c r="DU24" i="3" s="1"/>
  <c r="DW16" i="9"/>
  <c r="DV13" i="9"/>
  <c r="DV12" i="9"/>
  <c r="DV43" i="9" s="1"/>
  <c r="DV11" i="9"/>
  <c r="DV10" i="9"/>
  <c r="DV61" i="9" a="1"/>
  <c r="DV61" i="9" s="1"/>
  <c r="DZ8" i="11"/>
  <c r="DZ5" i="11"/>
  <c r="DZ7" i="11"/>
  <c r="DZ10" i="11"/>
  <c r="DZ9" i="11"/>
  <c r="DZ8" i="7"/>
  <c r="DZ6" i="7"/>
  <c r="DZ7" i="7"/>
  <c r="DZ10" i="7"/>
  <c r="DZ11" i="7"/>
  <c r="DZ12" i="7"/>
  <c r="DZ5" i="7"/>
  <c r="DZ15" i="7"/>
  <c r="DZ14" i="7"/>
  <c r="DZ13" i="7"/>
  <c r="DZ5" i="6"/>
  <c r="DZ12" i="6"/>
  <c r="DZ16" i="6"/>
  <c r="DZ10" i="6"/>
  <c r="DZ9" i="6"/>
  <c r="DZ14" i="6"/>
  <c r="DZ7" i="6"/>
  <c r="DZ13" i="6"/>
  <c r="DZ11" i="6"/>
  <c r="DZ17" i="6"/>
  <c r="DZ15" i="6"/>
  <c r="DX2" i="3"/>
  <c r="DX124" i="3" s="1"/>
  <c r="DW76" i="3"/>
  <c r="DZ11" i="2"/>
  <c r="DZ5" i="2"/>
  <c r="DZ6" i="2"/>
  <c r="DZ10" i="2"/>
  <c r="DZ8" i="2"/>
  <c r="DZ7" i="2"/>
  <c r="DX3" i="3"/>
  <c r="DX63" i="3"/>
  <c r="EA4" i="11"/>
  <c r="DX5" i="3"/>
  <c r="DX65" i="3"/>
  <c r="EA4" i="6"/>
  <c r="EA8" i="6" s="1"/>
  <c r="DX80" i="3"/>
  <c r="DX51" i="3" s="1"/>
  <c r="DX16" i="3"/>
  <c r="DX21" i="3"/>
  <c r="DX64" i="3"/>
  <c r="DX84" i="3"/>
  <c r="DX66" i="3" s="1"/>
  <c r="DX58" i="3"/>
  <c r="DX40" i="3" s="1"/>
  <c r="DX17" i="3"/>
  <c r="DX18" i="3"/>
  <c r="DX22" i="3"/>
  <c r="DX114" i="3" a="1"/>
  <c r="DX114" i="3" s="1"/>
  <c r="DX20" i="3"/>
  <c r="DX32" i="3"/>
  <c r="EA4" i="7"/>
  <c r="EA9" i="7" s="1"/>
  <c r="DY4" i="3"/>
  <c r="DX45" i="3"/>
  <c r="EA4" i="2"/>
  <c r="EA9" i="2" s="1"/>
  <c r="DQ7" i="3" a="1"/>
  <c r="DQ7" i="3" s="1"/>
  <c r="DE7" i="3" a="1"/>
  <c r="DE7" i="3" s="1"/>
  <c r="DA7" i="3" a="1"/>
  <c r="DA7" i="3" s="1"/>
  <c r="DI7" i="3" a="1"/>
  <c r="DI7" i="3" s="1"/>
  <c r="DR7" i="3" a="1"/>
  <c r="DR7" i="3" s="1"/>
  <c r="DM7" i="3" a="1"/>
  <c r="DM7" i="3" s="1"/>
  <c r="DO7" i="3" a="1"/>
  <c r="DO7" i="3" s="1"/>
  <c r="DP7" i="3" a="1"/>
  <c r="DP7" i="3" s="1"/>
  <c r="DJ7" i="3" a="1"/>
  <c r="DJ7" i="3" s="1"/>
  <c r="DF7" i="3" a="1"/>
  <c r="DF7" i="3" s="1"/>
  <c r="DS7" i="3" a="1"/>
  <c r="DS7" i="3" s="1"/>
  <c r="DN7" i="3" a="1"/>
  <c r="DN7" i="3" s="1"/>
  <c r="DH7" i="3" a="1"/>
  <c r="DH7" i="3" s="1"/>
  <c r="DB7" i="3" a="1"/>
  <c r="DB7" i="3" s="1"/>
  <c r="DG7" i="3" a="1"/>
  <c r="DG7" i="3" s="1"/>
  <c r="DT7" i="3" a="1"/>
  <c r="DT7" i="3" s="1"/>
  <c r="DL7" i="3" a="1"/>
  <c r="DL7" i="3" s="1"/>
  <c r="DK7" i="3" a="1"/>
  <c r="DK7" i="3" s="1"/>
  <c r="DD7" i="3" a="1"/>
  <c r="DD7" i="3" s="1"/>
  <c r="DC7" i="3" a="1"/>
  <c r="DC7" i="3" s="1"/>
  <c r="DE6" i="3" a="1"/>
  <c r="DE6" i="3" s="1"/>
  <c r="DR6" i="3" a="1"/>
  <c r="DR6" i="3" s="1"/>
  <c r="DP6" i="3" a="1"/>
  <c r="DP6" i="3" s="1"/>
  <c r="DH6" i="3" a="1"/>
  <c r="DH6" i="3" s="1"/>
  <c r="DG6" i="3" a="1"/>
  <c r="DG6" i="3" s="1"/>
  <c r="DI6" i="3" a="1"/>
  <c r="DI6" i="3" s="1"/>
  <c r="DF6" i="3" a="1"/>
  <c r="DF6" i="3" s="1"/>
  <c r="DB6" i="3" a="1"/>
  <c r="DB6" i="3" s="1"/>
  <c r="DN6" i="3" a="1"/>
  <c r="DN6" i="3" s="1"/>
  <c r="DQ6" i="3" a="1"/>
  <c r="DQ6" i="3" s="1"/>
  <c r="DJ6" i="3" a="1"/>
  <c r="DJ6" i="3" s="1"/>
  <c r="DM6" i="3" a="1"/>
  <c r="DM6" i="3" s="1"/>
  <c r="DA6" i="3" a="1"/>
  <c r="DA6" i="3" s="1"/>
  <c r="DO6" i="3" a="1"/>
  <c r="DO6" i="3" s="1"/>
  <c r="DL6" i="3" a="1"/>
  <c r="DL6" i="3" s="1"/>
  <c r="DS6" i="3" a="1"/>
  <c r="DS6" i="3" s="1"/>
  <c r="DC6" i="3" a="1"/>
  <c r="DC6" i="3" s="1"/>
  <c r="DK6" i="3" a="1"/>
  <c r="DK6" i="3" s="1"/>
  <c r="DT6" i="3" a="1"/>
  <c r="DT6" i="3" s="1"/>
  <c r="DD6" i="3" a="1"/>
  <c r="DD6" i="3" s="1"/>
  <c r="DE9" i="3" a="1"/>
  <c r="DE9" i="3" s="1"/>
  <c r="DB9" i="3" a="1"/>
  <c r="DB9" i="3" s="1"/>
  <c r="DO9" i="3" a="1"/>
  <c r="DO9" i="3" s="1"/>
  <c r="DI9" i="3" a="1"/>
  <c r="DI9" i="3" s="1"/>
  <c r="DQ9" i="3" a="1"/>
  <c r="DQ9" i="3" s="1"/>
  <c r="DH9" i="3" a="1"/>
  <c r="DH9" i="3" s="1"/>
  <c r="DN9" i="3" a="1"/>
  <c r="DN9" i="3" s="1"/>
  <c r="DM9" i="3" a="1"/>
  <c r="DM9" i="3" s="1"/>
  <c r="DJ9" i="3" a="1"/>
  <c r="DJ9" i="3" s="1"/>
  <c r="DC9" i="3" a="1"/>
  <c r="DC9" i="3" s="1"/>
  <c r="DD9" i="3" a="1"/>
  <c r="DD9" i="3" s="1"/>
  <c r="DT9" i="3" a="1"/>
  <c r="DT9" i="3" s="1"/>
  <c r="DG9" i="3" a="1"/>
  <c r="DG9" i="3" s="1"/>
  <c r="DF9" i="3" a="1"/>
  <c r="DF9" i="3" s="1"/>
  <c r="DP9" i="3" a="1"/>
  <c r="DP9" i="3" s="1"/>
  <c r="DK9" i="3" a="1"/>
  <c r="DK9" i="3" s="1"/>
  <c r="DR9" i="3" a="1"/>
  <c r="DR9" i="3" s="1"/>
  <c r="DS9" i="3" a="1"/>
  <c r="DS9" i="3" s="1"/>
  <c r="DL9" i="3" a="1"/>
  <c r="DL9" i="3" s="1"/>
  <c r="DQ8" i="3" a="1"/>
  <c r="DQ8" i="3" s="1"/>
  <c r="DN8" i="3" a="1"/>
  <c r="DN8" i="3" s="1"/>
  <c r="DR8" i="3" a="1"/>
  <c r="DR8" i="3" s="1"/>
  <c r="DF8" i="3" a="1"/>
  <c r="DF8" i="3" s="1"/>
  <c r="DO8" i="3" a="1"/>
  <c r="DO8" i="3" s="1"/>
  <c r="DP8" i="3" a="1"/>
  <c r="DP8" i="3" s="1"/>
  <c r="DM8" i="3" a="1"/>
  <c r="DM8" i="3" s="1"/>
  <c r="DE8" i="3" a="1"/>
  <c r="DE8" i="3" s="1"/>
  <c r="DH8" i="3" a="1"/>
  <c r="DH8" i="3" s="1"/>
  <c r="DJ8" i="3" a="1"/>
  <c r="DJ8" i="3" s="1"/>
  <c r="DI8" i="3" a="1"/>
  <c r="DI8" i="3" s="1"/>
  <c r="DG8" i="3" a="1"/>
  <c r="DG8" i="3" s="1"/>
  <c r="DL8" i="3" a="1"/>
  <c r="DL8" i="3" s="1"/>
  <c r="DB8" i="3" a="1"/>
  <c r="DB8" i="3" s="1"/>
  <c r="DK8" i="3" a="1"/>
  <c r="DK8" i="3" s="1"/>
  <c r="DT8" i="3" a="1"/>
  <c r="DT8" i="3" s="1"/>
  <c r="DS8" i="3" a="1"/>
  <c r="DS8" i="3" s="1"/>
  <c r="DC8" i="3" a="1"/>
  <c r="DC8" i="3" s="1"/>
  <c r="DD8" i="3" a="1"/>
  <c r="DD8" i="3" s="1"/>
  <c r="BO39" i="9"/>
  <c r="DY8" i="7"/>
  <c r="DY8" i="11"/>
  <c r="DY16" i="6"/>
  <c r="DY17" i="6"/>
  <c r="DY18" i="6"/>
  <c r="DY15" i="7"/>
  <c r="DY11" i="7"/>
  <c r="DY13" i="7"/>
  <c r="DY12" i="7"/>
  <c r="BN50" i="9"/>
  <c r="BN58" i="9"/>
  <c r="BN59" i="9" s="1"/>
  <c r="BN29" i="3" s="1" a="1"/>
  <c r="BN29" i="3" s="1"/>
  <c r="BP17" i="9"/>
  <c r="BO40" i="9"/>
  <c r="DY11" i="2"/>
  <c r="DY15" i="6"/>
  <c r="DY14" i="6"/>
  <c r="DY14" i="7"/>
  <c r="DX12" i="11"/>
  <c r="DU8" i="3" s="1" a="1"/>
  <c r="DU8" i="3" s="1"/>
  <c r="DX12" i="2"/>
  <c r="DU7" i="3" s="1" a="1"/>
  <c r="DU7" i="3" s="1"/>
  <c r="DX19" i="6"/>
  <c r="DU6" i="3" s="1" a="1"/>
  <c r="DU6" i="3" s="1"/>
  <c r="B174" i="1" a="1"/>
  <c r="B174" i="1" s="1"/>
  <c r="G37" i="1" a="1"/>
  <c r="G37" i="1" s="1"/>
  <c r="DY7" i="6"/>
  <c r="DY12" i="6"/>
  <c r="DY6" i="2"/>
  <c r="DY7" i="2"/>
  <c r="DY5" i="2"/>
  <c r="DY10" i="2"/>
  <c r="DY10" i="11"/>
  <c r="DY5" i="11"/>
  <c r="DY8" i="2"/>
  <c r="DY6" i="7"/>
  <c r="DY5" i="7"/>
  <c r="DY10" i="7"/>
  <c r="DY7" i="7"/>
  <c r="DY9" i="11"/>
  <c r="DY7" i="11"/>
  <c r="DY6" i="11"/>
  <c r="DY11" i="11"/>
  <c r="DY10" i="6"/>
  <c r="DY5" i="6"/>
  <c r="DY6" i="6"/>
  <c r="DY11" i="6"/>
  <c r="DY13" i="6"/>
  <c r="DY9" i="6"/>
  <c r="DX16" i="7"/>
  <c r="DU9" i="3" s="1" a="1"/>
  <c r="DU9" i="3" s="1"/>
  <c r="DV41" i="9" l="1"/>
  <c r="DV44" i="9"/>
  <c r="DW15" i="9"/>
  <c r="DW18" i="9"/>
  <c r="DW19" i="9"/>
  <c r="DV65" i="9"/>
  <c r="DV25" i="3" s="1" a="1"/>
  <c r="DV25" i="3" s="1"/>
  <c r="DU26" i="9"/>
  <c r="DU27" i="9" s="1"/>
  <c r="DV25" i="9"/>
  <c r="DV23" i="9"/>
  <c r="DV24" i="9"/>
  <c r="DV32" i="9" s="1"/>
  <c r="DV22" i="9"/>
  <c r="DT33" i="9"/>
  <c r="BO34" i="9"/>
  <c r="BO113" i="3" s="1" a="1"/>
  <c r="BO113" i="3" s="1"/>
  <c r="BO115" i="3" s="1"/>
  <c r="BO116" i="3" s="1"/>
  <c r="G174" i="1"/>
  <c r="M25" i="32"/>
  <c r="DX104" i="3"/>
  <c r="DX97" i="3"/>
  <c r="DU26" i="3"/>
  <c r="DV24" i="3" a="1"/>
  <c r="DV24" i="3" s="1"/>
  <c r="DV46" i="9"/>
  <c r="DV49" i="9"/>
  <c r="DV37" i="9"/>
  <c r="DV45" i="9"/>
  <c r="DV47" i="9"/>
  <c r="DV51" i="9"/>
  <c r="DV38" i="9"/>
  <c r="DV42" i="9"/>
  <c r="DW13" i="9"/>
  <c r="DX16" i="9"/>
  <c r="DW12" i="9"/>
  <c r="DW43" i="9" s="1"/>
  <c r="DW11" i="9"/>
  <c r="DW10" i="9"/>
  <c r="DW61" i="9" a="1"/>
  <c r="DW61" i="9" s="1"/>
  <c r="DZ16" i="7"/>
  <c r="DW9" i="3" s="1" a="1"/>
  <c r="DW9" i="3" s="1"/>
  <c r="DR10" i="3"/>
  <c r="DR33" i="3" s="1"/>
  <c r="DR38" i="3" s="1"/>
  <c r="DR39" i="3" s="1"/>
  <c r="DY2" i="3"/>
  <c r="DY124" i="3" s="1"/>
  <c r="EA8" i="11"/>
  <c r="EA10" i="11"/>
  <c r="EA9" i="11"/>
  <c r="EA7" i="11"/>
  <c r="EA5" i="11"/>
  <c r="DZ12" i="2"/>
  <c r="DW7" i="3" s="1" a="1"/>
  <c r="DW7" i="3" s="1"/>
  <c r="DF10" i="3"/>
  <c r="DF33" i="3" s="1"/>
  <c r="DF38" i="3" s="1"/>
  <c r="DF39" i="3" s="1"/>
  <c r="EA11" i="2"/>
  <c r="EA6" i="2"/>
  <c r="EA7" i="2"/>
  <c r="EA8" i="2"/>
  <c r="EA10" i="2"/>
  <c r="EA5" i="2"/>
  <c r="DY22" i="3"/>
  <c r="DY58" i="3"/>
  <c r="DY40" i="3" s="1"/>
  <c r="DY16" i="3"/>
  <c r="DY63" i="3"/>
  <c r="DY65" i="3"/>
  <c r="DY21" i="3"/>
  <c r="DY18" i="3"/>
  <c r="DY114" i="3" a="1"/>
  <c r="DY114" i="3" s="1"/>
  <c r="EB4" i="11"/>
  <c r="DY17" i="3"/>
  <c r="DY80" i="3"/>
  <c r="DY51" i="3" s="1"/>
  <c r="EB4" i="7"/>
  <c r="EB9" i="7" s="1"/>
  <c r="DY3" i="3"/>
  <c r="DY20" i="3"/>
  <c r="DY84" i="3"/>
  <c r="DY66" i="3" s="1"/>
  <c r="EB4" i="6"/>
  <c r="EB8" i="6" s="1"/>
  <c r="DY45" i="3"/>
  <c r="DY5" i="3"/>
  <c r="DZ4" i="3"/>
  <c r="DY32" i="3"/>
  <c r="DY64" i="3"/>
  <c r="EB4" i="2"/>
  <c r="EB9" i="2" s="1"/>
  <c r="EA10" i="7"/>
  <c r="EA6" i="7"/>
  <c r="EA12" i="7"/>
  <c r="EA11" i="7"/>
  <c r="EA7" i="7"/>
  <c r="EA13" i="7"/>
  <c r="EA5" i="7"/>
  <c r="EA15" i="7"/>
  <c r="EA14" i="7"/>
  <c r="EA8" i="7"/>
  <c r="EA12" i="6"/>
  <c r="EA14" i="6"/>
  <c r="EA17" i="6"/>
  <c r="EA5" i="6"/>
  <c r="EA10" i="6"/>
  <c r="EA7" i="6"/>
  <c r="EA9" i="6"/>
  <c r="EA15" i="6"/>
  <c r="EA11" i="6"/>
  <c r="EA16" i="6"/>
  <c r="EA13" i="6"/>
  <c r="DX76" i="3"/>
  <c r="DU10" i="3"/>
  <c r="DU33" i="3" s="1"/>
  <c r="DD10" i="3"/>
  <c r="DD33" i="3" s="1"/>
  <c r="DM10" i="3"/>
  <c r="DM33" i="3" s="1"/>
  <c r="DP10" i="3"/>
  <c r="DP33" i="3" s="1"/>
  <c r="DL10" i="3"/>
  <c r="DL33" i="3" s="1"/>
  <c r="DJ10" i="3"/>
  <c r="DJ33" i="3" s="1"/>
  <c r="DB10" i="3"/>
  <c r="DB33" i="3" s="1"/>
  <c r="DT10" i="3"/>
  <c r="DT33" i="3" s="1"/>
  <c r="DO10" i="3"/>
  <c r="DO33" i="3" s="1"/>
  <c r="DQ10" i="3"/>
  <c r="DQ33" i="3" s="1"/>
  <c r="DI10" i="3"/>
  <c r="DI33" i="3" s="1"/>
  <c r="DE10" i="3"/>
  <c r="DE33" i="3" s="1"/>
  <c r="DK10" i="3"/>
  <c r="DK33" i="3" s="1"/>
  <c r="DG10" i="3"/>
  <c r="DG33" i="3" s="1"/>
  <c r="DN10" i="3"/>
  <c r="DN33" i="3" s="1"/>
  <c r="DH10" i="3"/>
  <c r="DH33" i="3" s="1"/>
  <c r="DC10" i="3"/>
  <c r="DC33" i="3" s="1"/>
  <c r="DA83" i="3"/>
  <c r="DI83" i="3"/>
  <c r="DQ83" i="3"/>
  <c r="DY83" i="3"/>
  <c r="EG83" i="3"/>
  <c r="DB83" i="3"/>
  <c r="DJ83" i="3"/>
  <c r="DR83" i="3"/>
  <c r="DZ83" i="3"/>
  <c r="EH83" i="3"/>
  <c r="DC83" i="3"/>
  <c r="DK83" i="3"/>
  <c r="DS83" i="3"/>
  <c r="EA83" i="3"/>
  <c r="EI83" i="3"/>
  <c r="DD83" i="3"/>
  <c r="DL83" i="3"/>
  <c r="DT83" i="3"/>
  <c r="EB83" i="3"/>
  <c r="CW83" i="3"/>
  <c r="DE83" i="3"/>
  <c r="DM83" i="3"/>
  <c r="DU83" i="3"/>
  <c r="EC83" i="3"/>
  <c r="CX83" i="3"/>
  <c r="DF83" i="3"/>
  <c r="DN83" i="3"/>
  <c r="DV83" i="3"/>
  <c r="ED83" i="3"/>
  <c r="DG83" i="3"/>
  <c r="DH83" i="3"/>
  <c r="DO83" i="3"/>
  <c r="DW83" i="3"/>
  <c r="DX83" i="3"/>
  <c r="DP83" i="3"/>
  <c r="EE83" i="3"/>
  <c r="EF83" i="3"/>
  <c r="CY83" i="3"/>
  <c r="CZ83" i="3"/>
  <c r="DS10" i="3"/>
  <c r="DS33" i="3" s="1"/>
  <c r="L39" i="1"/>
  <c r="R5" i="23"/>
  <c r="BP20" i="9"/>
  <c r="DY12" i="11"/>
  <c r="DV8" i="3" s="1" a="1"/>
  <c r="DV8" i="3" s="1"/>
  <c r="DY12" i="2"/>
  <c r="DY19" i="6"/>
  <c r="DV6" i="3" s="1" a="1"/>
  <c r="DV6" i="3" s="1"/>
  <c r="H83" i="3"/>
  <c r="L83" i="3"/>
  <c r="P83" i="3"/>
  <c r="T83" i="3"/>
  <c r="X83" i="3"/>
  <c r="AB83" i="3"/>
  <c r="AF83" i="3"/>
  <c r="AJ83" i="3"/>
  <c r="AN83" i="3"/>
  <c r="AR83" i="3"/>
  <c r="AV83" i="3"/>
  <c r="AZ83" i="3"/>
  <c r="BD83" i="3"/>
  <c r="BH83" i="3"/>
  <c r="BL83" i="3"/>
  <c r="BP83" i="3"/>
  <c r="BT83" i="3"/>
  <c r="BX83" i="3"/>
  <c r="CB83" i="3"/>
  <c r="CF83" i="3"/>
  <c r="CJ83" i="3"/>
  <c r="CN83" i="3"/>
  <c r="CR83" i="3"/>
  <c r="CV83" i="3"/>
  <c r="G83" i="3"/>
  <c r="I83" i="3"/>
  <c r="M83" i="3"/>
  <c r="Q83" i="3"/>
  <c r="U83" i="3"/>
  <c r="Y83" i="3"/>
  <c r="AC83" i="3"/>
  <c r="AG83" i="3"/>
  <c r="AK83" i="3"/>
  <c r="AO83" i="3"/>
  <c r="AS83" i="3"/>
  <c r="AW83" i="3"/>
  <c r="BA83" i="3"/>
  <c r="BE83" i="3"/>
  <c r="BI83" i="3"/>
  <c r="BM83" i="3"/>
  <c r="BQ83" i="3"/>
  <c r="BU83" i="3"/>
  <c r="BY83" i="3"/>
  <c r="CC83" i="3"/>
  <c r="CG83" i="3"/>
  <c r="CK83" i="3"/>
  <c r="CO83" i="3"/>
  <c r="CS83" i="3"/>
  <c r="J83" i="3"/>
  <c r="N83" i="3"/>
  <c r="R83" i="3"/>
  <c r="V83" i="3"/>
  <c r="Z83" i="3"/>
  <c r="AD83" i="3"/>
  <c r="AH83" i="3"/>
  <c r="AL83" i="3"/>
  <c r="AP83" i="3"/>
  <c r="AT83" i="3"/>
  <c r="AX83" i="3"/>
  <c r="BB83" i="3"/>
  <c r="BF83" i="3"/>
  <c r="BJ83" i="3"/>
  <c r="BN83" i="3"/>
  <c r="BR83" i="3"/>
  <c r="BV83" i="3"/>
  <c r="BZ83" i="3"/>
  <c r="CD83" i="3"/>
  <c r="CH83" i="3"/>
  <c r="CL83" i="3"/>
  <c r="CP83" i="3"/>
  <c r="CT83" i="3"/>
  <c r="O83" i="3"/>
  <c r="AE83" i="3"/>
  <c r="AU83" i="3"/>
  <c r="BK83" i="3"/>
  <c r="CA83" i="3"/>
  <c r="CQ83" i="3"/>
  <c r="K83" i="3"/>
  <c r="BG83" i="3"/>
  <c r="S83" i="3"/>
  <c r="AI83" i="3"/>
  <c r="AY83" i="3"/>
  <c r="BO83" i="3"/>
  <c r="CE83" i="3"/>
  <c r="CU83" i="3"/>
  <c r="AA83" i="3"/>
  <c r="AQ83" i="3"/>
  <c r="BW83" i="3"/>
  <c r="CM83" i="3"/>
  <c r="W83" i="3"/>
  <c r="AM83" i="3"/>
  <c r="BC83" i="3"/>
  <c r="BS83" i="3"/>
  <c r="CI83" i="3"/>
  <c r="DY16" i="7"/>
  <c r="DW41" i="9" l="1"/>
  <c r="DW44" i="9"/>
  <c r="DX15" i="9"/>
  <c r="DX18" i="9"/>
  <c r="DX19" i="9"/>
  <c r="DV26" i="3"/>
  <c r="DV26" i="9"/>
  <c r="DV27" i="9" s="1"/>
  <c r="DW25" i="9"/>
  <c r="DW24" i="9"/>
  <c r="DW32" i="9" s="1"/>
  <c r="DW23" i="9"/>
  <c r="DW22" i="9"/>
  <c r="BP31" i="9"/>
  <c r="BP29" i="9"/>
  <c r="BP28" i="9"/>
  <c r="BP30" i="9"/>
  <c r="DU33" i="9"/>
  <c r="DW65" i="9"/>
  <c r="DW25" i="3" s="1" a="1"/>
  <c r="DW25" i="3" s="1"/>
  <c r="DW24" i="3" a="1"/>
  <c r="DW24" i="3" s="1"/>
  <c r="DY76" i="3"/>
  <c r="DY104" i="3"/>
  <c r="DY97" i="3"/>
  <c r="DW51" i="9"/>
  <c r="DW37" i="9"/>
  <c r="DW46" i="9"/>
  <c r="DW42" i="9"/>
  <c r="DW45" i="9"/>
  <c r="DW38" i="9"/>
  <c r="DW47" i="9"/>
  <c r="DW49" i="9"/>
  <c r="DX13" i="9"/>
  <c r="DY16" i="9"/>
  <c r="DX10" i="9"/>
  <c r="DX12" i="9"/>
  <c r="DX43" i="9" s="1"/>
  <c r="DX11" i="9"/>
  <c r="DX61" i="9" a="1"/>
  <c r="DX61" i="9" s="1"/>
  <c r="EB7" i="2"/>
  <c r="EB11" i="2"/>
  <c r="EB8" i="2"/>
  <c r="EB10" i="2"/>
  <c r="EB5" i="2"/>
  <c r="EB6" i="2"/>
  <c r="EB14" i="6"/>
  <c r="EB11" i="6"/>
  <c r="EB12" i="6"/>
  <c r="EB16" i="6"/>
  <c r="EB5" i="6"/>
  <c r="EB9" i="6"/>
  <c r="EB10" i="6"/>
  <c r="EB17" i="6"/>
  <c r="EB13" i="6"/>
  <c r="EB15" i="6"/>
  <c r="EB7" i="6"/>
  <c r="EA12" i="2"/>
  <c r="DX7" i="3" s="1" a="1"/>
  <c r="DX7" i="3" s="1"/>
  <c r="DZ2" i="3"/>
  <c r="DZ20" i="3"/>
  <c r="DZ114" i="3" a="1"/>
  <c r="DZ114" i="3" s="1"/>
  <c r="DZ45" i="3"/>
  <c r="DZ58" i="3"/>
  <c r="DZ40" i="3" s="1"/>
  <c r="DZ3" i="3"/>
  <c r="DZ32" i="3"/>
  <c r="DZ84" i="3"/>
  <c r="DZ66" i="3" s="1"/>
  <c r="EC4" i="11"/>
  <c r="DZ21" i="3"/>
  <c r="DZ22" i="3"/>
  <c r="DZ80" i="3"/>
  <c r="DZ51" i="3" s="1"/>
  <c r="EC4" i="7"/>
  <c r="EC9" i="7" s="1"/>
  <c r="EC4" i="2"/>
  <c r="EC9" i="2" s="1"/>
  <c r="DZ5" i="3"/>
  <c r="EA4" i="3"/>
  <c r="DZ65" i="3"/>
  <c r="EC4" i="6"/>
  <c r="EC8" i="6" s="1"/>
  <c r="DZ63" i="3"/>
  <c r="DZ16" i="3"/>
  <c r="DZ64" i="3"/>
  <c r="DZ17" i="3"/>
  <c r="DZ18" i="3"/>
  <c r="EB8" i="7"/>
  <c r="EB10" i="7"/>
  <c r="EB6" i="7"/>
  <c r="EB13" i="7"/>
  <c r="EB7" i="7"/>
  <c r="EB5" i="7"/>
  <c r="EB15" i="7"/>
  <c r="EB11" i="7"/>
  <c r="EB12" i="7"/>
  <c r="EB14" i="7"/>
  <c r="EA16" i="7"/>
  <c r="DX9" i="3" s="1" a="1"/>
  <c r="DX9" i="3" s="1"/>
  <c r="EB5" i="11"/>
  <c r="EB8" i="11"/>
  <c r="EB9" i="11"/>
  <c r="EB10" i="11"/>
  <c r="EB7" i="11"/>
  <c r="DD38" i="3"/>
  <c r="DM38" i="3"/>
  <c r="DM39" i="3" s="1"/>
  <c r="DG38" i="3"/>
  <c r="DG39" i="3" s="1"/>
  <c r="DE38" i="3"/>
  <c r="DE39" i="3" s="1"/>
  <c r="DC38" i="3"/>
  <c r="DC39" i="3" s="1"/>
  <c r="DH38" i="3"/>
  <c r="DH39" i="3" s="1"/>
  <c r="DK38" i="3"/>
  <c r="DK39" i="3" s="1"/>
  <c r="DI38" i="3"/>
  <c r="DI39" i="3" s="1"/>
  <c r="DS38" i="3"/>
  <c r="DS39" i="3" s="1"/>
  <c r="DN38" i="3"/>
  <c r="DN39" i="3" s="1"/>
  <c r="DQ38" i="3"/>
  <c r="DQ39" i="3" s="1"/>
  <c r="DB38" i="3"/>
  <c r="DB39" i="3" s="1"/>
  <c r="DO38" i="3"/>
  <c r="DJ38" i="3"/>
  <c r="DJ39" i="3" s="1"/>
  <c r="CZ9" i="3" a="1"/>
  <c r="CZ9" i="3" s="1"/>
  <c r="DA9" i="3" a="1"/>
  <c r="DA9" i="3" s="1"/>
  <c r="DV9" i="3" a="1"/>
  <c r="DV9" i="3" s="1"/>
  <c r="CZ7" i="3" a="1"/>
  <c r="CZ7" i="3" s="1"/>
  <c r="DV7" i="3" a="1"/>
  <c r="DV7" i="3" s="1"/>
  <c r="DT38" i="3"/>
  <c r="DT39" i="3" s="1"/>
  <c r="DL38" i="3"/>
  <c r="DL39" i="3" s="1"/>
  <c r="DP38" i="3"/>
  <c r="DP39" i="3" s="1"/>
  <c r="DU38" i="3"/>
  <c r="DU39" i="3" s="1"/>
  <c r="BP39" i="9"/>
  <c r="AO63" i="3"/>
  <c r="N63" i="3"/>
  <c r="O63" i="3"/>
  <c r="R7" i="23"/>
  <c r="BO50" i="9"/>
  <c r="BO58" i="9"/>
  <c r="BO59" i="9" s="1"/>
  <c r="BO29" i="3" s="1" a="1"/>
  <c r="BO29" i="3" s="1"/>
  <c r="BQ17" i="9"/>
  <c r="BP40" i="9"/>
  <c r="DY15" i="9" l="1"/>
  <c r="DY18" i="9"/>
  <c r="DY19" i="9"/>
  <c r="DX41" i="9"/>
  <c r="DX44" i="9"/>
  <c r="DW26" i="3"/>
  <c r="DW26" i="9"/>
  <c r="DW27" i="9" s="1"/>
  <c r="DX25" i="9"/>
  <c r="DX24" i="9"/>
  <c r="DX32" i="9" s="1"/>
  <c r="DX23" i="9"/>
  <c r="DX22" i="9"/>
  <c r="BP34" i="9"/>
  <c r="BP58" i="9" s="1"/>
  <c r="BP59" i="9" s="1"/>
  <c r="BP29" i="3" s="1" a="1"/>
  <c r="BP29" i="3" s="1"/>
  <c r="DV33" i="9"/>
  <c r="DZ76" i="3"/>
  <c r="DZ124" i="3"/>
  <c r="DX65" i="9"/>
  <c r="DX25" i="3" s="1" a="1"/>
  <c r="DX25" i="3" s="1"/>
  <c r="DZ16" i="9"/>
  <c r="DY13" i="9"/>
  <c r="DY10" i="9"/>
  <c r="DY12" i="9"/>
  <c r="DY43" i="9" s="1"/>
  <c r="DY11" i="9"/>
  <c r="DY61" i="9" a="1"/>
  <c r="DY61" i="9" s="1"/>
  <c r="DY65" i="9" s="1"/>
  <c r="DY25" i="3" s="1" a="1"/>
  <c r="DY25" i="3" s="1"/>
  <c r="DX42" i="9"/>
  <c r="DX46" i="9"/>
  <c r="DX49" i="9"/>
  <c r="DX38" i="9"/>
  <c r="DX51" i="9"/>
  <c r="DX37" i="9"/>
  <c r="DX45" i="9"/>
  <c r="DX47" i="9"/>
  <c r="DX24" i="3" a="1"/>
  <c r="DX24" i="3" s="1"/>
  <c r="DV10" i="3"/>
  <c r="DV33" i="3" s="1"/>
  <c r="DV38" i="3" s="1"/>
  <c r="DV39" i="3" s="1"/>
  <c r="EC14" i="6"/>
  <c r="EC17" i="6"/>
  <c r="EC13" i="6"/>
  <c r="EC16" i="6"/>
  <c r="EC12" i="6"/>
  <c r="EC5" i="6"/>
  <c r="EC9" i="6"/>
  <c r="EC10" i="6"/>
  <c r="EC7" i="6"/>
  <c r="EC15" i="6"/>
  <c r="EC11" i="6"/>
  <c r="EB12" i="2"/>
  <c r="DY7" i="3" s="1" a="1"/>
  <c r="DY7" i="3" s="1"/>
  <c r="EB16" i="7"/>
  <c r="DY9" i="3" s="1" a="1"/>
  <c r="DY9" i="3" s="1"/>
  <c r="EA3" i="3"/>
  <c r="EA32" i="3"/>
  <c r="EA5" i="3"/>
  <c r="EB4" i="3"/>
  <c r="EA65" i="3"/>
  <c r="EA114" i="3" a="1"/>
  <c r="EA114" i="3" s="1"/>
  <c r="EA17" i="3"/>
  <c r="ED4" i="11"/>
  <c r="EA16" i="3"/>
  <c r="EA80" i="3"/>
  <c r="EA51" i="3" s="1"/>
  <c r="ED4" i="2"/>
  <c r="ED9" i="2" s="1"/>
  <c r="EA21" i="3"/>
  <c r="EA45" i="3"/>
  <c r="EA84" i="3"/>
  <c r="EA66" i="3" s="1"/>
  <c r="EA58" i="3"/>
  <c r="EA40" i="3" s="1"/>
  <c r="ED4" i="6"/>
  <c r="ED8" i="6" s="1"/>
  <c r="EA22" i="3"/>
  <c r="EA63" i="3"/>
  <c r="EA18" i="3"/>
  <c r="EA64" i="3"/>
  <c r="EA20" i="3"/>
  <c r="ED4" i="7"/>
  <c r="ED9" i="7" s="1"/>
  <c r="EC5" i="11"/>
  <c r="EC10" i="11"/>
  <c r="EC7" i="11"/>
  <c r="EC9" i="11"/>
  <c r="EC8" i="11"/>
  <c r="EC11" i="2"/>
  <c r="EC8" i="2"/>
  <c r="EC10" i="2"/>
  <c r="EC5" i="2"/>
  <c r="EC7" i="2"/>
  <c r="EC6" i="2"/>
  <c r="EC15" i="7"/>
  <c r="EC5" i="7"/>
  <c r="EC12" i="7"/>
  <c r="EC14" i="7"/>
  <c r="EC8" i="7"/>
  <c r="EC10" i="7"/>
  <c r="EC6" i="7"/>
  <c r="EC13" i="7"/>
  <c r="EC11" i="7"/>
  <c r="EC7" i="7"/>
  <c r="EA2" i="3"/>
  <c r="DD39" i="3"/>
  <c r="DO39" i="3"/>
  <c r="AO58" i="3"/>
  <c r="AO40" i="3" s="1"/>
  <c r="N40" i="3"/>
  <c r="O40" i="3"/>
  <c r="BQ20" i="9"/>
  <c r="DY41" i="9" l="1"/>
  <c r="DY44" i="9"/>
  <c r="DZ15" i="9"/>
  <c r="DZ18" i="9"/>
  <c r="DZ19" i="9"/>
  <c r="BQ31" i="9"/>
  <c r="BQ29" i="9"/>
  <c r="BQ30" i="9"/>
  <c r="BQ28" i="9"/>
  <c r="DX26" i="9"/>
  <c r="DX27" i="9" s="1"/>
  <c r="DY25" i="9"/>
  <c r="DY23" i="9"/>
  <c r="DY22" i="9"/>
  <c r="DY24" i="9"/>
  <c r="DY32" i="9" s="1"/>
  <c r="DW33" i="9"/>
  <c r="DZ104" i="3"/>
  <c r="DZ97" i="3"/>
  <c r="EA76" i="3"/>
  <c r="EA124" i="3"/>
  <c r="DX26" i="3"/>
  <c r="DY24" i="3" a="1"/>
  <c r="DY24" i="3" s="1"/>
  <c r="DY26" i="3" s="1"/>
  <c r="EC12" i="2"/>
  <c r="DZ7" i="3" s="1" a="1"/>
  <c r="DZ7" i="3" s="1"/>
  <c r="DY49" i="9"/>
  <c r="DY42" i="9"/>
  <c r="DY46" i="9"/>
  <c r="DY37" i="9"/>
  <c r="DY38" i="9"/>
  <c r="DY51" i="9"/>
  <c r="DY45" i="9"/>
  <c r="DY47" i="9"/>
  <c r="DZ13" i="9"/>
  <c r="EA16" i="9"/>
  <c r="DZ12" i="9"/>
  <c r="DZ43" i="9" s="1"/>
  <c r="DZ10" i="9"/>
  <c r="DZ11" i="9"/>
  <c r="DZ61" i="9" a="1"/>
  <c r="DZ61" i="9" s="1"/>
  <c r="EC16" i="7"/>
  <c r="DZ9" i="3" s="1" a="1"/>
  <c r="DZ9" i="3" s="1"/>
  <c r="EB2" i="3"/>
  <c r="EB124" i="3" s="1"/>
  <c r="ED7" i="2"/>
  <c r="ED8" i="2"/>
  <c r="ED10" i="2"/>
  <c r="ED11" i="2"/>
  <c r="ED5" i="2"/>
  <c r="ED6" i="2"/>
  <c r="EB20" i="3"/>
  <c r="EB32" i="3"/>
  <c r="EB64" i="3"/>
  <c r="EB3" i="3"/>
  <c r="EB58" i="3"/>
  <c r="EB40" i="3" s="1"/>
  <c r="EB18" i="3"/>
  <c r="EB63" i="3"/>
  <c r="EB114" i="3" a="1"/>
  <c r="EB114" i="3" s="1"/>
  <c r="EB5" i="3"/>
  <c r="EE4" i="6"/>
  <c r="EE8" i="6" s="1"/>
  <c r="EB17" i="3"/>
  <c r="EB21" i="3"/>
  <c r="EE4" i="11"/>
  <c r="EC4" i="3"/>
  <c r="EB65" i="3"/>
  <c r="EE4" i="2"/>
  <c r="EE9" i="2" s="1"/>
  <c r="EB16" i="3"/>
  <c r="EB80" i="3"/>
  <c r="EB51" i="3" s="1"/>
  <c r="EB22" i="3"/>
  <c r="EB84" i="3"/>
  <c r="EB66" i="3" s="1"/>
  <c r="EE4" i="7"/>
  <c r="EE9" i="7" s="1"/>
  <c r="EB45" i="3"/>
  <c r="ED5" i="7"/>
  <c r="ED11" i="7"/>
  <c r="ED8" i="7"/>
  <c r="ED7" i="7"/>
  <c r="ED12" i="7"/>
  <c r="ED6" i="7"/>
  <c r="ED14" i="7"/>
  <c r="ED15" i="7"/>
  <c r="ED10" i="7"/>
  <c r="ED13" i="7"/>
  <c r="ED14" i="6"/>
  <c r="ED11" i="6"/>
  <c r="ED17" i="6"/>
  <c r="ED10" i="6"/>
  <c r="ED15" i="6"/>
  <c r="ED9" i="6"/>
  <c r="ED13" i="6"/>
  <c r="ED16" i="6"/>
  <c r="ED5" i="6"/>
  <c r="ED7" i="6"/>
  <c r="ED12" i="6"/>
  <c r="ED10" i="11"/>
  <c r="ED9" i="11"/>
  <c r="ED7" i="11"/>
  <c r="ED5" i="11"/>
  <c r="ED8" i="11"/>
  <c r="BQ39" i="9"/>
  <c r="BF63" i="3"/>
  <c r="I63" i="3"/>
  <c r="BD63" i="3"/>
  <c r="BC63" i="3"/>
  <c r="K63" i="3"/>
  <c r="AI63" i="3"/>
  <c r="BA63" i="3"/>
  <c r="AT63" i="3"/>
  <c r="BP113" i="3" a="1"/>
  <c r="BP113" i="3" s="1"/>
  <c r="BP115" i="3" s="1"/>
  <c r="BP116" i="3" s="1"/>
  <c r="BP50" i="9"/>
  <c r="BR17" i="9"/>
  <c r="BQ40" i="9"/>
  <c r="EA15" i="9" l="1"/>
  <c r="EA18" i="9"/>
  <c r="EA19" i="9"/>
  <c r="DZ41" i="9"/>
  <c r="DZ44" i="9"/>
  <c r="BQ34" i="9"/>
  <c r="BQ113" i="3" s="1" a="1"/>
  <c r="BQ113" i="3" s="1"/>
  <c r="BQ115" i="3" s="1"/>
  <c r="BQ116" i="3" s="1"/>
  <c r="DX33" i="9"/>
  <c r="DZ25" i="9"/>
  <c r="DZ24" i="9"/>
  <c r="DZ32" i="9" s="1"/>
  <c r="DZ22" i="9"/>
  <c r="DZ23" i="9"/>
  <c r="DY26" i="9"/>
  <c r="DY27" i="9" s="1"/>
  <c r="DZ65" i="9"/>
  <c r="DZ25" i="3" s="1" a="1"/>
  <c r="DZ25" i="3" s="1"/>
  <c r="EA104" i="3"/>
  <c r="EA97" i="3"/>
  <c r="EB104" i="3"/>
  <c r="EB97" i="3"/>
  <c r="EB16" i="9"/>
  <c r="EA13" i="9"/>
  <c r="EA10" i="9"/>
  <c r="EA12" i="9"/>
  <c r="EA43" i="9" s="1"/>
  <c r="EA11" i="9"/>
  <c r="EA61" i="9" a="1"/>
  <c r="EA61" i="9" s="1"/>
  <c r="EA24" i="3" s="1" a="1"/>
  <c r="EA24" i="3" s="1"/>
  <c r="DZ24" i="3" a="1"/>
  <c r="DZ24" i="3" s="1"/>
  <c r="DZ47" i="9"/>
  <c r="DZ38" i="9"/>
  <c r="DZ42" i="9"/>
  <c r="DZ49" i="9"/>
  <c r="DZ51" i="9"/>
  <c r="DZ46" i="9"/>
  <c r="DZ37" i="9"/>
  <c r="DZ45" i="9"/>
  <c r="EE7" i="11"/>
  <c r="EE9" i="11"/>
  <c r="EE8" i="11"/>
  <c r="EE10" i="11"/>
  <c r="EE5" i="11"/>
  <c r="EC2" i="3"/>
  <c r="EC124" i="3" s="1"/>
  <c r="ED16" i="7"/>
  <c r="EA9" i="3" s="1" a="1"/>
  <c r="EA9" i="3" s="1"/>
  <c r="ED12" i="2"/>
  <c r="EA7" i="3" s="1" a="1"/>
  <c r="EA7" i="3" s="1"/>
  <c r="EC17" i="3"/>
  <c r="EC32" i="3"/>
  <c r="EC45" i="3"/>
  <c r="EC22" i="3"/>
  <c r="EF4" i="6"/>
  <c r="EF8" i="6" s="1"/>
  <c r="EC80" i="3"/>
  <c r="EC51" i="3" s="1"/>
  <c r="EC16" i="3"/>
  <c r="EC20" i="3"/>
  <c r="EC64" i="3"/>
  <c r="EC21" i="3"/>
  <c r="EC58" i="3"/>
  <c r="EC40" i="3" s="1"/>
  <c r="ED4" i="3"/>
  <c r="EC114" i="3" a="1"/>
  <c r="EC114" i="3" s="1"/>
  <c r="EC63" i="3"/>
  <c r="EC65" i="3"/>
  <c r="EF4" i="7"/>
  <c r="EF9" i="7" s="1"/>
  <c r="EC5" i="3"/>
  <c r="EC84" i="3"/>
  <c r="EC66" i="3" s="1"/>
  <c r="EC3" i="3"/>
  <c r="EC18" i="3"/>
  <c r="EF4" i="2"/>
  <c r="EF9" i="2" s="1"/>
  <c r="EF4" i="11"/>
  <c r="EE8" i="2"/>
  <c r="EE10" i="2"/>
  <c r="EE5" i="2"/>
  <c r="EE7" i="2"/>
  <c r="EE6" i="2"/>
  <c r="EE11" i="2"/>
  <c r="EB76" i="3"/>
  <c r="EE10" i="6"/>
  <c r="EE11" i="6"/>
  <c r="EE16" i="6"/>
  <c r="EE7" i="6"/>
  <c r="EE14" i="6"/>
  <c r="EE13" i="6"/>
  <c r="EE17" i="6"/>
  <c r="EE12" i="6"/>
  <c r="EE15" i="6"/>
  <c r="EE5" i="6"/>
  <c r="EE9" i="6"/>
  <c r="EE11" i="7"/>
  <c r="EE15" i="7"/>
  <c r="EE10" i="7"/>
  <c r="EE6" i="7"/>
  <c r="EE14" i="7"/>
  <c r="EE13" i="7"/>
  <c r="EE5" i="7"/>
  <c r="EE12" i="7"/>
  <c r="EE7" i="7"/>
  <c r="EE8" i="7"/>
  <c r="Q71" i="23"/>
  <c r="CY84" i="3" s="1"/>
  <c r="CY66" i="3" s="1"/>
  <c r="P71" i="23"/>
  <c r="CY64" i="3" s="1"/>
  <c r="P69" i="23"/>
  <c r="CW64" i="3" s="1"/>
  <c r="Q69" i="23"/>
  <c r="CW84" i="3" s="1"/>
  <c r="CW66" i="3" s="1"/>
  <c r="Q70" i="23"/>
  <c r="CX84" i="3" s="1"/>
  <c r="CX66" i="3" s="1"/>
  <c r="P70" i="23"/>
  <c r="CX64" i="3" s="1"/>
  <c r="BF58" i="3"/>
  <c r="BF40" i="3" s="1"/>
  <c r="I58" i="3"/>
  <c r="I40" i="3" s="1"/>
  <c r="BC58" i="3"/>
  <c r="BC40" i="3" s="1"/>
  <c r="AI58" i="3"/>
  <c r="AI40" i="3" s="1"/>
  <c r="BD58" i="3"/>
  <c r="BD40" i="3" s="1"/>
  <c r="BA58" i="3"/>
  <c r="BA40" i="3" s="1"/>
  <c r="K58" i="3"/>
  <c r="K40" i="3" s="1"/>
  <c r="P68" i="23"/>
  <c r="Q68" i="23"/>
  <c r="AT58" i="3"/>
  <c r="AT40" i="3" s="1"/>
  <c r="BR20" i="9"/>
  <c r="EA41" i="9" l="1"/>
  <c r="EA44" i="9"/>
  <c r="EB15" i="9"/>
  <c r="EB19" i="9"/>
  <c r="EB18" i="9"/>
  <c r="DZ26" i="3"/>
  <c r="DY33" i="9"/>
  <c r="DZ26" i="9"/>
  <c r="DZ27" i="9" s="1"/>
  <c r="BR31" i="9"/>
  <c r="BR29" i="9"/>
  <c r="BR28" i="9"/>
  <c r="BR30" i="9"/>
  <c r="EA25" i="9"/>
  <c r="EA23" i="9"/>
  <c r="EA24" i="9"/>
  <c r="EA32" i="9" s="1"/>
  <c r="EA22" i="9"/>
  <c r="EC104" i="3"/>
  <c r="EC97" i="3"/>
  <c r="EA65" i="9"/>
  <c r="EA25" i="3" s="1" a="1"/>
  <c r="EA25" i="3" s="1"/>
  <c r="EA26" i="3" s="1"/>
  <c r="EC76" i="3"/>
  <c r="EE12" i="2"/>
  <c r="EB7" i="3" s="1" a="1"/>
  <c r="EB7" i="3" s="1"/>
  <c r="EA49" i="9"/>
  <c r="EA46" i="9"/>
  <c r="EA51" i="9"/>
  <c r="EA42" i="9"/>
  <c r="EA47" i="9"/>
  <c r="EA37" i="9"/>
  <c r="EA38" i="9"/>
  <c r="EA45" i="9"/>
  <c r="EC16" i="9"/>
  <c r="EB13" i="9"/>
  <c r="EB11" i="9"/>
  <c r="EB12" i="9"/>
  <c r="EB43" i="9" s="1"/>
  <c r="EB10" i="9"/>
  <c r="EB61" i="9" a="1"/>
  <c r="EB61" i="9" s="1"/>
  <c r="EB24" i="3" s="1" a="1"/>
  <c r="EB24" i="3" s="1"/>
  <c r="EE16" i="7"/>
  <c r="EB9" i="3" s="1" a="1"/>
  <c r="EB9" i="3" s="1"/>
  <c r="ED21" i="3"/>
  <c r="ED63" i="3"/>
  <c r="ED17" i="3"/>
  <c r="EG4" i="6"/>
  <c r="EG8" i="6" s="1"/>
  <c r="ED22" i="3"/>
  <c r="ED65" i="3"/>
  <c r="ED64" i="3"/>
  <c r="ED80" i="3"/>
  <c r="ED51" i="3" s="1"/>
  <c r="ED114" i="3" a="1"/>
  <c r="ED114" i="3" s="1"/>
  <c r="EG4" i="7"/>
  <c r="EG9" i="7" s="1"/>
  <c r="ED3" i="3"/>
  <c r="ED84" i="3"/>
  <c r="ED66" i="3" s="1"/>
  <c r="EG4" i="11"/>
  <c r="ED5" i="3"/>
  <c r="ED32" i="3"/>
  <c r="ED20" i="3"/>
  <c r="EG4" i="2"/>
  <c r="EG9" i="2" s="1"/>
  <c r="EE4" i="3"/>
  <c r="ED16" i="3"/>
  <c r="ED58" i="3"/>
  <c r="ED40" i="3" s="1"/>
  <c r="ED45" i="3"/>
  <c r="ED18" i="3"/>
  <c r="EF16" i="6"/>
  <c r="EF14" i="6"/>
  <c r="EF10" i="6"/>
  <c r="EF12" i="6"/>
  <c r="EF5" i="6"/>
  <c r="EF17" i="6"/>
  <c r="EF7" i="6"/>
  <c r="EF9" i="6"/>
  <c r="EF13" i="6"/>
  <c r="EF15" i="6"/>
  <c r="EF11" i="6"/>
  <c r="EF8" i="7"/>
  <c r="EF5" i="7"/>
  <c r="EF12" i="7"/>
  <c r="EF13" i="7"/>
  <c r="EF14" i="7"/>
  <c r="EF11" i="7"/>
  <c r="EF6" i="7"/>
  <c r="EF15" i="7"/>
  <c r="EF10" i="7"/>
  <c r="EF7" i="7"/>
  <c r="ED2" i="3"/>
  <c r="EF5" i="11"/>
  <c r="EF7" i="11"/>
  <c r="EF8" i="11"/>
  <c r="EF9" i="11"/>
  <c r="EF10" i="11"/>
  <c r="EF6" i="2"/>
  <c r="EF8" i="2"/>
  <c r="EF7" i="2"/>
  <c r="EF10" i="2"/>
  <c r="EF5" i="2"/>
  <c r="EF11" i="2"/>
  <c r="BR39" i="9"/>
  <c r="J64" i="3"/>
  <c r="I64" i="3"/>
  <c r="J84" i="3"/>
  <c r="J66" i="3" s="1"/>
  <c r="I84" i="3"/>
  <c r="I66" i="3" s="1"/>
  <c r="K84" i="3"/>
  <c r="K66" i="3" s="1"/>
  <c r="K64" i="3"/>
  <c r="L84" i="3"/>
  <c r="L66" i="3" s="1"/>
  <c r="L64" i="3"/>
  <c r="BQ50" i="9"/>
  <c r="BQ58" i="9"/>
  <c r="BQ59" i="9" s="1"/>
  <c r="BQ29" i="3" s="1" a="1"/>
  <c r="BQ29" i="3" s="1"/>
  <c r="BS17" i="9"/>
  <c r="BR40" i="9"/>
  <c r="J177" i="1"/>
  <c r="DC16" i="3" s="1"/>
  <c r="EC15" i="9" l="1"/>
  <c r="EC19" i="9"/>
  <c r="EC18" i="9"/>
  <c r="EB41" i="9"/>
  <c r="EB44" i="9"/>
  <c r="BR34" i="9"/>
  <c r="BR113" i="3" s="1" a="1"/>
  <c r="BR113" i="3" s="1"/>
  <c r="BR115" i="3" s="1"/>
  <c r="BR116" i="3" s="1"/>
  <c r="EA26" i="9"/>
  <c r="EA27" i="9" s="1"/>
  <c r="EB25" i="9"/>
  <c r="EB23" i="9"/>
  <c r="EB24" i="9"/>
  <c r="EB32" i="9" s="1"/>
  <c r="EB22" i="9"/>
  <c r="DZ33" i="9"/>
  <c r="ED76" i="3"/>
  <c r="ED124" i="3"/>
  <c r="BO16" i="3"/>
  <c r="DW16" i="3"/>
  <c r="EC13" i="9"/>
  <c r="ED16" i="9"/>
  <c r="EC12" i="9"/>
  <c r="EC43" i="9" s="1"/>
  <c r="EC11" i="9"/>
  <c r="EC10" i="9"/>
  <c r="EC61" i="9" a="1"/>
  <c r="EC61" i="9" s="1"/>
  <c r="EC24" i="3" s="1" a="1"/>
  <c r="EC24" i="3" s="1"/>
  <c r="EB38" i="9"/>
  <c r="EB49" i="9"/>
  <c r="EB46" i="9"/>
  <c r="EB37" i="9"/>
  <c r="EB42" i="9"/>
  <c r="EB51" i="9"/>
  <c r="EB45" i="9"/>
  <c r="EB47" i="9"/>
  <c r="EB65" i="9"/>
  <c r="EB25" i="3" s="1" a="1"/>
  <c r="EB25" i="3" s="1"/>
  <c r="EB26" i="3" s="1"/>
  <c r="EG17" i="6"/>
  <c r="EG16" i="6"/>
  <c r="EG7" i="6"/>
  <c r="EG11" i="6"/>
  <c r="EG14" i="6"/>
  <c r="EG15" i="6"/>
  <c r="EG12" i="6"/>
  <c r="EG9" i="6"/>
  <c r="EG13" i="6"/>
  <c r="EG5" i="6"/>
  <c r="EG10" i="6"/>
  <c r="EG8" i="2"/>
  <c r="EG5" i="2"/>
  <c r="EG6" i="2"/>
  <c r="EG7" i="2"/>
  <c r="EG10" i="2"/>
  <c r="EG11" i="2"/>
  <c r="EG10" i="7"/>
  <c r="EG8" i="7"/>
  <c r="EG5" i="7"/>
  <c r="EG14" i="7"/>
  <c r="EG13" i="7"/>
  <c r="EG12" i="7"/>
  <c r="EG6" i="7"/>
  <c r="EG15" i="7"/>
  <c r="EG11" i="7"/>
  <c r="EG7" i="7"/>
  <c r="EE3" i="3"/>
  <c r="EE16" i="3"/>
  <c r="EE63" i="3"/>
  <c r="EH4" i="7"/>
  <c r="EH9" i="7" s="1"/>
  <c r="EE58" i="3"/>
  <c r="EE40" i="3" s="1"/>
  <c r="EE5" i="3"/>
  <c r="EE64" i="3"/>
  <c r="EH4" i="6"/>
  <c r="EH8" i="6" s="1"/>
  <c r="EF4" i="3"/>
  <c r="EE22" i="3"/>
  <c r="EE65" i="3"/>
  <c r="EH4" i="11"/>
  <c r="EE17" i="3"/>
  <c r="EE20" i="3"/>
  <c r="EE32" i="3"/>
  <c r="EE21" i="3"/>
  <c r="EE114" i="3" a="1"/>
  <c r="EE114" i="3" s="1"/>
  <c r="EH4" i="2"/>
  <c r="EH9" i="2" s="1"/>
  <c r="EE84" i="3"/>
  <c r="EE66" i="3" s="1"/>
  <c r="EE18" i="3"/>
  <c r="EE45" i="3"/>
  <c r="EE80" i="3"/>
  <c r="EE51" i="3" s="1"/>
  <c r="EE2" i="3"/>
  <c r="EG5" i="11"/>
  <c r="EG9" i="11"/>
  <c r="EG8" i="11"/>
  <c r="EG10" i="11"/>
  <c r="EG7" i="11"/>
  <c r="EF16" i="7"/>
  <c r="EC9" i="3" s="1" a="1"/>
  <c r="EC9" i="3" s="1"/>
  <c r="EF12" i="2"/>
  <c r="EC7" i="3" s="1" a="1"/>
  <c r="EC7" i="3" s="1"/>
  <c r="BS20" i="9"/>
  <c r="J179" i="1"/>
  <c r="DC17" i="3" s="1"/>
  <c r="ED15" i="9" l="1"/>
  <c r="ED19" i="9"/>
  <c r="ED18" i="9"/>
  <c r="EC41" i="9"/>
  <c r="EC44" i="9"/>
  <c r="EB26" i="9"/>
  <c r="EB27" i="9" s="1"/>
  <c r="EC25" i="9"/>
  <c r="EC22" i="9"/>
  <c r="EC23" i="9"/>
  <c r="EC24" i="9"/>
  <c r="EC32" i="9" s="1"/>
  <c r="BS31" i="9"/>
  <c r="BS29" i="9"/>
  <c r="BS28" i="9"/>
  <c r="BS30" i="9"/>
  <c r="EA33" i="9"/>
  <c r="ED104" i="3"/>
  <c r="ED97" i="3"/>
  <c r="EE76" i="3"/>
  <c r="EE124" i="3"/>
  <c r="EC65" i="9"/>
  <c r="EC25" i="3" s="1" a="1"/>
  <c r="EC25" i="3" s="1"/>
  <c r="EC26" i="3" s="1"/>
  <c r="BO17" i="3"/>
  <c r="DW17" i="3"/>
  <c r="EE16" i="9"/>
  <c r="ED13" i="9"/>
  <c r="ED12" i="9"/>
  <c r="ED43" i="9" s="1"/>
  <c r="ED11" i="9"/>
  <c r="ED10" i="9"/>
  <c r="ED61" i="9" a="1"/>
  <c r="ED61" i="9" s="1"/>
  <c r="EC49" i="9"/>
  <c r="EC46" i="9"/>
  <c r="EC37" i="9"/>
  <c r="EC38" i="9"/>
  <c r="EC51" i="9"/>
  <c r="EC42" i="9"/>
  <c r="EC45" i="9"/>
  <c r="EC47" i="9"/>
  <c r="EF58" i="3"/>
  <c r="EF40" i="3" s="1"/>
  <c r="EI4" i="7"/>
  <c r="EI9" i="7" s="1"/>
  <c r="EF16" i="3"/>
  <c r="EI4" i="6"/>
  <c r="EI8" i="6" s="1"/>
  <c r="EF3" i="3"/>
  <c r="EF64" i="3"/>
  <c r="EI4" i="2"/>
  <c r="EI9" i="2" s="1"/>
  <c r="EF5" i="3"/>
  <c r="EF63" i="3"/>
  <c r="EI4" i="11"/>
  <c r="EF22" i="3"/>
  <c r="EF45" i="3"/>
  <c r="EF17" i="3"/>
  <c r="EF32" i="3"/>
  <c r="EF114" i="3" a="1"/>
  <c r="EF114" i="3" s="1"/>
  <c r="EF80" i="3"/>
  <c r="EF51" i="3" s="1"/>
  <c r="EF18" i="3"/>
  <c r="EF84" i="3"/>
  <c r="EF66" i="3" s="1"/>
  <c r="EF20" i="3"/>
  <c r="EF21" i="3"/>
  <c r="EF65" i="3"/>
  <c r="EG4" i="3"/>
  <c r="EH14" i="6"/>
  <c r="EH9" i="6"/>
  <c r="EH7" i="6"/>
  <c r="EH5" i="6"/>
  <c r="EH12" i="6"/>
  <c r="EH15" i="6"/>
  <c r="EH13" i="6"/>
  <c r="EH11" i="6"/>
  <c r="EH16" i="6"/>
  <c r="EH17" i="6"/>
  <c r="EH10" i="6"/>
  <c r="EG12" i="2"/>
  <c r="ED7" i="3" s="1" a="1"/>
  <c r="ED7" i="3" s="1"/>
  <c r="EF2" i="3"/>
  <c r="EF124" i="3" s="1"/>
  <c r="EG16" i="7"/>
  <c r="ED9" i="3" s="1" a="1"/>
  <c r="ED9" i="3" s="1"/>
  <c r="EH11" i="2"/>
  <c r="EH6" i="2"/>
  <c r="EH7" i="2"/>
  <c r="EH10" i="2"/>
  <c r="EH5" i="2"/>
  <c r="EH8" i="2"/>
  <c r="EH9" i="11"/>
  <c r="EH5" i="11"/>
  <c r="EH8" i="11"/>
  <c r="EH7" i="11"/>
  <c r="EH10" i="11"/>
  <c r="EH13" i="7"/>
  <c r="EH5" i="7"/>
  <c r="EH8" i="7"/>
  <c r="EH15" i="7"/>
  <c r="EH12" i="7"/>
  <c r="EH14" i="7"/>
  <c r="EH11" i="7"/>
  <c r="EH10" i="7"/>
  <c r="EH6" i="7"/>
  <c r="EH7" i="7"/>
  <c r="BS39" i="9"/>
  <c r="BR50" i="9"/>
  <c r="BR58" i="9"/>
  <c r="BR59" i="9" s="1"/>
  <c r="BR29" i="3" s="1" a="1"/>
  <c r="BR29" i="3" s="1"/>
  <c r="BT17" i="9"/>
  <c r="BS40" i="9"/>
  <c r="J180" i="1"/>
  <c r="EE15" i="9" l="1"/>
  <c r="EE19" i="9"/>
  <c r="EE18" i="9"/>
  <c r="ED41" i="9"/>
  <c r="ED44" i="9"/>
  <c r="EC26" i="9"/>
  <c r="EC27" i="9" s="1"/>
  <c r="ED25" i="9"/>
  <c r="ED22" i="9"/>
  <c r="ED23" i="9"/>
  <c r="ED24" i="9"/>
  <c r="ED32" i="9" s="1"/>
  <c r="BS34" i="9"/>
  <c r="EB33" i="9"/>
  <c r="EF104" i="3"/>
  <c r="EF97" i="3"/>
  <c r="EE104" i="3"/>
  <c r="EE97" i="3"/>
  <c r="DW18" i="3"/>
  <c r="DC18" i="3"/>
  <c r="ED65" i="9"/>
  <c r="ED25" i="3" s="1" a="1"/>
  <c r="ED25" i="3" s="1"/>
  <c r="ED37" i="9"/>
  <c r="ED45" i="9"/>
  <c r="ED51" i="9"/>
  <c r="ED47" i="9"/>
  <c r="ED38" i="9"/>
  <c r="ED49" i="9"/>
  <c r="ED46" i="9"/>
  <c r="ED42" i="9"/>
  <c r="ED24" i="3" a="1"/>
  <c r="ED24" i="3" s="1"/>
  <c r="EF16" i="9"/>
  <c r="EE13" i="9"/>
  <c r="EE12" i="9"/>
  <c r="EE43" i="9" s="1"/>
  <c r="EE11" i="9"/>
  <c r="EE10" i="9"/>
  <c r="EE61" i="9" a="1"/>
  <c r="EE61" i="9" s="1"/>
  <c r="EI7" i="11"/>
  <c r="EI10" i="11"/>
  <c r="EI8" i="11"/>
  <c r="EI5" i="11"/>
  <c r="EI9" i="11"/>
  <c r="EI7" i="6"/>
  <c r="EI5" i="6"/>
  <c r="EI17" i="6"/>
  <c r="EI14" i="6"/>
  <c r="EI10" i="6"/>
  <c r="EI11" i="6"/>
  <c r="EI13" i="6"/>
  <c r="EI9" i="6"/>
  <c r="EI12" i="6"/>
  <c r="EI16" i="6"/>
  <c r="EI15" i="6"/>
  <c r="EH16" i="7"/>
  <c r="EE9" i="3" s="1" a="1"/>
  <c r="EE9" i="3" s="1"/>
  <c r="EH12" i="2"/>
  <c r="EE7" i="3" s="1" a="1"/>
  <c r="EE7" i="3" s="1"/>
  <c r="EG17" i="3"/>
  <c r="EG80" i="3"/>
  <c r="EG51" i="3" s="1"/>
  <c r="EG114" i="3" a="1"/>
  <c r="EG114" i="3" s="1"/>
  <c r="EG16" i="3"/>
  <c r="EG84" i="3"/>
  <c r="EG66" i="3" s="1"/>
  <c r="EJ4" i="11"/>
  <c r="EG63" i="3"/>
  <c r="EG3" i="3"/>
  <c r="EJ4" i="6"/>
  <c r="EJ8" i="6" s="1"/>
  <c r="EG20" i="3"/>
  <c r="EG18" i="3"/>
  <c r="EG5" i="3"/>
  <c r="EG58" i="3"/>
  <c r="EG40" i="3" s="1"/>
  <c r="EJ4" i="7"/>
  <c r="EJ9" i="7" s="1"/>
  <c r="EH4" i="3"/>
  <c r="EG45" i="3"/>
  <c r="EG64" i="3"/>
  <c r="EJ4" i="2"/>
  <c r="EJ9" i="2" s="1"/>
  <c r="EG21" i="3"/>
  <c r="EG22" i="3"/>
  <c r="EG32" i="3"/>
  <c r="EG65" i="3"/>
  <c r="EI13" i="7"/>
  <c r="EI5" i="7"/>
  <c r="EI11" i="7"/>
  <c r="EI10" i="7"/>
  <c r="EI8" i="7"/>
  <c r="EI6" i="7"/>
  <c r="EI15" i="7"/>
  <c r="EI12" i="7"/>
  <c r="EI7" i="7"/>
  <c r="EI14" i="7"/>
  <c r="EG2" i="3"/>
  <c r="EG124" i="3" s="1"/>
  <c r="EI10" i="2"/>
  <c r="EI11" i="2"/>
  <c r="EI8" i="2"/>
  <c r="EI6" i="2"/>
  <c r="EI5" i="2"/>
  <c r="EI7" i="2"/>
  <c r="EF76" i="3"/>
  <c r="BT20" i="9"/>
  <c r="BO18" i="3"/>
  <c r="J181" i="1"/>
  <c r="EE65" i="9" l="1"/>
  <c r="EE25" i="3" s="1" a="1"/>
  <c r="EE25" i="3" s="1"/>
  <c r="EE41" i="9"/>
  <c r="EE44" i="9"/>
  <c r="EF15" i="9"/>
  <c r="EF18" i="9"/>
  <c r="EF19" i="9"/>
  <c r="ED26" i="9"/>
  <c r="ED27" i="9" s="1"/>
  <c r="BT31" i="9"/>
  <c r="BT29" i="9"/>
  <c r="BT28" i="9"/>
  <c r="BT30" i="9"/>
  <c r="EE25" i="9"/>
  <c r="EE22" i="9"/>
  <c r="EE24" i="9"/>
  <c r="EE32" i="9" s="1"/>
  <c r="EE23" i="9"/>
  <c r="EC33" i="9"/>
  <c r="EG76" i="3"/>
  <c r="EG104" i="3"/>
  <c r="EG97" i="3"/>
  <c r="ED26" i="3"/>
  <c r="EE24" i="3" a="1"/>
  <c r="EE24" i="3" s="1"/>
  <c r="EE26" i="3" s="1"/>
  <c r="EE46" i="9"/>
  <c r="EE37" i="9"/>
  <c r="EE51" i="9"/>
  <c r="EE38" i="9"/>
  <c r="EE49" i="9"/>
  <c r="EE45" i="9"/>
  <c r="EE47" i="9"/>
  <c r="EE42" i="9"/>
  <c r="EF13" i="9"/>
  <c r="EG16" i="9"/>
  <c r="EF12" i="9"/>
  <c r="EF43" i="9" s="1"/>
  <c r="EF11" i="9"/>
  <c r="EF10" i="9"/>
  <c r="EF61" i="9" a="1"/>
  <c r="EF61" i="9" s="1"/>
  <c r="EJ6" i="7"/>
  <c r="EJ12" i="7"/>
  <c r="EJ7" i="7"/>
  <c r="EJ14" i="7"/>
  <c r="EJ10" i="7"/>
  <c r="EJ5" i="7"/>
  <c r="EJ8" i="7"/>
  <c r="EJ15" i="7"/>
  <c r="EJ11" i="7"/>
  <c r="EJ13" i="7"/>
  <c r="EH2" i="3"/>
  <c r="EH124" i="3" s="1"/>
  <c r="EI12" i="2"/>
  <c r="EF7" i="3" s="1" a="1"/>
  <c r="EF7" i="3" s="1"/>
  <c r="EI16" i="7"/>
  <c r="EF9" i="3" s="1" a="1"/>
  <c r="EF9" i="3" s="1"/>
  <c r="EI4" i="3"/>
  <c r="EH45" i="3"/>
  <c r="EH114" i="3" a="1"/>
  <c r="EH114" i="3" s="1"/>
  <c r="EH22" i="3"/>
  <c r="EK4" i="11"/>
  <c r="EK4" i="2"/>
  <c r="EK9" i="2" s="1"/>
  <c r="EH20" i="3"/>
  <c r="EH21" i="3"/>
  <c r="EH65" i="3"/>
  <c r="EK4" i="7"/>
  <c r="EK9" i="7" s="1"/>
  <c r="EH63" i="3"/>
  <c r="EH3" i="3"/>
  <c r="EH80" i="3"/>
  <c r="EH51" i="3" s="1"/>
  <c r="EH16" i="3"/>
  <c r="EH58" i="3"/>
  <c r="EH40" i="3" s="1"/>
  <c r="EH5" i="3"/>
  <c r="EH32" i="3"/>
  <c r="EH84" i="3"/>
  <c r="EH66" i="3" s="1"/>
  <c r="EK4" i="6"/>
  <c r="EK8" i="6" s="1"/>
  <c r="EH64" i="3"/>
  <c r="EH17" i="3"/>
  <c r="EH18" i="3"/>
  <c r="EJ7" i="2"/>
  <c r="EJ11" i="2"/>
  <c r="EJ5" i="2"/>
  <c r="EJ10" i="2"/>
  <c r="EJ6" i="2"/>
  <c r="EJ8" i="2"/>
  <c r="EJ5" i="11"/>
  <c r="EJ9" i="11"/>
  <c r="EJ7" i="11"/>
  <c r="EJ8" i="11"/>
  <c r="EJ10" i="11"/>
  <c r="EJ16" i="6"/>
  <c r="EJ7" i="6"/>
  <c r="EJ13" i="6"/>
  <c r="EJ14" i="6"/>
  <c r="EJ12" i="6"/>
  <c r="EJ15" i="6"/>
  <c r="EJ9" i="6"/>
  <c r="EJ11" i="6"/>
  <c r="EJ10" i="6"/>
  <c r="EJ17" i="6"/>
  <c r="EJ5" i="6"/>
  <c r="BT39" i="9"/>
  <c r="BS50" i="9"/>
  <c r="BS58" i="9"/>
  <c r="BS59" i="9" s="1"/>
  <c r="BS29" i="3" s="1" a="1"/>
  <c r="BS29" i="3" s="1"/>
  <c r="BS113" i="3" a="1"/>
  <c r="BS113" i="3" s="1"/>
  <c r="BS115" i="3" s="1"/>
  <c r="BS116" i="3" s="1"/>
  <c r="BU17" i="9"/>
  <c r="BT40" i="9"/>
  <c r="EG15" i="9" l="1"/>
  <c r="EG18" i="9"/>
  <c r="EG19" i="9"/>
  <c r="EF41" i="9"/>
  <c r="EF44" i="9"/>
  <c r="BT34" i="9"/>
  <c r="BT58" i="9" s="1"/>
  <c r="BT59" i="9" s="1"/>
  <c r="BT29" i="3" s="1" a="1"/>
  <c r="BT29" i="3" s="1"/>
  <c r="EE26" i="9"/>
  <c r="EE27" i="9" s="1"/>
  <c r="EF25" i="9"/>
  <c r="EF23" i="9"/>
  <c r="EF22" i="9"/>
  <c r="EF24" i="9"/>
  <c r="EF32" i="9" s="1"/>
  <c r="ED33" i="9"/>
  <c r="EF65" i="9"/>
  <c r="EF25" i="3" s="1" a="1"/>
  <c r="EF25" i="3" s="1"/>
  <c r="EH104" i="3"/>
  <c r="EH97" i="3"/>
  <c r="EF24" i="3" a="1"/>
  <c r="EF24" i="3" s="1"/>
  <c r="EH16" i="9"/>
  <c r="EG13" i="9"/>
  <c r="EG10" i="9"/>
  <c r="EG12" i="9"/>
  <c r="EG43" i="9" s="1"/>
  <c r="EG11" i="9"/>
  <c r="EG61" i="9" a="1"/>
  <c r="EG61" i="9" s="1"/>
  <c r="EF46" i="9"/>
  <c r="EF51" i="9"/>
  <c r="EF38" i="9"/>
  <c r="EF49" i="9"/>
  <c r="EF37" i="9"/>
  <c r="EF45" i="9"/>
  <c r="EF42" i="9"/>
  <c r="EF47" i="9"/>
  <c r="EK7" i="7"/>
  <c r="EK15" i="7"/>
  <c r="EK13" i="7"/>
  <c r="EK12" i="7"/>
  <c r="EK11" i="7"/>
  <c r="EK5" i="7"/>
  <c r="EK14" i="7"/>
  <c r="EK10" i="7"/>
  <c r="EK8" i="7"/>
  <c r="EK6" i="7"/>
  <c r="EJ16" i="7"/>
  <c r="EG9" i="3" s="1" a="1"/>
  <c r="EG9" i="3" s="1"/>
  <c r="EI32" i="3"/>
  <c r="EL4" i="7"/>
  <c r="EL9" i="7" s="1"/>
  <c r="EI114" i="3" a="1"/>
  <c r="EI114" i="3" s="1"/>
  <c r="EI20" i="3"/>
  <c r="EI65" i="3"/>
  <c r="EI16" i="3"/>
  <c r="EL4" i="2"/>
  <c r="EL9" i="2" s="1"/>
  <c r="EI21" i="3"/>
  <c r="EI45" i="3"/>
  <c r="EI80" i="3"/>
  <c r="EI51" i="3" s="1"/>
  <c r="EI3" i="3"/>
  <c r="EI22" i="3"/>
  <c r="EI58" i="3"/>
  <c r="EI40" i="3" s="1"/>
  <c r="EI84" i="3"/>
  <c r="EI66" i="3" s="1"/>
  <c r="EL4" i="11"/>
  <c r="EI18" i="3"/>
  <c r="EI63" i="3"/>
  <c r="EI5" i="3"/>
  <c r="B5" i="3" s="1"/>
  <c r="EI64" i="3"/>
  <c r="EL4" i="6"/>
  <c r="EL8" i="6" s="1"/>
  <c r="EI17" i="3"/>
  <c r="EI2" i="3"/>
  <c r="EI124" i="3" s="1"/>
  <c r="EJ12" i="2"/>
  <c r="EG7" i="3" s="1" a="1"/>
  <c r="EG7" i="3" s="1"/>
  <c r="EK14" i="6"/>
  <c r="EK15" i="6"/>
  <c r="EK9" i="6"/>
  <c r="EK5" i="6"/>
  <c r="EK16" i="6"/>
  <c r="EK13" i="6"/>
  <c r="EK10" i="6"/>
  <c r="EK11" i="6"/>
  <c r="EK17" i="6"/>
  <c r="EK12" i="6"/>
  <c r="EK7" i="6"/>
  <c r="EH76" i="3"/>
  <c r="EK10" i="2"/>
  <c r="EK7" i="2"/>
  <c r="EK6" i="2"/>
  <c r="EK11" i="2"/>
  <c r="EK8" i="2"/>
  <c r="EK5" i="2"/>
  <c r="EK9" i="11"/>
  <c r="EK10" i="11"/>
  <c r="EK7" i="11"/>
  <c r="EK5" i="11"/>
  <c r="EK8" i="11"/>
  <c r="BU20" i="9"/>
  <c r="EG41" i="9" l="1"/>
  <c r="EG44" i="9"/>
  <c r="EH15" i="9"/>
  <c r="EH18" i="9"/>
  <c r="EH19" i="9"/>
  <c r="EF26" i="3"/>
  <c r="EG65" i="9"/>
  <c r="EG25" i="3" s="1" a="1"/>
  <c r="EG25" i="3" s="1"/>
  <c r="EF26" i="9"/>
  <c r="EF27" i="9" s="1"/>
  <c r="BU31" i="9"/>
  <c r="BU29" i="9"/>
  <c r="BU28" i="9"/>
  <c r="BU30" i="9"/>
  <c r="EG25" i="9"/>
  <c r="EG24" i="9"/>
  <c r="EG32" i="9" s="1"/>
  <c r="EG22" i="9"/>
  <c r="EG23" i="9"/>
  <c r="EE33" i="9"/>
  <c r="EG24" i="3" a="1"/>
  <c r="EG24" i="3" s="1"/>
  <c r="EI104" i="3"/>
  <c r="EI97" i="3"/>
  <c r="EI16" i="9"/>
  <c r="EH13" i="9"/>
  <c r="EH10" i="9"/>
  <c r="EH12" i="9"/>
  <c r="EH43" i="9" s="1"/>
  <c r="EH11" i="9"/>
  <c r="EH61" i="9" a="1"/>
  <c r="EH61" i="9" s="1"/>
  <c r="EH24" i="3" s="1" a="1"/>
  <c r="EH24" i="3" s="1"/>
  <c r="EG42" i="9"/>
  <c r="EG37" i="9"/>
  <c r="EG49" i="9"/>
  <c r="EG46" i="9"/>
  <c r="EG45" i="9"/>
  <c r="EG47" i="9"/>
  <c r="EG38" i="9"/>
  <c r="EG51" i="9"/>
  <c r="EK16" i="7"/>
  <c r="EH9" i="3" s="1" a="1"/>
  <c r="EH9" i="3" s="1"/>
  <c r="EL12" i="6"/>
  <c r="EL16" i="6"/>
  <c r="EL11" i="6"/>
  <c r="EL15" i="6"/>
  <c r="EL14" i="6"/>
  <c r="EL10" i="6"/>
  <c r="EL13" i="6"/>
  <c r="EL7" i="6"/>
  <c r="EL9" i="6"/>
  <c r="EL5" i="6"/>
  <c r="EL17" i="6"/>
  <c r="EI76" i="3"/>
  <c r="EL10" i="11"/>
  <c r="EL5" i="11"/>
  <c r="EL8" i="11"/>
  <c r="EL9" i="11"/>
  <c r="EL7" i="11"/>
  <c r="EL11" i="2"/>
  <c r="EL8" i="2"/>
  <c r="EL5" i="2"/>
  <c r="EL6" i="2"/>
  <c r="EL7" i="2"/>
  <c r="EL10" i="2"/>
  <c r="EL7" i="7"/>
  <c r="EL6" i="7"/>
  <c r="EL13" i="7"/>
  <c r="EL11" i="7"/>
  <c r="EL8" i="7"/>
  <c r="EL15" i="7"/>
  <c r="EL5" i="7"/>
  <c r="EL12" i="7"/>
  <c r="EL14" i="7"/>
  <c r="EL10" i="7"/>
  <c r="EK12" i="2"/>
  <c r="EH7" i="3" s="1" a="1"/>
  <c r="EH7" i="3" s="1"/>
  <c r="BU39" i="9"/>
  <c r="BT113" i="3" a="1"/>
  <c r="BT113" i="3" s="1"/>
  <c r="BT115" i="3" s="1"/>
  <c r="BT116" i="3" s="1"/>
  <c r="BT50" i="9"/>
  <c r="BV17" i="9"/>
  <c r="BU40" i="9"/>
  <c r="EH41" i="9" l="1"/>
  <c r="EH44" i="9"/>
  <c r="EI15" i="9"/>
  <c r="EI18" i="9"/>
  <c r="EI19" i="9"/>
  <c r="EG26" i="3"/>
  <c r="BU34" i="9"/>
  <c r="BU113" i="3" s="1" a="1"/>
  <c r="BU113" i="3" s="1"/>
  <c r="BU115" i="3" s="1"/>
  <c r="BU116" i="3" s="1"/>
  <c r="EH25" i="9"/>
  <c r="EH24" i="9"/>
  <c r="EH32" i="9" s="1"/>
  <c r="EH23" i="9"/>
  <c r="EH22" i="9"/>
  <c r="EG26" i="9"/>
  <c r="EG27" i="9" s="1"/>
  <c r="EF33" i="9"/>
  <c r="EI13" i="9"/>
  <c r="EI10" i="9"/>
  <c r="EI12" i="9"/>
  <c r="EI43" i="9" s="1"/>
  <c r="EI11" i="9"/>
  <c r="EI61" i="9" a="1"/>
  <c r="EI61" i="9" s="1"/>
  <c r="G28" i="3" a="1"/>
  <c r="G28" i="3" s="1"/>
  <c r="G25" i="3" a="1"/>
  <c r="G25" i="3" s="1"/>
  <c r="G24" i="3" a="1"/>
  <c r="G24" i="3" s="1"/>
  <c r="G113" i="3" a="1"/>
  <c r="G113" i="3" s="1"/>
  <c r="G115" i="3" s="1"/>
  <c r="G116" i="3" s="1"/>
  <c r="G29" i="3" a="1"/>
  <c r="G29" i="3" s="1"/>
  <c r="EH65" i="9"/>
  <c r="EH25" i="3" s="1" a="1"/>
  <c r="EH25" i="3" s="1"/>
  <c r="EH26" i="3" s="1"/>
  <c r="EH42" i="9"/>
  <c r="EH45" i="9"/>
  <c r="EH47" i="9"/>
  <c r="EH51" i="9"/>
  <c r="EH38" i="9"/>
  <c r="EH37" i="9"/>
  <c r="EH49" i="9"/>
  <c r="EH46" i="9"/>
  <c r="EL12" i="2"/>
  <c r="EI7" i="3" s="1" a="1"/>
  <c r="EI7" i="3" s="1"/>
  <c r="B7" i="3" s="1"/>
  <c r="EL16" i="7"/>
  <c r="EI9" i="3" s="1" a="1"/>
  <c r="EI9" i="3" s="1"/>
  <c r="B9" i="3" s="1"/>
  <c r="BV20" i="9"/>
  <c r="EI41" i="9" l="1"/>
  <c r="EI44" i="9"/>
  <c r="EG33" i="9"/>
  <c r="EI25" i="9"/>
  <c r="EI22" i="9"/>
  <c r="EI24" i="9"/>
  <c r="EI32" i="9" s="1"/>
  <c r="EI23" i="9"/>
  <c r="EH26" i="9"/>
  <c r="EH27" i="9" s="1"/>
  <c r="BV31" i="9"/>
  <c r="BV29" i="9"/>
  <c r="BV28" i="9"/>
  <c r="BV30" i="9"/>
  <c r="G26" i="3"/>
  <c r="G30" i="3"/>
  <c r="F6" i="32" s="1"/>
  <c r="EI65" i="9"/>
  <c r="EI25" i="3" s="1" a="1"/>
  <c r="EI25" i="3" s="1"/>
  <c r="CR62" i="9"/>
  <c r="CN62" i="9"/>
  <c r="CS62" i="9"/>
  <c r="CT62" i="9"/>
  <c r="CO62" i="9"/>
  <c r="CW62" i="9"/>
  <c r="CQ62" i="9"/>
  <c r="CX62" i="9"/>
  <c r="CU62" i="9"/>
  <c r="CP62" i="9"/>
  <c r="CV62" i="9"/>
  <c r="EI24" i="3" a="1"/>
  <c r="EI24" i="3" s="1"/>
  <c r="EI46" i="9"/>
  <c r="EI38" i="9"/>
  <c r="EI51" i="9"/>
  <c r="EI37" i="9"/>
  <c r="EI42" i="9"/>
  <c r="EI45" i="9"/>
  <c r="EI47" i="9"/>
  <c r="EI49" i="9"/>
  <c r="BV39" i="9"/>
  <c r="BU50" i="9"/>
  <c r="BU58" i="9"/>
  <c r="BU59" i="9" s="1"/>
  <c r="BU29" i="3" s="1" a="1"/>
  <c r="BU29" i="3" s="1"/>
  <c r="BW17" i="9"/>
  <c r="BV40" i="9"/>
  <c r="EH33" i="9" l="1"/>
  <c r="BV34" i="9"/>
  <c r="BV58" i="9" s="1"/>
  <c r="BV59" i="9" s="1"/>
  <c r="BV29" i="3" s="1" a="1"/>
  <c r="BV29" i="3" s="1"/>
  <c r="EI26" i="9"/>
  <c r="EI27" i="9" s="1"/>
  <c r="EI26" i="3"/>
  <c r="H63" i="3"/>
  <c r="BW20" i="9"/>
  <c r="EI33" i="9" l="1"/>
  <c r="BW31" i="9"/>
  <c r="BW29" i="9"/>
  <c r="BW28" i="9"/>
  <c r="BW30" i="9"/>
  <c r="H67" i="3"/>
  <c r="I62" i="3" s="1"/>
  <c r="I67" i="3" s="1"/>
  <c r="J62" i="3" s="1"/>
  <c r="J67" i="3" s="1"/>
  <c r="K62" i="3" s="1"/>
  <c r="K67" i="3" s="1"/>
  <c r="L62" i="3" s="1"/>
  <c r="BW39" i="9"/>
  <c r="H58" i="3"/>
  <c r="H40" i="3" s="1"/>
  <c r="BV113" i="3" a="1"/>
  <c r="BV113" i="3" s="1"/>
  <c r="BV115" i="3" s="1"/>
  <c r="BV116" i="3" s="1"/>
  <c r="BV50" i="9"/>
  <c r="BX17" i="9"/>
  <c r="BW40" i="9"/>
  <c r="BW34" i="9" l="1"/>
  <c r="BW58" i="9" s="1"/>
  <c r="BW59" i="9" s="1"/>
  <c r="BW29" i="3" s="1" a="1"/>
  <c r="BW29" i="3" s="1"/>
  <c r="BX20" i="9"/>
  <c r="BX31" i="9" l="1"/>
  <c r="BX29" i="9"/>
  <c r="BX28" i="9"/>
  <c r="BX30" i="9"/>
  <c r="BX39" i="9"/>
  <c r="BW113" i="3" a="1"/>
  <c r="BW113" i="3" s="1"/>
  <c r="BW115" i="3" s="1"/>
  <c r="BW116" i="3" s="1"/>
  <c r="BW50" i="9"/>
  <c r="BY17" i="9"/>
  <c r="BX40" i="9"/>
  <c r="BX34" i="9" l="1"/>
  <c r="BX58" i="9" s="1"/>
  <c r="BX59" i="9" s="1"/>
  <c r="BX29" i="3" s="1" a="1"/>
  <c r="BX29" i="3" s="1"/>
  <c r="BY20" i="9"/>
  <c r="BY31" i="9" l="1"/>
  <c r="BY29" i="9"/>
  <c r="BY28" i="9"/>
  <c r="BY30" i="9"/>
  <c r="BY39" i="9"/>
  <c r="BX113" i="3" a="1"/>
  <c r="BX113" i="3" s="1"/>
  <c r="BX115" i="3" s="1"/>
  <c r="BX116" i="3" s="1"/>
  <c r="BX50" i="9"/>
  <c r="BZ17" i="9"/>
  <c r="BY40" i="9"/>
  <c r="BY34" i="9" l="1"/>
  <c r="BZ20" i="9"/>
  <c r="BZ31" i="9" l="1"/>
  <c r="BZ29" i="9"/>
  <c r="BZ28" i="9"/>
  <c r="BZ30" i="9"/>
  <c r="BZ39" i="9"/>
  <c r="BY50" i="9"/>
  <c r="BY58" i="9"/>
  <c r="BY59" i="9" s="1"/>
  <c r="BY29" i="3" s="1" a="1"/>
  <c r="BY29" i="3" s="1"/>
  <c r="BY113" i="3" a="1"/>
  <c r="BY113" i="3" s="1"/>
  <c r="BY115" i="3" s="1"/>
  <c r="BY116" i="3" s="1"/>
  <c r="CA17" i="9"/>
  <c r="BZ40" i="9"/>
  <c r="BZ34" i="9" l="1"/>
  <c r="BZ113" i="3" s="1" a="1"/>
  <c r="BZ113" i="3" s="1"/>
  <c r="BZ115" i="3" s="1"/>
  <c r="BZ116" i="3" s="1"/>
  <c r="CA20" i="9"/>
  <c r="CA31" i="9" l="1"/>
  <c r="CA29" i="9"/>
  <c r="CA28" i="9"/>
  <c r="CA30" i="9"/>
  <c r="CA39" i="9"/>
  <c r="BZ50" i="9"/>
  <c r="BZ58" i="9"/>
  <c r="BZ59" i="9" s="1"/>
  <c r="BZ29" i="3" s="1" a="1"/>
  <c r="BZ29" i="3" s="1"/>
  <c r="CB17" i="9"/>
  <c r="CA40" i="9"/>
  <c r="CA34" i="9" l="1"/>
  <c r="CA113" i="3" s="1" a="1"/>
  <c r="CA113" i="3" s="1"/>
  <c r="CA115" i="3" s="1"/>
  <c r="CA116" i="3" s="1"/>
  <c r="CB20" i="9"/>
  <c r="CB31" i="9" l="1"/>
  <c r="CB29" i="9"/>
  <c r="CB28" i="9"/>
  <c r="CB30" i="9"/>
  <c r="CB39" i="9"/>
  <c r="CA50" i="9"/>
  <c r="CA58" i="9"/>
  <c r="CA59" i="9" s="1"/>
  <c r="CA29" i="3" s="1" a="1"/>
  <c r="CA29" i="3" s="1"/>
  <c r="CC17" i="9"/>
  <c r="CB40" i="9"/>
  <c r="CB34" i="9" l="1"/>
  <c r="CB113" i="3" s="1" a="1"/>
  <c r="CB113" i="3" s="1"/>
  <c r="CB115" i="3" s="1"/>
  <c r="CB116" i="3" s="1"/>
  <c r="CC20" i="9"/>
  <c r="CC31" i="9" l="1"/>
  <c r="CC29" i="9"/>
  <c r="CC28" i="9"/>
  <c r="CC30" i="9"/>
  <c r="CC39" i="9"/>
  <c r="CB50" i="9"/>
  <c r="CB58" i="9"/>
  <c r="CB59" i="9" s="1"/>
  <c r="CB29" i="3" s="1" a="1"/>
  <c r="CB29" i="3" s="1"/>
  <c r="CD17" i="9"/>
  <c r="CC40" i="9"/>
  <c r="CC34" i="9" l="1"/>
  <c r="CD20" i="9"/>
  <c r="CD31" i="9" l="1"/>
  <c r="CD29" i="9"/>
  <c r="CD30" i="9"/>
  <c r="CD28" i="9"/>
  <c r="CD39" i="9"/>
  <c r="CC113" i="3" a="1"/>
  <c r="CC113" i="3" s="1"/>
  <c r="CC115" i="3" s="1"/>
  <c r="CC116" i="3" s="1"/>
  <c r="CC58" i="9"/>
  <c r="CC59" i="9" s="1"/>
  <c r="CC29" i="3" s="1" a="1"/>
  <c r="CC29" i="3" s="1"/>
  <c r="CC50" i="9"/>
  <c r="CE17" i="9"/>
  <c r="CD40" i="9"/>
  <c r="CD34" i="9" l="1"/>
  <c r="CD113" i="3" s="1" a="1"/>
  <c r="CD113" i="3" s="1"/>
  <c r="CD115" i="3" s="1"/>
  <c r="CD116" i="3" s="1"/>
  <c r="CE20" i="9"/>
  <c r="CE31" i="9" l="1"/>
  <c r="CE29" i="9"/>
  <c r="CE30" i="9"/>
  <c r="CE28" i="9"/>
  <c r="CE39" i="9"/>
  <c r="CD50" i="9"/>
  <c r="CD58" i="9"/>
  <c r="CD59" i="9" s="1"/>
  <c r="CD29" i="3" s="1" a="1"/>
  <c r="CD29" i="3" s="1"/>
  <c r="CF17" i="9"/>
  <c r="CE40" i="9"/>
  <c r="CE34" i="9" l="1"/>
  <c r="CF20" i="9"/>
  <c r="CF31" i="9" l="1"/>
  <c r="CF29" i="9"/>
  <c r="CF28" i="9"/>
  <c r="CF30" i="9"/>
  <c r="CF39" i="9"/>
  <c r="CE50" i="9"/>
  <c r="CE58" i="9"/>
  <c r="CE59" i="9" s="1"/>
  <c r="CE29" i="3" s="1" a="1"/>
  <c r="CE29" i="3" s="1"/>
  <c r="CE113" i="3" a="1"/>
  <c r="CE113" i="3" s="1"/>
  <c r="CE115" i="3" s="1"/>
  <c r="CE116" i="3" s="1"/>
  <c r="CG17" i="9"/>
  <c r="CF40" i="9"/>
  <c r="CF34" i="9" l="1"/>
  <c r="CG20" i="9"/>
  <c r="CG31" i="9" l="1"/>
  <c r="CG29" i="9"/>
  <c r="CG30" i="9"/>
  <c r="CG28" i="9"/>
  <c r="CG39" i="9"/>
  <c r="CF50" i="9"/>
  <c r="CF58" i="9"/>
  <c r="CF59" i="9" s="1"/>
  <c r="CF29" i="3" s="1" a="1"/>
  <c r="CF29" i="3" s="1"/>
  <c r="CF113" i="3" a="1"/>
  <c r="CF113" i="3" s="1"/>
  <c r="CF115" i="3" s="1"/>
  <c r="CF116" i="3" s="1"/>
  <c r="CH17" i="9"/>
  <c r="CG40" i="9"/>
  <c r="BB113" i="3" a="1"/>
  <c r="BB113" i="3" s="1"/>
  <c r="BB115" i="3" s="1"/>
  <c r="BB116" i="3" s="1"/>
  <c r="CG34" i="9" l="1"/>
  <c r="CH20" i="9"/>
  <c r="CH31" i="9" l="1"/>
  <c r="CH29" i="9"/>
  <c r="CH28" i="9"/>
  <c r="CH30" i="9"/>
  <c r="CH39" i="9"/>
  <c r="CG50" i="9"/>
  <c r="CG58" i="9"/>
  <c r="CG59" i="9" s="1"/>
  <c r="CG29" i="3" s="1" a="1"/>
  <c r="CG29" i="3" s="1"/>
  <c r="CG113" i="3" a="1"/>
  <c r="CG113" i="3" s="1"/>
  <c r="CG115" i="3" s="1"/>
  <c r="CG116" i="3" s="1"/>
  <c r="CI17" i="9"/>
  <c r="CH40" i="9"/>
  <c r="P6" i="6"/>
  <c r="Q6" i="6"/>
  <c r="R6" i="6"/>
  <c r="O13" i="6"/>
  <c r="P13" i="6"/>
  <c r="CH34" i="9" l="1"/>
  <c r="CI20" i="9"/>
  <c r="P19" i="6"/>
  <c r="CI31" i="9" l="1"/>
  <c r="CI29" i="9"/>
  <c r="CI28" i="9"/>
  <c r="CI30" i="9"/>
  <c r="CI39" i="9"/>
  <c r="CH50" i="9"/>
  <c r="CH58" i="9"/>
  <c r="CH59" i="9" s="1"/>
  <c r="CH29" i="3" s="1" a="1"/>
  <c r="CH29" i="3" s="1"/>
  <c r="CH113" i="3" a="1"/>
  <c r="CH113" i="3" s="1"/>
  <c r="CH115" i="3" s="1"/>
  <c r="CH116" i="3" s="1"/>
  <c r="CJ17" i="9"/>
  <c r="CI40" i="9"/>
  <c r="M6" i="3" a="1"/>
  <c r="M6" i="3" s="1"/>
  <c r="M19" i="6"/>
  <c r="L19" i="6"/>
  <c r="K19" i="6"/>
  <c r="CI34" i="9" l="1"/>
  <c r="CI113" i="3" s="1" a="1"/>
  <c r="CI113" i="3" s="1"/>
  <c r="CI115" i="3" s="1"/>
  <c r="CI116" i="3" s="1"/>
  <c r="CJ20" i="9"/>
  <c r="J6" i="3" a="1"/>
  <c r="J6" i="3" s="1"/>
  <c r="H6" i="3" a="1"/>
  <c r="H6" i="3" s="1"/>
  <c r="I6" i="3" a="1"/>
  <c r="I6" i="3" s="1"/>
  <c r="AT11" i="11"/>
  <c r="CJ31" i="9" l="1"/>
  <c r="CJ29" i="9"/>
  <c r="CJ28" i="9"/>
  <c r="CJ30" i="9"/>
  <c r="CJ39" i="9"/>
  <c r="BO40" i="3"/>
  <c r="CI50" i="9"/>
  <c r="CI58" i="9"/>
  <c r="CI59" i="9" s="1"/>
  <c r="CI29" i="3" s="1" a="1"/>
  <c r="CI29" i="3" s="1"/>
  <c r="CK17" i="9"/>
  <c r="CJ40" i="9"/>
  <c r="AW11" i="11"/>
  <c r="CJ34" i="9" l="1"/>
  <c r="CJ113" i="3" s="1" a="1"/>
  <c r="CJ113" i="3" s="1"/>
  <c r="CJ115" i="3" s="1"/>
  <c r="CJ116" i="3" s="1"/>
  <c r="CK20" i="9"/>
  <c r="G136" i="3"/>
  <c r="G145" i="3"/>
  <c r="G146" i="3" s="1"/>
  <c r="CK31" i="9" l="1"/>
  <c r="CK29" i="9"/>
  <c r="CK28" i="9"/>
  <c r="CK30" i="9"/>
  <c r="CK39" i="9"/>
  <c r="CJ50" i="9"/>
  <c r="CJ58" i="9"/>
  <c r="CJ59" i="9" s="1"/>
  <c r="CJ29" i="3" s="1" a="1"/>
  <c r="CJ29" i="3" s="1"/>
  <c r="CL17" i="9"/>
  <c r="CK40" i="9"/>
  <c r="G147" i="3"/>
  <c r="CK34" i="9" l="1"/>
  <c r="CK113" i="3" s="1" a="1"/>
  <c r="CK113" i="3" s="1"/>
  <c r="CK115" i="3" s="1"/>
  <c r="CK116" i="3" s="1"/>
  <c r="CL20" i="9"/>
  <c r="CL31" i="9" l="1"/>
  <c r="CL29" i="9"/>
  <c r="CL28" i="9"/>
  <c r="CL30" i="9"/>
  <c r="CL39" i="9"/>
  <c r="CK50" i="9"/>
  <c r="CK58" i="9"/>
  <c r="CK59" i="9" s="1"/>
  <c r="CK29" i="3" s="1" a="1"/>
  <c r="CK29" i="3" s="1"/>
  <c r="CM17" i="9"/>
  <c r="CL40" i="9"/>
  <c r="F91" i="3"/>
  <c r="CL34" i="9" l="1"/>
  <c r="CM20" i="9"/>
  <c r="CM31" i="9" l="1"/>
  <c r="CM29" i="9"/>
  <c r="CM28" i="9"/>
  <c r="CM30" i="9"/>
  <c r="CM39" i="9"/>
  <c r="CL113" i="3" a="1"/>
  <c r="CL113" i="3" s="1"/>
  <c r="CL115" i="3" s="1"/>
  <c r="CL116" i="3" s="1"/>
  <c r="CL58" i="9"/>
  <c r="CL59" i="9" s="1"/>
  <c r="CL29" i="3" s="1" a="1"/>
  <c r="CL29" i="3" s="1"/>
  <c r="CL50" i="9"/>
  <c r="CN17" i="9"/>
  <c r="CM40" i="9"/>
  <c r="CM34" i="9" l="1"/>
  <c r="CN20" i="9"/>
  <c r="CN31" i="9" l="1"/>
  <c r="CN29" i="9"/>
  <c r="CN30" i="9"/>
  <c r="CN28" i="9"/>
  <c r="CN39" i="9"/>
  <c r="CM50" i="9"/>
  <c r="CM58" i="9"/>
  <c r="CM59" i="9" s="1"/>
  <c r="CM29" i="3" s="1" a="1"/>
  <c r="CM29" i="3" s="1"/>
  <c r="CM113" i="3" a="1"/>
  <c r="CM113" i="3" s="1"/>
  <c r="CM115" i="3" s="1"/>
  <c r="CM116" i="3" s="1"/>
  <c r="CO17" i="9"/>
  <c r="CN40" i="9"/>
  <c r="CN34" i="9" l="1"/>
  <c r="CN113" i="3" s="1" a="1"/>
  <c r="CN113" i="3" s="1"/>
  <c r="CN115" i="3" s="1"/>
  <c r="CN116" i="3" s="1"/>
  <c r="CO20" i="9"/>
  <c r="CO31" i="9" l="1"/>
  <c r="CO29" i="9"/>
  <c r="CO30" i="9"/>
  <c r="CO28" i="9"/>
  <c r="CO39" i="9"/>
  <c r="CN50" i="9"/>
  <c r="CN58" i="9"/>
  <c r="CN59" i="9" s="1"/>
  <c r="CN29" i="3" s="1" a="1"/>
  <c r="CN29" i="3" s="1"/>
  <c r="CP17" i="9"/>
  <c r="CO40" i="9"/>
  <c r="AL10" i="11"/>
  <c r="AL12" i="11" s="1"/>
  <c r="AM10" i="11"/>
  <c r="AM12" i="11" s="1"/>
  <c r="AN10" i="11"/>
  <c r="AN12" i="11" s="1"/>
  <c r="AO10" i="11"/>
  <c r="AO12" i="11" s="1"/>
  <c r="AP10" i="11"/>
  <c r="AP12" i="11" s="1"/>
  <c r="AQ10" i="11"/>
  <c r="AQ12" i="11" s="1"/>
  <c r="AR10" i="11"/>
  <c r="AR12" i="11" s="1"/>
  <c r="AS10" i="11"/>
  <c r="AS12" i="11" s="1"/>
  <c r="AT10" i="11"/>
  <c r="AT12" i="11" s="1"/>
  <c r="AU10" i="11"/>
  <c r="AU12" i="11" s="1"/>
  <c r="AV10" i="11"/>
  <c r="AV12" i="11" s="1"/>
  <c r="AW10" i="11"/>
  <c r="AW12" i="11" s="1"/>
  <c r="AX10" i="11"/>
  <c r="AX12" i="11" s="1"/>
  <c r="AY10" i="11"/>
  <c r="AY12" i="11" s="1"/>
  <c r="AZ10" i="11"/>
  <c r="AZ12" i="11" s="1"/>
  <c r="BA10" i="11"/>
  <c r="BA12" i="11" s="1"/>
  <c r="BB10" i="11"/>
  <c r="BB11" i="11"/>
  <c r="CO34" i="9" l="1"/>
  <c r="CO113" i="3" s="1" a="1"/>
  <c r="CO113" i="3" s="1"/>
  <c r="CO115" i="3" s="1"/>
  <c r="CO116" i="3" s="1"/>
  <c r="CP20" i="9"/>
  <c r="AS8" i="3" a="1"/>
  <c r="AS8" i="3" s="1"/>
  <c r="AS10" i="3" s="1"/>
  <c r="AK8" i="3" a="1"/>
  <c r="AK8" i="3" s="1"/>
  <c r="AK10" i="3" s="1"/>
  <c r="AX8" i="3" a="1"/>
  <c r="AX8" i="3" s="1"/>
  <c r="AX10" i="3" s="1"/>
  <c r="AT8" i="3" a="1"/>
  <c r="AT8" i="3" s="1"/>
  <c r="AT10" i="3" s="1"/>
  <c r="AP8" i="3" a="1"/>
  <c r="AP8" i="3" s="1"/>
  <c r="AP10" i="3" s="1"/>
  <c r="AL8" i="3" a="1"/>
  <c r="AL8" i="3" s="1"/>
  <c r="AL10" i="3" s="1"/>
  <c r="AW8" i="3" a="1"/>
  <c r="AW8" i="3" s="1"/>
  <c r="AW10" i="3" s="1"/>
  <c r="AO8" i="3" a="1"/>
  <c r="AO8" i="3" s="1"/>
  <c r="AO10" i="3" s="1"/>
  <c r="AV8" i="3" a="1"/>
  <c r="AV8" i="3" s="1"/>
  <c r="AV10" i="3" s="1"/>
  <c r="AR8" i="3" a="1"/>
  <c r="AR8" i="3" s="1"/>
  <c r="AR10" i="3" s="1"/>
  <c r="AN8" i="3" a="1"/>
  <c r="AN8" i="3" s="1"/>
  <c r="AN10" i="3" s="1"/>
  <c r="AJ8" i="3" a="1"/>
  <c r="AJ8" i="3" s="1"/>
  <c r="AJ10" i="3" s="1"/>
  <c r="AU8" i="3" a="1"/>
  <c r="AU8" i="3" s="1"/>
  <c r="AU10" i="3" s="1"/>
  <c r="AQ8" i="3" a="1"/>
  <c r="AQ8" i="3" s="1"/>
  <c r="AQ10" i="3" s="1"/>
  <c r="AM8" i="3" a="1"/>
  <c r="AM8" i="3" s="1"/>
  <c r="AM10" i="3" s="1"/>
  <c r="AI8" i="3" a="1"/>
  <c r="AI8" i="3" s="1"/>
  <c r="AI10" i="3" s="1"/>
  <c r="BB12" i="11"/>
  <c r="CP31" i="9" l="1"/>
  <c r="CP29" i="9"/>
  <c r="CP28" i="9"/>
  <c r="CP30" i="9"/>
  <c r="CP39" i="9"/>
  <c r="P63" i="3"/>
  <c r="R63" i="3"/>
  <c r="BS63" i="3"/>
  <c r="BP63" i="3"/>
  <c r="BQ63" i="3"/>
  <c r="BJ63" i="3"/>
  <c r="BK63" i="3"/>
  <c r="AX63" i="3"/>
  <c r="BG63" i="3"/>
  <c r="AU63" i="3"/>
  <c r="AW63" i="3"/>
  <c r="AS63" i="3"/>
  <c r="BU63" i="3"/>
  <c r="AV63" i="3"/>
  <c r="BN63" i="3"/>
  <c r="BL63" i="3"/>
  <c r="BV63" i="3"/>
  <c r="BR63" i="3"/>
  <c r="BM63" i="3"/>
  <c r="BT63" i="3"/>
  <c r="CD63" i="3"/>
  <c r="CF63" i="3"/>
  <c r="CM63" i="3"/>
  <c r="CO50" i="9"/>
  <c r="CO58" i="9"/>
  <c r="CO59" i="9" s="1"/>
  <c r="CO29" i="3" s="1" a="1"/>
  <c r="CO29" i="3" s="1"/>
  <c r="CQ17" i="9"/>
  <c r="CP40" i="9"/>
  <c r="AP33" i="3"/>
  <c r="AS33" i="3"/>
  <c r="AW33" i="3"/>
  <c r="AT33" i="3"/>
  <c r="AX33" i="3"/>
  <c r="AR33" i="3"/>
  <c r="AN33" i="3"/>
  <c r="AM33" i="3"/>
  <c r="AJ33" i="3"/>
  <c r="AK33" i="3"/>
  <c r="AU33" i="3"/>
  <c r="AO33" i="3"/>
  <c r="AI33" i="3"/>
  <c r="AV33" i="3"/>
  <c r="AQ33" i="3"/>
  <c r="AL33" i="3"/>
  <c r="AY8" i="3" a="1"/>
  <c r="AY8" i="3" s="1"/>
  <c r="AY10" i="3" s="1"/>
  <c r="O6" i="6"/>
  <c r="R13" i="6"/>
  <c r="CP34" i="9" l="1"/>
  <c r="W58" i="3"/>
  <c r="W40" i="3" s="1"/>
  <c r="X58" i="3"/>
  <c r="X40" i="3" s="1"/>
  <c r="W63" i="3"/>
  <c r="X63" i="3"/>
  <c r="AA58" i="3"/>
  <c r="AA40" i="3" s="1"/>
  <c r="AA63" i="3"/>
  <c r="AF58" i="3"/>
  <c r="AF40" i="3" s="1"/>
  <c r="T58" i="3"/>
  <c r="T40" i="3" s="1"/>
  <c r="T63" i="3"/>
  <c r="AG63" i="3"/>
  <c r="AF63" i="3"/>
  <c r="U58" i="3"/>
  <c r="U40" i="3" s="1"/>
  <c r="AG58" i="3"/>
  <c r="AG40" i="3" s="1"/>
  <c r="U63" i="3"/>
  <c r="Q58" i="3"/>
  <c r="Q40" i="3" s="1"/>
  <c r="Q63" i="3"/>
  <c r="R58" i="3"/>
  <c r="R40" i="3" s="1"/>
  <c r="P58" i="3"/>
  <c r="P40" i="3" s="1"/>
  <c r="BQ58" i="3"/>
  <c r="BQ40" i="3" s="1"/>
  <c r="BS58" i="3"/>
  <c r="BS40" i="3" s="1"/>
  <c r="BK58" i="3"/>
  <c r="BK40" i="3" s="1"/>
  <c r="BP58" i="3"/>
  <c r="BP40" i="3" s="1"/>
  <c r="BG58" i="3"/>
  <c r="BG40" i="3" s="1"/>
  <c r="BJ58" i="3"/>
  <c r="BJ40" i="3" s="1"/>
  <c r="AW58" i="3"/>
  <c r="AW40" i="3" s="1"/>
  <c r="AX58" i="3"/>
  <c r="AX40" i="3" s="1"/>
  <c r="AS58" i="3"/>
  <c r="AS40" i="3" s="1"/>
  <c r="AU58" i="3"/>
  <c r="AU40" i="3" s="1"/>
  <c r="BU58" i="3"/>
  <c r="BU40" i="3" s="1"/>
  <c r="AV58" i="3"/>
  <c r="AV40" i="3" s="1"/>
  <c r="BL58" i="3"/>
  <c r="BL40" i="3" s="1"/>
  <c r="BR58" i="3"/>
  <c r="BR40" i="3" s="1"/>
  <c r="BN58" i="3"/>
  <c r="BN40" i="3" s="1"/>
  <c r="BT58" i="3"/>
  <c r="BT40" i="3" s="1"/>
  <c r="BV58" i="3"/>
  <c r="BV40" i="3" s="1"/>
  <c r="CF58" i="3"/>
  <c r="CF40" i="3" s="1"/>
  <c r="BM58" i="3"/>
  <c r="BM40" i="3" s="1"/>
  <c r="CM58" i="3"/>
  <c r="CM40" i="3" s="1"/>
  <c r="CD58" i="3"/>
  <c r="CD40" i="3" s="1"/>
  <c r="AW38" i="3"/>
  <c r="AV38" i="3"/>
  <c r="AK38" i="3"/>
  <c r="AR38" i="3"/>
  <c r="AS38" i="3"/>
  <c r="AQ38" i="3"/>
  <c r="AU38" i="3"/>
  <c r="AN38" i="3"/>
  <c r="AI38" i="3"/>
  <c r="AJ38" i="3"/>
  <c r="AX38" i="3"/>
  <c r="AP38" i="3"/>
  <c r="AL38" i="3"/>
  <c r="AO38" i="3"/>
  <c r="AM38" i="3"/>
  <c r="AT38" i="3"/>
  <c r="CQ20" i="9"/>
  <c r="AY33" i="3"/>
  <c r="R19" i="6"/>
  <c r="J13" i="6"/>
  <c r="Q13" i="6"/>
  <c r="CQ31" i="9" l="1"/>
  <c r="CQ29" i="9"/>
  <c r="CQ30" i="9"/>
  <c r="CQ28" i="9"/>
  <c r="CQ39" i="9"/>
  <c r="AL39" i="3"/>
  <c r="AK39" i="3"/>
  <c r="AJ39" i="3"/>
  <c r="AI39" i="3"/>
  <c r="AP39" i="3"/>
  <c r="AX39" i="3"/>
  <c r="AV39" i="3"/>
  <c r="AT39" i="3"/>
  <c r="AN39" i="3"/>
  <c r="AR39" i="3"/>
  <c r="AU39" i="3"/>
  <c r="AS39" i="3"/>
  <c r="AW39" i="3"/>
  <c r="AM39" i="3"/>
  <c r="AO39" i="3"/>
  <c r="AQ39" i="3"/>
  <c r="AY38" i="3"/>
  <c r="CP50" i="9"/>
  <c r="CP58" i="9"/>
  <c r="CP59" i="9" s="1"/>
  <c r="CP29" i="3" s="1" a="1"/>
  <c r="CP29" i="3" s="1"/>
  <c r="CP113" i="3" a="1"/>
  <c r="CP113" i="3" s="1"/>
  <c r="CP115" i="3" s="1"/>
  <c r="CP116" i="3" s="1"/>
  <c r="CR17" i="9"/>
  <c r="CQ40" i="9"/>
  <c r="Q19" i="6"/>
  <c r="N6" i="3" s="1" a="1"/>
  <c r="N6" i="3" s="1"/>
  <c r="O6" i="3" a="1"/>
  <c r="O6" i="3" s="1"/>
  <c r="CQ34" i="9" l="1"/>
  <c r="CQ113" i="3" s="1" a="1"/>
  <c r="CQ113" i="3" s="1"/>
  <c r="CQ115" i="3" s="1"/>
  <c r="CQ116" i="3" s="1"/>
  <c r="CV84" i="3"/>
  <c r="CV66" i="3" s="1"/>
  <c r="AY39" i="3"/>
  <c r="CR20" i="9"/>
  <c r="O19" i="6"/>
  <c r="L6" i="3" s="1" a="1"/>
  <c r="L6" i="3" s="1"/>
  <c r="CR31" i="9" l="1"/>
  <c r="CR29" i="9"/>
  <c r="CR28" i="9"/>
  <c r="CR30" i="9"/>
  <c r="CR39" i="9"/>
  <c r="CQ50" i="9"/>
  <c r="CQ58" i="9"/>
  <c r="CQ59" i="9" s="1"/>
  <c r="CQ29" i="3" s="1" a="1"/>
  <c r="CQ29" i="3" s="1"/>
  <c r="CS17" i="9"/>
  <c r="CR40" i="9"/>
  <c r="AI11" i="11"/>
  <c r="CR34" i="9" l="1"/>
  <c r="CR113" i="3" s="1" a="1"/>
  <c r="CR113" i="3" s="1"/>
  <c r="CR115" i="3" s="1"/>
  <c r="CR116" i="3" s="1"/>
  <c r="CS20" i="9"/>
  <c r="CS31" i="9" l="1"/>
  <c r="CS29" i="9"/>
  <c r="CS28" i="9"/>
  <c r="CS30" i="9"/>
  <c r="CS39" i="9"/>
  <c r="CR50" i="9"/>
  <c r="CR58" i="9"/>
  <c r="CR59" i="9" s="1"/>
  <c r="CR29" i="3" s="1" a="1"/>
  <c r="CR29" i="3" s="1"/>
  <c r="CT17" i="9"/>
  <c r="CS40" i="9"/>
  <c r="CS34" i="9" l="1"/>
  <c r="CS113" i="3" s="1" a="1"/>
  <c r="CS113" i="3" s="1"/>
  <c r="CS115" i="3" s="1"/>
  <c r="CS116" i="3" s="1"/>
  <c r="CT20" i="9"/>
  <c r="CT31" i="9" l="1"/>
  <c r="CT29" i="9"/>
  <c r="CT28" i="9"/>
  <c r="CT30" i="9"/>
  <c r="CT39" i="9"/>
  <c r="CS50" i="9"/>
  <c r="CS58" i="9"/>
  <c r="CS59" i="9" s="1"/>
  <c r="CS29" i="3" s="1" a="1"/>
  <c r="CS29" i="3" s="1"/>
  <c r="CU17" i="9"/>
  <c r="CT40" i="9"/>
  <c r="N6" i="6"/>
  <c r="CT34" i="9" l="1"/>
  <c r="CU20" i="9"/>
  <c r="N19" i="6"/>
  <c r="K6" i="3" s="1" a="1"/>
  <c r="K6" i="3" s="1"/>
  <c r="CU31" i="9" l="1"/>
  <c r="CU29" i="9"/>
  <c r="CU28" i="9"/>
  <c r="CU30" i="9"/>
  <c r="CU39" i="9"/>
  <c r="CT50" i="9"/>
  <c r="CT58" i="9"/>
  <c r="CT59" i="9" s="1"/>
  <c r="CT29" i="3" s="1" a="1"/>
  <c r="CT29" i="3" s="1"/>
  <c r="CT113" i="3" a="1"/>
  <c r="CT113" i="3" s="1"/>
  <c r="CT115" i="3" s="1"/>
  <c r="CT116" i="3" s="1"/>
  <c r="CV17" i="9"/>
  <c r="CU40" i="9"/>
  <c r="CU34" i="9" l="1"/>
  <c r="CU113" i="3" s="1" a="1"/>
  <c r="CU113" i="3" s="1"/>
  <c r="CU115" i="3" s="1"/>
  <c r="CU116" i="3" s="1"/>
  <c r="K6" i="11"/>
  <c r="CV20" i="9"/>
  <c r="CV31" i="9" l="1"/>
  <c r="CV29" i="9"/>
  <c r="CV30" i="9"/>
  <c r="CV28" i="9"/>
  <c r="CV39" i="9"/>
  <c r="W6" i="11"/>
  <c r="L6" i="11"/>
  <c r="R6" i="11"/>
  <c r="Y6" i="11"/>
  <c r="N6" i="11"/>
  <c r="P6" i="11"/>
  <c r="Q6" i="11"/>
  <c r="AH6" i="11"/>
  <c r="O6" i="11"/>
  <c r="T6" i="11"/>
  <c r="V6" i="11"/>
  <c r="S6" i="11"/>
  <c r="M6" i="11"/>
  <c r="J10" i="11"/>
  <c r="CU50" i="9"/>
  <c r="CU58" i="9"/>
  <c r="CU59" i="9" s="1"/>
  <c r="CU29" i="3" s="1" a="1"/>
  <c r="CU29" i="3" s="1"/>
  <c r="CW17" i="9"/>
  <c r="CV40" i="9"/>
  <c r="CV34" i="9" l="1"/>
  <c r="L10" i="11"/>
  <c r="L12" i="11" s="1"/>
  <c r="I8" i="3" s="1" a="1"/>
  <c r="I8" i="3" s="1"/>
  <c r="I10" i="3" s="1"/>
  <c r="K10" i="11"/>
  <c r="AK10" i="11"/>
  <c r="AI10" i="11"/>
  <c r="AI12" i="11" s="1"/>
  <c r="AF8" i="3" s="1" a="1"/>
  <c r="AF8" i="3" s="1"/>
  <c r="AF10" i="3" s="1"/>
  <c r="AJ10" i="11"/>
  <c r="AJ12" i="11" s="1"/>
  <c r="AG8" i="3" s="1" a="1"/>
  <c r="AG8" i="3" s="1"/>
  <c r="AG10" i="3" s="1"/>
  <c r="W10" i="11"/>
  <c r="AA10" i="11"/>
  <c r="AA12" i="11" s="1"/>
  <c r="X8" i="3" s="1" a="1"/>
  <c r="X8" i="3" s="1"/>
  <c r="X10" i="3" s="1"/>
  <c r="AE10" i="11"/>
  <c r="AE12" i="11" s="1"/>
  <c r="AB8" i="3" s="1" a="1"/>
  <c r="AB8" i="3" s="1"/>
  <c r="AB10" i="3" s="1"/>
  <c r="U10" i="11"/>
  <c r="AC10" i="11"/>
  <c r="AC12" i="11" s="1"/>
  <c r="Z8" i="3" s="1" a="1"/>
  <c r="Z8" i="3" s="1"/>
  <c r="Z10" i="3" s="1"/>
  <c r="AG10" i="11"/>
  <c r="V10" i="11"/>
  <c r="Z10" i="11"/>
  <c r="Z12" i="11" s="1"/>
  <c r="W8" i="3" s="1" a="1"/>
  <c r="W8" i="3" s="1"/>
  <c r="W10" i="3" s="1"/>
  <c r="AH10" i="11"/>
  <c r="T10" i="11"/>
  <c r="X10" i="11"/>
  <c r="AB10" i="11"/>
  <c r="AB12" i="11" s="1"/>
  <c r="Y8" i="3" s="1" a="1"/>
  <c r="Y8" i="3" s="1"/>
  <c r="Y10" i="3" s="1"/>
  <c r="AF10" i="11"/>
  <c r="Y10" i="11"/>
  <c r="AD10" i="11"/>
  <c r="AD12" i="11" s="1"/>
  <c r="AA8" i="3" s="1" a="1"/>
  <c r="AA8" i="3" s="1"/>
  <c r="AA10" i="3" s="1"/>
  <c r="S10" i="11"/>
  <c r="N10" i="11"/>
  <c r="Q10" i="11"/>
  <c r="O10" i="11"/>
  <c r="M10" i="11"/>
  <c r="M12" i="11" s="1"/>
  <c r="J8" i="3" s="1" a="1"/>
  <c r="J8" i="3" s="1"/>
  <c r="J10" i="3" s="1"/>
  <c r="J33" i="3" s="1"/>
  <c r="J39" i="3" s="1"/>
  <c r="R10" i="11"/>
  <c r="P10" i="11"/>
  <c r="CV113" i="3" a="1"/>
  <c r="CV113" i="3" s="1"/>
  <c r="CV115" i="3" s="1"/>
  <c r="CV116" i="3" s="1"/>
  <c r="CW20" i="9"/>
  <c r="CW31" i="9" l="1"/>
  <c r="CW29" i="9"/>
  <c r="CW30" i="9"/>
  <c r="CW28" i="9"/>
  <c r="CW39" i="9"/>
  <c r="N11" i="11"/>
  <c r="N12" i="11" s="1"/>
  <c r="K8" i="3" s="1" a="1"/>
  <c r="K8" i="3" s="1"/>
  <c r="K10" i="3" s="1"/>
  <c r="K33" i="3" s="1"/>
  <c r="K39" i="3" s="1"/>
  <c r="K11" i="11"/>
  <c r="K12" i="11" s="1"/>
  <c r="H8" i="3" s="1" a="1"/>
  <c r="H8" i="3" s="1"/>
  <c r="H10" i="3" s="1"/>
  <c r="W11" i="11"/>
  <c r="W12" i="11" s="1"/>
  <c r="T8" i="3" s="1" a="1"/>
  <c r="T8" i="3" s="1"/>
  <c r="T10" i="3" s="1"/>
  <c r="T33" i="3" s="1"/>
  <c r="O11" i="11"/>
  <c r="O12" i="11" s="1"/>
  <c r="L8" i="3" s="1" a="1"/>
  <c r="L8" i="3" s="1"/>
  <c r="L10" i="3" s="1"/>
  <c r="I33" i="3"/>
  <c r="I39" i="3" s="1"/>
  <c r="R11" i="11"/>
  <c r="R12" i="11" s="1"/>
  <c r="O8" i="3" s="1" a="1"/>
  <c r="O8" i="3" s="1"/>
  <c r="O10" i="3" s="1"/>
  <c r="Y11" i="11"/>
  <c r="Y12" i="11" s="1"/>
  <c r="V8" i="3" s="1" a="1"/>
  <c r="V8" i="3" s="1"/>
  <c r="V10" i="3" s="1"/>
  <c r="AH11" i="11"/>
  <c r="AH12" i="11" s="1"/>
  <c r="AE8" i="3" s="1" a="1"/>
  <c r="AE8" i="3" s="1"/>
  <c r="AE10" i="3" s="1"/>
  <c r="P11" i="11"/>
  <c r="P12" i="11" s="1"/>
  <c r="M8" i="3" s="1" a="1"/>
  <c r="M8" i="3" s="1"/>
  <c r="M10" i="3" s="1"/>
  <c r="V11" i="11"/>
  <c r="V12" i="11" s="1"/>
  <c r="S8" i="3" s="1" a="1"/>
  <c r="S8" i="3" s="1"/>
  <c r="S10" i="3" s="1"/>
  <c r="S33" i="3" s="1"/>
  <c r="S39" i="3" s="1"/>
  <c r="Q11" i="11"/>
  <c r="Q12" i="11" s="1"/>
  <c r="N8" i="3" s="1" a="1"/>
  <c r="N8" i="3" s="1"/>
  <c r="N10" i="3" s="1"/>
  <c r="AF11" i="11"/>
  <c r="AF12" i="11" s="1"/>
  <c r="AC8" i="3" s="1" a="1"/>
  <c r="AC8" i="3" s="1"/>
  <c r="AC10" i="3" s="1"/>
  <c r="AG11" i="11"/>
  <c r="AG12" i="11" s="1"/>
  <c r="AD8" i="3" s="1" a="1"/>
  <c r="AD8" i="3" s="1"/>
  <c r="AD10" i="3" s="1"/>
  <c r="T11" i="11"/>
  <c r="T12" i="11" s="1"/>
  <c r="Q8" i="3" s="1" a="1"/>
  <c r="Q8" i="3" s="1"/>
  <c r="Q10" i="3" s="1"/>
  <c r="U11" i="11"/>
  <c r="U12" i="11" s="1"/>
  <c r="R8" i="3" s="1" a="1"/>
  <c r="R8" i="3" s="1"/>
  <c r="R10" i="3" s="1"/>
  <c r="X11" i="11"/>
  <c r="X12" i="11" s="1"/>
  <c r="U8" i="3" s="1" a="1"/>
  <c r="U8" i="3" s="1"/>
  <c r="U10" i="3" s="1"/>
  <c r="W33" i="3"/>
  <c r="AG33" i="3"/>
  <c r="AB33" i="3"/>
  <c r="X33" i="3"/>
  <c r="Y33" i="3"/>
  <c r="AA33" i="3"/>
  <c r="AF33" i="3"/>
  <c r="Z33" i="3"/>
  <c r="S11" i="11"/>
  <c r="S12" i="11" s="1"/>
  <c r="P8" i="3" s="1" a="1"/>
  <c r="P8" i="3" s="1"/>
  <c r="P10" i="3" s="1"/>
  <c r="AK11" i="11"/>
  <c r="AK12" i="11" s="1"/>
  <c r="AH8" i="3" s="1" a="1"/>
  <c r="AH8" i="3" s="1"/>
  <c r="AH10" i="3" s="1"/>
  <c r="CV50" i="9"/>
  <c r="CV58" i="9"/>
  <c r="CV59" i="9" s="1"/>
  <c r="CV29" i="3" s="1" a="1"/>
  <c r="CV29" i="3" s="1"/>
  <c r="CX17" i="9"/>
  <c r="CW40" i="9"/>
  <c r="CW34" i="9" l="1"/>
  <c r="CW113" i="3" s="1" a="1"/>
  <c r="CW113" i="3" s="1"/>
  <c r="CW115" i="3" s="1"/>
  <c r="CW116" i="3" s="1"/>
  <c r="H33" i="3"/>
  <c r="H39" i="3" s="1"/>
  <c r="L33" i="3"/>
  <c r="L39" i="3" s="1"/>
  <c r="V33" i="3"/>
  <c r="V38" i="3" s="1"/>
  <c r="O33" i="3"/>
  <c r="O39" i="3" s="1"/>
  <c r="M33" i="3"/>
  <c r="M39" i="3" s="1"/>
  <c r="AE33" i="3"/>
  <c r="AE38" i="3" s="1"/>
  <c r="N33" i="3"/>
  <c r="N39" i="3" s="1"/>
  <c r="T38" i="3"/>
  <c r="Z38" i="3"/>
  <c r="AG38" i="3"/>
  <c r="AB38" i="3"/>
  <c r="AF38" i="3"/>
  <c r="Y38" i="3"/>
  <c r="AA38" i="3"/>
  <c r="X38" i="3"/>
  <c r="W38" i="3"/>
  <c r="AD33" i="3"/>
  <c r="AC33" i="3"/>
  <c r="R33" i="3"/>
  <c r="R39" i="3" s="1"/>
  <c r="Q33" i="3"/>
  <c r="Q39" i="3" s="1"/>
  <c r="U33" i="3"/>
  <c r="AH33" i="3"/>
  <c r="P33" i="3"/>
  <c r="P39" i="3" s="1"/>
  <c r="CX20" i="9"/>
  <c r="CX31" i="9" l="1"/>
  <c r="CX29" i="9"/>
  <c r="CX28" i="9"/>
  <c r="CX30" i="9"/>
  <c r="CX39" i="9"/>
  <c r="Y39" i="3"/>
  <c r="W39" i="3"/>
  <c r="T39" i="3"/>
  <c r="AB39" i="3"/>
  <c r="AG39" i="3"/>
  <c r="Z39" i="3"/>
  <c r="X39" i="3"/>
  <c r="AF39" i="3"/>
  <c r="V39" i="3"/>
  <c r="AA39" i="3"/>
  <c r="AE39" i="3"/>
  <c r="U38" i="3"/>
  <c r="AD38" i="3"/>
  <c r="AC38" i="3"/>
  <c r="AH38" i="3"/>
  <c r="CW58" i="9"/>
  <c r="CW59" i="9" s="1"/>
  <c r="CW29" i="3" s="1" a="1"/>
  <c r="CW29" i="3" s="1"/>
  <c r="CW50" i="9"/>
  <c r="CY17" i="9"/>
  <c r="CX40" i="9"/>
  <c r="CX34" i="9" l="1"/>
  <c r="U39" i="3"/>
  <c r="AD39" i="3"/>
  <c r="AH39" i="3"/>
  <c r="AC39" i="3"/>
  <c r="CY20" i="9"/>
  <c r="CZ17" i="9" l="1"/>
  <c r="CZ20" i="9" s="1"/>
  <c r="CY31" i="9"/>
  <c r="CY29" i="9"/>
  <c r="CY30" i="9"/>
  <c r="CY28" i="9"/>
  <c r="DA17" i="9"/>
  <c r="DA20" i="9" s="1"/>
  <c r="CZ39" i="9"/>
  <c r="CZ40" i="9"/>
  <c r="CX50" i="9"/>
  <c r="CX113" i="3" a="1"/>
  <c r="CX113" i="3" s="1"/>
  <c r="CX115" i="3" s="1"/>
  <c r="CX116" i="3" s="1"/>
  <c r="CY39" i="9"/>
  <c r="CX58" i="9"/>
  <c r="CX59" i="9" s="1"/>
  <c r="CX29" i="3" s="1" a="1"/>
  <c r="CX29" i="3" s="1"/>
  <c r="CY40" i="9"/>
  <c r="CY34" i="9" l="1"/>
  <c r="DA31" i="9"/>
  <c r="DA29" i="9"/>
  <c r="DA30" i="9"/>
  <c r="DA28" i="9"/>
  <c r="CZ31" i="9"/>
  <c r="CZ29" i="9"/>
  <c r="CZ28" i="9"/>
  <c r="CZ30" i="9"/>
  <c r="G13" i="31"/>
  <c r="H13" i="31"/>
  <c r="I13" i="31"/>
  <c r="J13" i="31"/>
  <c r="K13" i="31"/>
  <c r="G21" i="31"/>
  <c r="H21" i="31"/>
  <c r="I21" i="31"/>
  <c r="J21" i="31"/>
  <c r="K21" i="31"/>
  <c r="G12" i="31"/>
  <c r="H12" i="31"/>
  <c r="I12" i="31"/>
  <c r="J12" i="31"/>
  <c r="K12" i="31"/>
  <c r="G20" i="31"/>
  <c r="H20" i="31"/>
  <c r="I20" i="31"/>
  <c r="J20" i="31"/>
  <c r="K20" i="31"/>
  <c r="DA39" i="9"/>
  <c r="DB17" i="9"/>
  <c r="DB20" i="9" s="1"/>
  <c r="DA40" i="9"/>
  <c r="CY113" i="3" a="1"/>
  <c r="CY113" i="3" s="1"/>
  <c r="CY115" i="3" s="1"/>
  <c r="CY116" i="3" s="1"/>
  <c r="DA34" i="9" l="1"/>
  <c r="CZ34" i="9"/>
  <c r="CZ113" i="3" s="1" a="1"/>
  <c r="CZ113" i="3" s="1"/>
  <c r="CZ115" i="3" s="1"/>
  <c r="CZ116" i="3" s="1"/>
  <c r="DB31" i="9"/>
  <c r="DB29" i="9"/>
  <c r="DB30" i="9"/>
  <c r="DB28" i="9"/>
  <c r="G15" i="31"/>
  <c r="H15" i="31"/>
  <c r="I15" i="31"/>
  <c r="J15" i="31"/>
  <c r="K15" i="31"/>
  <c r="DC17" i="9"/>
  <c r="DC20" i="9" s="1"/>
  <c r="DB39" i="9"/>
  <c r="DB40" i="9"/>
  <c r="CY50" i="9"/>
  <c r="CY58" i="9"/>
  <c r="CY59" i="9" s="1"/>
  <c r="CY29" i="3" s="1" a="1"/>
  <c r="CY29" i="3" s="1"/>
  <c r="CZ50" i="9" l="1"/>
  <c r="CZ58" i="9"/>
  <c r="CZ59" i="9" s="1"/>
  <c r="CZ29" i="3" s="1" a="1"/>
  <c r="CZ29" i="3" s="1"/>
  <c r="DB34" i="9"/>
  <c r="DB50" i="9" s="1"/>
  <c r="DC31" i="9"/>
  <c r="DC29" i="9"/>
  <c r="DC28" i="9"/>
  <c r="DC30" i="9"/>
  <c r="G31" i="31"/>
  <c r="H31" i="31"/>
  <c r="I31" i="31"/>
  <c r="J31" i="31"/>
  <c r="K31" i="31"/>
  <c r="G36" i="31"/>
  <c r="H36" i="31"/>
  <c r="I36" i="31"/>
  <c r="J36" i="31"/>
  <c r="K36" i="31"/>
  <c r="DC40" i="9"/>
  <c r="DC39" i="9"/>
  <c r="DD17" i="9"/>
  <c r="DD20" i="9" s="1"/>
  <c r="DA50" i="9"/>
  <c r="DA58" i="9"/>
  <c r="DA59" i="9" s="1"/>
  <c r="DA29" i="3" s="1" a="1"/>
  <c r="DA29" i="3" s="1"/>
  <c r="DA113" i="3" a="1"/>
  <c r="DA113" i="3" s="1"/>
  <c r="DA115" i="3" s="1"/>
  <c r="DA116" i="3" s="1"/>
  <c r="BP51" i="3"/>
  <c r="DC34" i="9" l="1"/>
  <c r="DD31" i="9"/>
  <c r="DD29" i="9"/>
  <c r="DD30" i="9"/>
  <c r="DD28" i="9"/>
  <c r="DB113" i="3" a="1"/>
  <c r="DB113" i="3" s="1"/>
  <c r="DB115" i="3" s="1"/>
  <c r="DB116" i="3" s="1"/>
  <c r="DB58" i="9"/>
  <c r="DB59" i="9" s="1"/>
  <c r="DB29" i="3" s="1" a="1"/>
  <c r="DB29" i="3" s="1"/>
  <c r="DD40" i="9"/>
  <c r="DD39" i="9"/>
  <c r="DE17" i="9"/>
  <c r="DE20" i="9" s="1"/>
  <c r="BQ51" i="3"/>
  <c r="DD34" i="9" l="1"/>
  <c r="DE31" i="9"/>
  <c r="DE29" i="9"/>
  <c r="DE28" i="9"/>
  <c r="DE30" i="9"/>
  <c r="DC50" i="9"/>
  <c r="DC58" i="9"/>
  <c r="DC59" i="9" s="1"/>
  <c r="DC29" i="3" s="1" a="1"/>
  <c r="DC29" i="3" s="1"/>
  <c r="DC113" i="3" a="1"/>
  <c r="DC113" i="3" s="1"/>
  <c r="DC115" i="3" s="1"/>
  <c r="DC116" i="3" s="1"/>
  <c r="DF17" i="9"/>
  <c r="DF20" i="9" s="1"/>
  <c r="DE39" i="9"/>
  <c r="DE40" i="9"/>
  <c r="BR51" i="3"/>
  <c r="DE34" i="9" l="1"/>
  <c r="DF31" i="9"/>
  <c r="DF29" i="9"/>
  <c r="DF30" i="9"/>
  <c r="DF28" i="9"/>
  <c r="DG17" i="9"/>
  <c r="DG20" i="9" s="1"/>
  <c r="DF39" i="9"/>
  <c r="DF40" i="9"/>
  <c r="DD50" i="9"/>
  <c r="DD58" i="9"/>
  <c r="DD59" i="9" s="1"/>
  <c r="DD29" i="3" s="1" a="1"/>
  <c r="DD29" i="3" s="1"/>
  <c r="DD113" i="3" a="1"/>
  <c r="DD113" i="3" s="1"/>
  <c r="DD115" i="3" s="1"/>
  <c r="DD116" i="3" s="1"/>
  <c r="BS51" i="3"/>
  <c r="DF34" i="9" l="1"/>
  <c r="DG31" i="9"/>
  <c r="DG29" i="9"/>
  <c r="DG30" i="9"/>
  <c r="DG28" i="9"/>
  <c r="DE50" i="9"/>
  <c r="DE58" i="9"/>
  <c r="DE59" i="9" s="1"/>
  <c r="DE29" i="3" s="1" a="1"/>
  <c r="DE29" i="3" s="1"/>
  <c r="DE113" i="3" a="1"/>
  <c r="DE113" i="3" s="1"/>
  <c r="DE115" i="3" s="1"/>
  <c r="DE116" i="3" s="1"/>
  <c r="DH17" i="9"/>
  <c r="DH20" i="9" s="1"/>
  <c r="DG39" i="9"/>
  <c r="DG40" i="9"/>
  <c r="BT51" i="3"/>
  <c r="DG34" i="9" l="1"/>
  <c r="DG58" i="9" s="1"/>
  <c r="DG59" i="9" s="1"/>
  <c r="DG29" i="3" s="1" a="1"/>
  <c r="DG29" i="3" s="1"/>
  <c r="DH31" i="9"/>
  <c r="DH29" i="9"/>
  <c r="DH30" i="9"/>
  <c r="DH28" i="9"/>
  <c r="DG113" i="3" a="1"/>
  <c r="DG113" i="3" s="1"/>
  <c r="DG115" i="3" s="1"/>
  <c r="DG116" i="3" s="1"/>
  <c r="DH39" i="9"/>
  <c r="DI17" i="9"/>
  <c r="DI20" i="9" s="1"/>
  <c r="DH40" i="9"/>
  <c r="DF50" i="9"/>
  <c r="DF58" i="9"/>
  <c r="DF59" i="9" s="1"/>
  <c r="DF29" i="3" s="1" a="1"/>
  <c r="DF29" i="3" s="1"/>
  <c r="DF113" i="3" a="1"/>
  <c r="DF113" i="3" s="1"/>
  <c r="DF115" i="3" s="1"/>
  <c r="DF116" i="3" s="1"/>
  <c r="BU51" i="3"/>
  <c r="DG50" i="9" l="1"/>
  <c r="DH34" i="9"/>
  <c r="DH50" i="9" s="1"/>
  <c r="DI31" i="9"/>
  <c r="DI29" i="9"/>
  <c r="DI30" i="9"/>
  <c r="DI28" i="9"/>
  <c r="DI39" i="9"/>
  <c r="DJ17" i="9"/>
  <c r="DJ20" i="9" s="1"/>
  <c r="DI40" i="9"/>
  <c r="BV51" i="3"/>
  <c r="DH58" i="9" l="1"/>
  <c r="DH59" i="9" s="1"/>
  <c r="DH29" i="3" s="1" a="1"/>
  <c r="DH29" i="3" s="1"/>
  <c r="DH113" i="3" a="1"/>
  <c r="DH113" i="3" s="1"/>
  <c r="DH115" i="3" s="1"/>
  <c r="DH116" i="3" s="1"/>
  <c r="DI34" i="9"/>
  <c r="DI50" i="9" s="1"/>
  <c r="DJ31" i="9"/>
  <c r="DJ29" i="9"/>
  <c r="DJ30" i="9"/>
  <c r="DJ28" i="9"/>
  <c r="DK17" i="9"/>
  <c r="DK20" i="9" s="1"/>
  <c r="DJ40" i="9"/>
  <c r="DJ39" i="9"/>
  <c r="BW51" i="3"/>
  <c r="DJ34" i="9" l="1"/>
  <c r="DJ50" i="9" s="1"/>
  <c r="DK31" i="9"/>
  <c r="DK29" i="9"/>
  <c r="DK30" i="9"/>
  <c r="DK28" i="9"/>
  <c r="DI58" i="9"/>
  <c r="DI59" i="9" s="1"/>
  <c r="DI29" i="3" s="1" a="1"/>
  <c r="DI29" i="3" s="1"/>
  <c r="DI113" i="3" a="1"/>
  <c r="DI113" i="3" s="1"/>
  <c r="DI115" i="3" s="1"/>
  <c r="DI116" i="3" s="1"/>
  <c r="DL17" i="9"/>
  <c r="DL20" i="9" s="1"/>
  <c r="DK40" i="9"/>
  <c r="DK39" i="9"/>
  <c r="BX51" i="3"/>
  <c r="DK34" i="9" l="1"/>
  <c r="DL31" i="9"/>
  <c r="DL29" i="9"/>
  <c r="DL30" i="9"/>
  <c r="DL28" i="9"/>
  <c r="DJ113" i="3" a="1"/>
  <c r="DJ113" i="3" s="1"/>
  <c r="DJ115" i="3" s="1"/>
  <c r="DJ116" i="3" s="1"/>
  <c r="DJ58" i="9"/>
  <c r="DJ59" i="9" s="1"/>
  <c r="DJ29" i="3" s="1" a="1"/>
  <c r="DJ29" i="3" s="1"/>
  <c r="DM17" i="9"/>
  <c r="DM20" i="9" s="1"/>
  <c r="DL39" i="9"/>
  <c r="DL40" i="9"/>
  <c r="BY51" i="3"/>
  <c r="DL34" i="9" l="1"/>
  <c r="DL50" i="9" s="1"/>
  <c r="DM31" i="9"/>
  <c r="DM29" i="9"/>
  <c r="DM30" i="9"/>
  <c r="DM28" i="9"/>
  <c r="DK58" i="9"/>
  <c r="DK59" i="9" s="1"/>
  <c r="DK29" i="3" s="1" a="1"/>
  <c r="DK29" i="3" s="1"/>
  <c r="DK50" i="9"/>
  <c r="DK113" i="3" a="1"/>
  <c r="DK113" i="3" s="1"/>
  <c r="DK115" i="3" s="1"/>
  <c r="DK116" i="3" s="1"/>
  <c r="DN17" i="9"/>
  <c r="DN20" i="9" s="1"/>
  <c r="DM39" i="9"/>
  <c r="DM40" i="9"/>
  <c r="BZ51" i="3"/>
  <c r="DM34" i="9" l="1"/>
  <c r="DN31" i="9"/>
  <c r="DN29" i="9"/>
  <c r="DN30" i="9"/>
  <c r="DN28" i="9"/>
  <c r="DL113" i="3" a="1"/>
  <c r="DL113" i="3" s="1"/>
  <c r="DL115" i="3" s="1"/>
  <c r="DL116" i="3" s="1"/>
  <c r="DL58" i="9"/>
  <c r="DL59" i="9" s="1"/>
  <c r="DL29" i="3" s="1" a="1"/>
  <c r="DL29" i="3" s="1"/>
  <c r="DO17" i="9"/>
  <c r="DO20" i="9" s="1"/>
  <c r="DN39" i="9"/>
  <c r="DN40" i="9"/>
  <c r="CA51" i="3"/>
  <c r="DN34" i="9" l="1"/>
  <c r="DN58" i="9" s="1"/>
  <c r="DN59" i="9" s="1"/>
  <c r="DN29" i="3" s="1" a="1"/>
  <c r="DN29" i="3" s="1"/>
  <c r="DO31" i="9"/>
  <c r="DO29" i="9"/>
  <c r="DO30" i="9"/>
  <c r="DO28" i="9"/>
  <c r="DM58" i="9"/>
  <c r="DM59" i="9" s="1"/>
  <c r="DM29" i="3" s="1" a="1"/>
  <c r="DM29" i="3" s="1"/>
  <c r="DM50" i="9"/>
  <c r="DM113" i="3" a="1"/>
  <c r="DM113" i="3" s="1"/>
  <c r="DM115" i="3" s="1"/>
  <c r="DM116" i="3" s="1"/>
  <c r="DP17" i="9"/>
  <c r="DP20" i="9" s="1"/>
  <c r="DO39" i="9"/>
  <c r="DO40" i="9"/>
  <c r="CB51" i="3"/>
  <c r="DO34" i="9" l="1"/>
  <c r="DP31" i="9"/>
  <c r="DP29" i="9"/>
  <c r="DP30" i="9"/>
  <c r="DP28" i="9"/>
  <c r="DN113" i="3" a="1"/>
  <c r="DN113" i="3" s="1"/>
  <c r="DN115" i="3" s="1"/>
  <c r="DN116" i="3" s="1"/>
  <c r="DN50" i="9"/>
  <c r="DP40" i="9"/>
  <c r="DP39" i="9"/>
  <c r="DQ17" i="9"/>
  <c r="DQ20" i="9" s="1"/>
  <c r="CC51" i="3"/>
  <c r="DP34" i="9" l="1"/>
  <c r="DQ31" i="9"/>
  <c r="DQ29" i="9"/>
  <c r="DQ28" i="9"/>
  <c r="DQ30" i="9"/>
  <c r="DO58" i="9"/>
  <c r="DO59" i="9" s="1"/>
  <c r="DO29" i="3" s="1" a="1"/>
  <c r="DO29" i="3" s="1"/>
  <c r="DO50" i="9"/>
  <c r="DO113" i="3" a="1"/>
  <c r="DO113" i="3" s="1"/>
  <c r="DO115" i="3" s="1"/>
  <c r="DO116" i="3" s="1"/>
  <c r="DQ39" i="9"/>
  <c r="DQ40" i="9"/>
  <c r="DR17" i="9"/>
  <c r="DR20" i="9" s="1"/>
  <c r="CD51" i="3"/>
  <c r="DQ34" i="9" l="1"/>
  <c r="DR31" i="9"/>
  <c r="DR29" i="9"/>
  <c r="DR28" i="9"/>
  <c r="DR30" i="9"/>
  <c r="DR40" i="9"/>
  <c r="DR39" i="9"/>
  <c r="DS17" i="9"/>
  <c r="DS20" i="9" s="1"/>
  <c r="DP50" i="9"/>
  <c r="DP58" i="9"/>
  <c r="DP59" i="9" s="1"/>
  <c r="DP29" i="3" s="1" a="1"/>
  <c r="DP29" i="3" s="1"/>
  <c r="DP113" i="3" a="1"/>
  <c r="DP113" i="3" s="1"/>
  <c r="DP115" i="3" s="1"/>
  <c r="DP116" i="3" s="1"/>
  <c r="CE51" i="3"/>
  <c r="DR34" i="9" l="1"/>
  <c r="DS31" i="9"/>
  <c r="DS29" i="9"/>
  <c r="DS30" i="9"/>
  <c r="DS28" i="9"/>
  <c r="DT17" i="9"/>
  <c r="DT20" i="9" s="1"/>
  <c r="DS40" i="9"/>
  <c r="DS39" i="9"/>
  <c r="DQ58" i="9"/>
  <c r="DQ59" i="9" s="1"/>
  <c r="DQ29" i="3" s="1" a="1"/>
  <c r="DQ29" i="3" s="1"/>
  <c r="DQ50" i="9"/>
  <c r="DQ113" i="3" a="1"/>
  <c r="DQ113" i="3" s="1"/>
  <c r="DQ115" i="3" s="1"/>
  <c r="DQ116" i="3" s="1"/>
  <c r="CF51" i="3"/>
  <c r="DS34" i="9" l="1"/>
  <c r="DS50" i="9" s="1"/>
  <c r="DT31" i="9"/>
  <c r="DT29" i="9"/>
  <c r="DT30" i="9"/>
  <c r="DT28" i="9"/>
  <c r="DT39" i="9"/>
  <c r="DU17" i="9"/>
  <c r="DU20" i="9" s="1"/>
  <c r="DT40" i="9"/>
  <c r="DR58" i="9"/>
  <c r="DR59" i="9" s="1"/>
  <c r="DR29" i="3" s="1" a="1"/>
  <c r="DR29" i="3" s="1"/>
  <c r="DR50" i="9"/>
  <c r="DR113" i="3" a="1"/>
  <c r="DR113" i="3" s="1"/>
  <c r="DR115" i="3" s="1"/>
  <c r="DR116" i="3" s="1"/>
  <c r="CG51" i="3"/>
  <c r="DS113" i="3" l="1" a="1"/>
  <c r="DS113" i="3" s="1"/>
  <c r="DS115" i="3" s="1"/>
  <c r="DS116" i="3" s="1"/>
  <c r="DT34" i="9"/>
  <c r="DT58" i="9" s="1"/>
  <c r="DT59" i="9" s="1"/>
  <c r="DT29" i="3" s="1" a="1"/>
  <c r="DT29" i="3" s="1"/>
  <c r="DU31" i="9"/>
  <c r="DU29" i="9"/>
  <c r="DU28" i="9"/>
  <c r="DU30" i="9"/>
  <c r="DS58" i="9"/>
  <c r="DS59" i="9" s="1"/>
  <c r="DS29" i="3" s="1" a="1"/>
  <c r="DS29" i="3" s="1"/>
  <c r="DU39" i="9"/>
  <c r="DU40" i="9"/>
  <c r="DV17" i="9"/>
  <c r="DV20" i="9" s="1"/>
  <c r="CH51" i="3"/>
  <c r="DU34" i="9" l="1"/>
  <c r="DV31" i="9"/>
  <c r="DV29" i="9"/>
  <c r="DV30" i="9"/>
  <c r="DV28" i="9"/>
  <c r="DT113" i="3" a="1"/>
  <c r="DT113" i="3" s="1"/>
  <c r="DT115" i="3" s="1"/>
  <c r="DT116" i="3" s="1"/>
  <c r="DT50" i="9"/>
  <c r="DV39" i="9"/>
  <c r="DW17" i="9"/>
  <c r="DW20" i="9" s="1"/>
  <c r="DV40" i="9"/>
  <c r="CI51" i="3"/>
  <c r="DV34" i="9" l="1"/>
  <c r="DV50" i="9" s="1"/>
  <c r="DW31" i="9"/>
  <c r="DW29" i="9"/>
  <c r="DW30" i="9"/>
  <c r="DW28" i="9"/>
  <c r="DX17" i="9"/>
  <c r="DX20" i="9" s="1"/>
  <c r="DW40" i="9"/>
  <c r="DW39" i="9"/>
  <c r="DU58" i="9"/>
  <c r="DU59" i="9" s="1"/>
  <c r="DU29" i="3" s="1" a="1"/>
  <c r="DU29" i="3" s="1"/>
  <c r="DU50" i="9"/>
  <c r="DU113" i="3" a="1"/>
  <c r="DU113" i="3" s="1"/>
  <c r="DU115" i="3" s="1"/>
  <c r="DU116" i="3" s="1"/>
  <c r="CJ51" i="3"/>
  <c r="DW34" i="9" l="1"/>
  <c r="DW50" i="9" s="1"/>
  <c r="DX31" i="9"/>
  <c r="DX29" i="9"/>
  <c r="DX30" i="9"/>
  <c r="DX28" i="9"/>
  <c r="DV113" i="3" a="1"/>
  <c r="DV113" i="3" s="1"/>
  <c r="DV115" i="3" s="1"/>
  <c r="DV116" i="3" s="1"/>
  <c r="DV58" i="9"/>
  <c r="DV59" i="9" s="1"/>
  <c r="DV29" i="3" s="1" a="1"/>
  <c r="DV29" i="3" s="1"/>
  <c r="DX40" i="9"/>
  <c r="DY17" i="9"/>
  <c r="DY20" i="9" s="1"/>
  <c r="DX39" i="9"/>
  <c r="CK51" i="3"/>
  <c r="DX34" i="9" l="1"/>
  <c r="DY31" i="9"/>
  <c r="DY29" i="9"/>
  <c r="DY28" i="9"/>
  <c r="DY30" i="9"/>
  <c r="DW58" i="9"/>
  <c r="DW59" i="9" s="1"/>
  <c r="DW29" i="3" s="1" a="1"/>
  <c r="DW29" i="3" s="1"/>
  <c r="DW113" i="3" a="1"/>
  <c r="DW113" i="3" s="1"/>
  <c r="DW115" i="3" s="1"/>
  <c r="DW116" i="3" s="1"/>
  <c r="DZ17" i="9"/>
  <c r="DZ20" i="9" s="1"/>
  <c r="DY40" i="9"/>
  <c r="DY39" i="9"/>
  <c r="CL51" i="3"/>
  <c r="DY34" i="9" l="1"/>
  <c r="DZ31" i="9"/>
  <c r="DZ29" i="9"/>
  <c r="DZ28" i="9"/>
  <c r="DZ30" i="9"/>
  <c r="DX50" i="9"/>
  <c r="DX58" i="9"/>
  <c r="DX59" i="9" s="1"/>
  <c r="DX29" i="3" s="1" a="1"/>
  <c r="DX29" i="3" s="1"/>
  <c r="DX113" i="3" a="1"/>
  <c r="DX113" i="3" s="1"/>
  <c r="DX115" i="3" s="1"/>
  <c r="DX116" i="3" s="1"/>
  <c r="DZ40" i="9"/>
  <c r="DZ39" i="9"/>
  <c r="EA17" i="9"/>
  <c r="EA20" i="9" s="1"/>
  <c r="CM51" i="3"/>
  <c r="DZ34" i="9" l="1"/>
  <c r="EA31" i="9"/>
  <c r="EA29" i="9"/>
  <c r="EA30" i="9"/>
  <c r="EA28" i="9"/>
  <c r="EB17" i="9"/>
  <c r="EB20" i="9" s="1"/>
  <c r="EA40" i="9"/>
  <c r="EA39" i="9"/>
  <c r="DY50" i="9"/>
  <c r="DY58" i="9"/>
  <c r="DY59" i="9" s="1"/>
  <c r="DY29" i="3" s="1" a="1"/>
  <c r="DY29" i="3" s="1"/>
  <c r="DY113" i="3" a="1"/>
  <c r="DY113" i="3" s="1"/>
  <c r="DY115" i="3" s="1"/>
  <c r="DY116" i="3" s="1"/>
  <c r="CN51" i="3"/>
  <c r="EA34" i="9" l="1"/>
  <c r="EA50" i="9" s="1"/>
  <c r="EB31" i="9"/>
  <c r="EB29" i="9"/>
  <c r="EB28" i="9"/>
  <c r="EB30" i="9"/>
  <c r="DZ50" i="9"/>
  <c r="DZ58" i="9"/>
  <c r="DZ59" i="9" s="1"/>
  <c r="DZ29" i="3" s="1" a="1"/>
  <c r="DZ29" i="3" s="1"/>
  <c r="DZ113" i="3" a="1"/>
  <c r="DZ113" i="3" s="1"/>
  <c r="DZ115" i="3" s="1"/>
  <c r="DZ116" i="3" s="1"/>
  <c r="EB39" i="9"/>
  <c r="EC17" i="9"/>
  <c r="EC20" i="9" s="1"/>
  <c r="EB40" i="9"/>
  <c r="CO51" i="3"/>
  <c r="EB34" i="9" l="1"/>
  <c r="EB58" i="9" s="1"/>
  <c r="EB59" i="9" s="1"/>
  <c r="EB29" i="3" s="1" a="1"/>
  <c r="EB29" i="3" s="1"/>
  <c r="EC31" i="9"/>
  <c r="EC29" i="9"/>
  <c r="EC30" i="9"/>
  <c r="EC28" i="9"/>
  <c r="EA113" i="3" a="1"/>
  <c r="EA113" i="3" s="1"/>
  <c r="EA115" i="3" s="1"/>
  <c r="EA116" i="3" s="1"/>
  <c r="EA58" i="9"/>
  <c r="EA59" i="9" s="1"/>
  <c r="EA29" i="3" s="1" a="1"/>
  <c r="EA29" i="3" s="1"/>
  <c r="ED17" i="9"/>
  <c r="ED20" i="9" s="1"/>
  <c r="EC40" i="9"/>
  <c r="EC39" i="9"/>
  <c r="CP51" i="3"/>
  <c r="EC34" i="9" l="1"/>
  <c r="EC50" i="9" s="1"/>
  <c r="ED31" i="9"/>
  <c r="ED29" i="9"/>
  <c r="ED28" i="9"/>
  <c r="ED30" i="9"/>
  <c r="EB50" i="9"/>
  <c r="EB113" i="3" a="1"/>
  <c r="EB113" i="3" s="1"/>
  <c r="EB115" i="3" s="1"/>
  <c r="EB116" i="3" s="1"/>
  <c r="EE17" i="9"/>
  <c r="EE20" i="9" s="1"/>
  <c r="ED39" i="9"/>
  <c r="ED40" i="9"/>
  <c r="CQ51" i="3"/>
  <c r="EC113" i="3" l="1" a="1"/>
  <c r="EC113" i="3" s="1"/>
  <c r="EC115" i="3" s="1"/>
  <c r="EC116" i="3" s="1"/>
  <c r="ED34" i="9"/>
  <c r="ED58" i="9" s="1"/>
  <c r="ED59" i="9" s="1"/>
  <c r="ED29" i="3" s="1" a="1"/>
  <c r="ED29" i="3" s="1"/>
  <c r="EE31" i="9"/>
  <c r="EE29" i="9"/>
  <c r="EE28" i="9"/>
  <c r="EE30" i="9"/>
  <c r="EC58" i="9"/>
  <c r="EC59" i="9" s="1"/>
  <c r="EC29" i="3" s="1" a="1"/>
  <c r="EC29" i="3" s="1"/>
  <c r="EE39" i="9"/>
  <c r="EE40" i="9"/>
  <c r="EF17" i="9"/>
  <c r="EF20" i="9" s="1"/>
  <c r="CR51" i="3"/>
  <c r="EE34" i="9" l="1"/>
  <c r="EF31" i="9"/>
  <c r="EF29" i="9"/>
  <c r="EF28" i="9"/>
  <c r="EF30" i="9"/>
  <c r="ED113" i="3" a="1"/>
  <c r="ED113" i="3" s="1"/>
  <c r="ED115" i="3" s="1"/>
  <c r="ED116" i="3" s="1"/>
  <c r="ED50" i="9"/>
  <c r="EG17" i="9"/>
  <c r="EG20" i="9" s="1"/>
  <c r="EF39" i="9"/>
  <c r="EF40" i="9"/>
  <c r="CS51" i="3"/>
  <c r="EF34" i="9" l="1"/>
  <c r="EF50" i="9" s="1"/>
  <c r="EG31" i="9"/>
  <c r="EG29" i="9"/>
  <c r="EG28" i="9"/>
  <c r="EG30" i="9"/>
  <c r="EE50" i="9"/>
  <c r="EE58" i="9"/>
  <c r="EE59" i="9" s="1"/>
  <c r="EE29" i="3" s="1" a="1"/>
  <c r="EE29" i="3" s="1"/>
  <c r="EE113" i="3" a="1"/>
  <c r="EE113" i="3" s="1"/>
  <c r="EE115" i="3" s="1"/>
  <c r="EE116" i="3" s="1"/>
  <c r="EH17" i="9"/>
  <c r="EH20" i="9" s="1"/>
  <c r="EG39" i="9"/>
  <c r="EG40" i="9"/>
  <c r="CT51" i="3"/>
  <c r="EF58" i="9" l="1"/>
  <c r="EF59" i="9" s="1"/>
  <c r="EF29" i="3" s="1" a="1"/>
  <c r="EF29" i="3" s="1"/>
  <c r="EF113" i="3" a="1"/>
  <c r="EF113" i="3" s="1"/>
  <c r="EF115" i="3" s="1"/>
  <c r="EF116" i="3" s="1"/>
  <c r="EH31" i="9"/>
  <c r="EH29" i="9"/>
  <c r="EH28" i="9"/>
  <c r="EH30" i="9"/>
  <c r="EG34" i="9"/>
  <c r="EH39" i="9"/>
  <c r="EI17" i="9"/>
  <c r="EI20" i="9" s="1"/>
  <c r="EH40" i="9"/>
  <c r="CU51" i="3"/>
  <c r="EH34" i="9" l="1"/>
  <c r="EH50" i="9" s="1"/>
  <c r="EI31" i="9"/>
  <c r="EI29" i="9"/>
  <c r="EI28" i="9"/>
  <c r="EI30" i="9"/>
  <c r="EI39" i="9"/>
  <c r="EI40" i="9"/>
  <c r="EG58" i="9"/>
  <c r="EG59" i="9" s="1"/>
  <c r="EG29" i="3" s="1" a="1"/>
  <c r="EG29" i="3" s="1"/>
  <c r="EG50" i="9"/>
  <c r="EG113" i="3" a="1"/>
  <c r="EG113" i="3" s="1"/>
  <c r="EG115" i="3" s="1"/>
  <c r="EG116" i="3" s="1"/>
  <c r="CV51" i="3"/>
  <c r="EI34" i="9" l="1"/>
  <c r="EH113" i="3" a="1"/>
  <c r="EH113" i="3" s="1"/>
  <c r="EH115" i="3" s="1"/>
  <c r="EH116" i="3" s="1"/>
  <c r="EH58" i="9"/>
  <c r="EH59" i="9" s="1"/>
  <c r="EH29" i="3" s="1" a="1"/>
  <c r="EH29" i="3" s="1"/>
  <c r="I131" i="1"/>
  <c r="I21" i="30" l="1"/>
  <c r="EI58" i="9"/>
  <c r="EI59" i="9" s="1"/>
  <c r="EI29" i="3" s="1" a="1"/>
  <c r="EI29" i="3" s="1"/>
  <c r="EI50" i="9"/>
  <c r="EI113" i="3" a="1"/>
  <c r="EI113" i="3" s="1"/>
  <c r="EI115" i="3" s="1"/>
  <c r="EI116" i="3" s="1"/>
  <c r="J162" i="1"/>
  <c r="I162" i="1" l="1"/>
  <c r="J21" i="30" s="1"/>
  <c r="K21" i="30"/>
  <c r="L27" i="1"/>
  <c r="K29" i="1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AJ79" i="3"/>
  <c r="AK79" i="3"/>
  <c r="AL79" i="3"/>
  <c r="AM79" i="3"/>
  <c r="AN79" i="3"/>
  <c r="AO79" i="3"/>
  <c r="AP79" i="3"/>
  <c r="AQ79" i="3"/>
  <c r="AR79" i="3"/>
  <c r="AS79" i="3"/>
  <c r="AT79" i="3"/>
  <c r="AU79" i="3"/>
  <c r="AV79" i="3"/>
  <c r="AW79" i="3"/>
  <c r="AX79" i="3"/>
  <c r="AY79" i="3"/>
  <c r="AZ79" i="3"/>
  <c r="BA79" i="3"/>
  <c r="BB79" i="3"/>
  <c r="BC79" i="3"/>
  <c r="BD79" i="3"/>
  <c r="BE79" i="3"/>
  <c r="BF79" i="3"/>
  <c r="BG79" i="3"/>
  <c r="BH79" i="3"/>
  <c r="BI79" i="3"/>
  <c r="BJ79" i="3"/>
  <c r="BK79" i="3"/>
  <c r="BL79" i="3"/>
  <c r="BM79" i="3"/>
  <c r="BN79" i="3"/>
  <c r="BO79" i="3"/>
  <c r="BP79" i="3"/>
  <c r="BQ79" i="3"/>
  <c r="BR79" i="3"/>
  <c r="BS79" i="3"/>
  <c r="BT79" i="3"/>
  <c r="BU79" i="3"/>
  <c r="BV79" i="3"/>
  <c r="BW79" i="3"/>
  <c r="BX79" i="3"/>
  <c r="BY79" i="3"/>
  <c r="BZ79" i="3"/>
  <c r="CA79" i="3"/>
  <c r="CB79" i="3"/>
  <c r="CC79" i="3"/>
  <c r="CD79" i="3"/>
  <c r="CE79" i="3"/>
  <c r="CF79" i="3"/>
  <c r="CG79" i="3"/>
  <c r="CH79" i="3"/>
  <c r="CI79" i="3"/>
  <c r="CJ79" i="3"/>
  <c r="CK79" i="3"/>
  <c r="CL79" i="3"/>
  <c r="CM79" i="3"/>
  <c r="CN79" i="3"/>
  <c r="CO79" i="3"/>
  <c r="CP79" i="3"/>
  <c r="CQ79" i="3"/>
  <c r="CR79" i="3"/>
  <c r="CS79" i="3"/>
  <c r="CT79" i="3"/>
  <c r="CU79" i="3"/>
  <c r="CV79" i="3"/>
  <c r="F65" i="23" l="1"/>
  <c r="F69" i="23"/>
  <c r="F64" i="23"/>
  <c r="F68" i="23"/>
  <c r="F72" i="23"/>
  <c r="F63" i="23"/>
  <c r="F67" i="23"/>
  <c r="F71" i="23"/>
  <c r="F66" i="23"/>
  <c r="F70" i="23"/>
  <c r="BM45" i="3" l="1"/>
  <c r="BI45" i="3"/>
  <c r="BN45" i="3"/>
  <c r="BF45" i="3"/>
  <c r="BL45" i="3"/>
  <c r="BK45" i="3"/>
  <c r="BO45" i="3"/>
  <c r="BG45" i="3"/>
  <c r="BJ45" i="3"/>
  <c r="BH45" i="3"/>
  <c r="J160" i="1" l="1"/>
  <c r="I160" i="1" l="1"/>
  <c r="DE48" i="9" s="1"/>
  <c r="DE52" i="9" s="1"/>
  <c r="DE54" i="9" s="1"/>
  <c r="K19" i="30"/>
  <c r="DA48" i="9"/>
  <c r="DA52" i="9" s="1"/>
  <c r="DA54" i="9" s="1"/>
  <c r="DD48" i="9"/>
  <c r="DD52" i="9" s="1"/>
  <c r="DD54" i="9" s="1"/>
  <c r="DH48" i="9"/>
  <c r="DH52" i="9" s="1"/>
  <c r="DH54" i="9" s="1"/>
  <c r="DI48" i="9"/>
  <c r="DI52" i="9" s="1"/>
  <c r="DI54" i="9" s="1"/>
  <c r="DJ48" i="9"/>
  <c r="DJ52" i="9" s="1"/>
  <c r="DJ54" i="9" s="1"/>
  <c r="DK48" i="9"/>
  <c r="DK52" i="9" s="1"/>
  <c r="DK54" i="9" s="1"/>
  <c r="DL48" i="9"/>
  <c r="DL52" i="9" s="1"/>
  <c r="DL54" i="9" s="1"/>
  <c r="DM48" i="9"/>
  <c r="DM52" i="9" s="1"/>
  <c r="DM54" i="9" s="1"/>
  <c r="DN48" i="9"/>
  <c r="DN52" i="9" s="1"/>
  <c r="DN54" i="9" s="1"/>
  <c r="DP48" i="9"/>
  <c r="DP52" i="9" s="1"/>
  <c r="DP54" i="9" s="1"/>
  <c r="DQ48" i="9"/>
  <c r="DQ52" i="9" s="1"/>
  <c r="DQ54" i="9" s="1"/>
  <c r="DR48" i="9"/>
  <c r="DR52" i="9" s="1"/>
  <c r="DR54" i="9" s="1"/>
  <c r="DS48" i="9"/>
  <c r="DS52" i="9" s="1"/>
  <c r="DS54" i="9" s="1"/>
  <c r="DT48" i="9"/>
  <c r="DT52" i="9" s="1"/>
  <c r="DT54" i="9" s="1"/>
  <c r="DU48" i="9"/>
  <c r="DU52" i="9" s="1"/>
  <c r="DU54" i="9" s="1"/>
  <c r="DV48" i="9"/>
  <c r="DV52" i="9" s="1"/>
  <c r="DV54" i="9" s="1"/>
  <c r="DX48" i="9"/>
  <c r="DX52" i="9" s="1"/>
  <c r="DX54" i="9" s="1"/>
  <c r="DY48" i="9"/>
  <c r="DY52" i="9" s="1"/>
  <c r="DY54" i="9" s="1"/>
  <c r="DZ48" i="9"/>
  <c r="DZ52" i="9" s="1"/>
  <c r="DZ54" i="9" s="1"/>
  <c r="EA48" i="9"/>
  <c r="EA52" i="9" s="1"/>
  <c r="EA54" i="9" s="1"/>
  <c r="EB48" i="9"/>
  <c r="EB52" i="9" s="1"/>
  <c r="EB54" i="9" s="1"/>
  <c r="EC48" i="9"/>
  <c r="EC52" i="9" s="1"/>
  <c r="EC54" i="9" s="1"/>
  <c r="ED48" i="9"/>
  <c r="ED52" i="9" s="1"/>
  <c r="ED54" i="9" s="1"/>
  <c r="EF48" i="9"/>
  <c r="EF52" i="9" s="1"/>
  <c r="EF54" i="9" s="1"/>
  <c r="EG48" i="9"/>
  <c r="EG52" i="9" s="1"/>
  <c r="EG54" i="9" s="1"/>
  <c r="EH48" i="9"/>
  <c r="EH52" i="9" s="1"/>
  <c r="EH54" i="9" s="1"/>
  <c r="EI48" i="9"/>
  <c r="EI52" i="9" s="1"/>
  <c r="EI54" i="9" s="1"/>
  <c r="EH55" i="9" s="1"/>
  <c r="EH68" i="9" s="1"/>
  <c r="CN48" i="9"/>
  <c r="CN52" i="9" s="1"/>
  <c r="CN54" i="9" s="1"/>
  <c r="CN28" i="3" s="1" a="1"/>
  <c r="CN28" i="3" s="1"/>
  <c r="CN30" i="3" s="1"/>
  <c r="CW48" i="9"/>
  <c r="CW52" i="9" s="1"/>
  <c r="CW54" i="9" s="1"/>
  <c r="CV48" i="9"/>
  <c r="CV52" i="9" s="1"/>
  <c r="CV54" i="9" s="1"/>
  <c r="CV28" i="3" s="1" a="1"/>
  <c r="CV28" i="3" s="1"/>
  <c r="CV30" i="3" s="1"/>
  <c r="CM48" i="9"/>
  <c r="CM52" i="9" s="1"/>
  <c r="CM54" i="9" s="1"/>
  <c r="CM28" i="3" s="1" a="1"/>
  <c r="CM28" i="3" s="1"/>
  <c r="CM30" i="3" s="1"/>
  <c r="CD48" i="9"/>
  <c r="CD52" i="9" s="1"/>
  <c r="CD54" i="9" s="1"/>
  <c r="CD28" i="3" s="1" a="1"/>
  <c r="CD28" i="3" s="1"/>
  <c r="CD30" i="3" s="1"/>
  <c r="CK48" i="9"/>
  <c r="CK52" i="9" s="1"/>
  <c r="CK54" i="9" s="1"/>
  <c r="CK67" i="9" s="1"/>
  <c r="CL48" i="9"/>
  <c r="CL52" i="9" s="1"/>
  <c r="CL54" i="9" s="1"/>
  <c r="CL28" i="3" s="1" a="1"/>
  <c r="CL28" i="3" s="1"/>
  <c r="CL30" i="3" s="1"/>
  <c r="CE48" i="9"/>
  <c r="CE52" i="9" s="1"/>
  <c r="CE54" i="9" s="1"/>
  <c r="CE28" i="3" s="1" a="1"/>
  <c r="CE28" i="3" s="1"/>
  <c r="CE30" i="3" s="1"/>
  <c r="CU48" i="9"/>
  <c r="CU52" i="9" s="1"/>
  <c r="CU54" i="9" s="1"/>
  <c r="CU28" i="3" s="1" a="1"/>
  <c r="CU28" i="3" s="1"/>
  <c r="CU30" i="3" s="1"/>
  <c r="CC48" i="9"/>
  <c r="CC52" i="9" s="1"/>
  <c r="CC54" i="9" s="1"/>
  <c r="CC67" i="9" s="1"/>
  <c r="CT48" i="9"/>
  <c r="CT52" i="9" s="1"/>
  <c r="CT54" i="9" s="1"/>
  <c r="CT67" i="9" s="1"/>
  <c r="BU48" i="9"/>
  <c r="BU52" i="9" s="1"/>
  <c r="BU54" i="9" s="1"/>
  <c r="BU67" i="9" s="1"/>
  <c r="BR48" i="9"/>
  <c r="BR52" i="9" s="1"/>
  <c r="BR54" i="9" s="1"/>
  <c r="BR28" i="3" s="1" a="1"/>
  <c r="BR28" i="3" s="1"/>
  <c r="BR30" i="3" s="1"/>
  <c r="BS48" i="9"/>
  <c r="BS52" i="9" s="1"/>
  <c r="BS54" i="9" s="1"/>
  <c r="BS28" i="3" s="1" a="1"/>
  <c r="BS28" i="3" s="1"/>
  <c r="BS30" i="3" s="1"/>
  <c r="BJ48" i="9"/>
  <c r="BJ52" i="9" s="1"/>
  <c r="BJ54" i="9" s="1"/>
  <c r="BJ28" i="3" s="1" a="1"/>
  <c r="BJ28" i="3" s="1"/>
  <c r="BJ30" i="3" s="1"/>
  <c r="BJ32" i="3" s="1"/>
  <c r="BI48" i="9"/>
  <c r="BI52" i="9" s="1"/>
  <c r="BI54" i="9" s="1"/>
  <c r="BI67" i="9" s="1"/>
  <c r="BH48" i="9"/>
  <c r="BH52" i="9" s="1"/>
  <c r="BH54" i="9" s="1"/>
  <c r="BH67" i="9" s="1"/>
  <c r="BQ48" i="9"/>
  <c r="BQ52" i="9" s="1"/>
  <c r="BQ54" i="9" s="1"/>
  <c r="BQ67" i="9" s="1"/>
  <c r="BG48" i="9"/>
  <c r="BG52" i="9" s="1"/>
  <c r="BG54" i="9" s="1"/>
  <c r="BG28" i="3" s="1" a="1"/>
  <c r="BG28" i="3" s="1"/>
  <c r="BG30" i="3" s="1"/>
  <c r="BG32" i="3" s="1"/>
  <c r="CS48" i="9"/>
  <c r="CS52" i="9" s="1"/>
  <c r="CS54" i="9" s="1"/>
  <c r="CS67" i="9" s="1"/>
  <c r="BE48" i="9"/>
  <c r="BE52" i="9" s="1"/>
  <c r="BE54" i="9" s="1"/>
  <c r="BE67" i="9" s="1"/>
  <c r="CA48" i="9"/>
  <c r="CA52" i="9" s="1"/>
  <c r="CA54" i="9" s="1"/>
  <c r="CA28" i="3" s="1" a="1"/>
  <c r="CA28" i="3" s="1"/>
  <c r="CA30" i="3" s="1"/>
  <c r="CI48" i="9"/>
  <c r="CI52" i="9" s="1"/>
  <c r="CI54" i="9" s="1"/>
  <c r="CI28" i="3" s="1" a="1"/>
  <c r="CI28" i="3" s="1"/>
  <c r="CI30" i="3" s="1"/>
  <c r="CQ48" i="9"/>
  <c r="CQ52" i="9" s="1"/>
  <c r="CQ54" i="9" s="1"/>
  <c r="CQ28" i="3" s="1" a="1"/>
  <c r="CQ28" i="3" s="1"/>
  <c r="CQ30" i="3" s="1"/>
  <c r="CH48" i="9"/>
  <c r="CH52" i="9" s="1"/>
  <c r="CH54" i="9" s="1"/>
  <c r="CH28" i="3" s="1" a="1"/>
  <c r="CH28" i="3" s="1"/>
  <c r="CH30" i="3" s="1"/>
  <c r="BY48" i="9"/>
  <c r="BY52" i="9" s="1"/>
  <c r="BY54" i="9" s="1"/>
  <c r="BY67" i="9" s="1"/>
  <c r="BO48" i="9"/>
  <c r="BO52" i="9" s="1"/>
  <c r="BO54" i="9" s="1"/>
  <c r="BO28" i="3" s="1" a="1"/>
  <c r="BO28" i="3" s="1"/>
  <c r="BO30" i="3" s="1"/>
  <c r="BC48" i="9"/>
  <c r="BC52" i="9" s="1"/>
  <c r="BC54" i="9" s="1"/>
  <c r="BC28" i="3" s="1" a="1"/>
  <c r="BC28" i="3" s="1"/>
  <c r="BC30" i="3" s="1"/>
  <c r="BC32" i="3" s="1"/>
  <c r="BZ48" i="9"/>
  <c r="BZ52" i="9" s="1"/>
  <c r="BZ54" i="9" s="1"/>
  <c r="BZ28" i="3" s="1" a="1"/>
  <c r="BZ28" i="3" s="1"/>
  <c r="BZ30" i="3" s="1"/>
  <c r="CY48" i="9"/>
  <c r="CY52" i="9" s="1"/>
  <c r="CY54" i="9" s="1"/>
  <c r="CP48" i="9"/>
  <c r="CP52" i="9" s="1"/>
  <c r="CP54" i="9" s="1"/>
  <c r="CP28" i="3" s="1" a="1"/>
  <c r="CP28" i="3" s="1"/>
  <c r="CP30" i="3" s="1"/>
  <c r="CG48" i="9"/>
  <c r="CG52" i="9" s="1"/>
  <c r="CG54" i="9" s="1"/>
  <c r="CG67" i="9" s="1"/>
  <c r="BX48" i="9"/>
  <c r="BX52" i="9" s="1"/>
  <c r="BX54" i="9" s="1"/>
  <c r="BX67" i="9" s="1"/>
  <c r="BM48" i="9"/>
  <c r="BM52" i="9" s="1"/>
  <c r="BM54" i="9" s="1"/>
  <c r="BM67" i="9" s="1"/>
  <c r="BB48" i="9"/>
  <c r="BB52" i="9" s="1"/>
  <c r="BB54" i="9" s="1"/>
  <c r="BB28" i="3" s="1" a="1"/>
  <c r="BB28" i="3" s="1"/>
  <c r="BB30" i="3" s="1"/>
  <c r="BB32" i="3" s="1"/>
  <c r="BP48" i="9"/>
  <c r="BP52" i="9" s="1"/>
  <c r="BP54" i="9" s="1"/>
  <c r="BP28" i="3" s="1" a="1"/>
  <c r="BP28" i="3" s="1"/>
  <c r="BP30" i="3" s="1"/>
  <c r="CX48" i="9"/>
  <c r="CX52" i="9" s="1"/>
  <c r="CX54" i="9" s="1"/>
  <c r="CO48" i="9"/>
  <c r="CO52" i="9" s="1"/>
  <c r="CO54" i="9" s="1"/>
  <c r="CO67" i="9" s="1"/>
  <c r="CF48" i="9"/>
  <c r="CF52" i="9" s="1"/>
  <c r="CF54" i="9" s="1"/>
  <c r="CF67" i="9" s="1"/>
  <c r="BW48" i="9"/>
  <c r="BW52" i="9" s="1"/>
  <c r="BW54" i="9" s="1"/>
  <c r="BW28" i="3" s="1" a="1"/>
  <c r="BW28" i="3" s="1"/>
  <c r="BW30" i="3" s="1"/>
  <c r="BK48" i="9"/>
  <c r="BK52" i="9" s="1"/>
  <c r="BK54" i="9" s="1"/>
  <c r="BK28" i="3" s="1" a="1"/>
  <c r="BK28" i="3" s="1"/>
  <c r="BK30" i="3" s="1"/>
  <c r="BK32" i="3" s="1"/>
  <c r="BA48" i="9"/>
  <c r="BA52" i="9" s="1"/>
  <c r="BA54" i="9" s="1"/>
  <c r="BA67" i="9" s="1"/>
  <c r="AY48" i="9"/>
  <c r="AY52" i="9" s="1"/>
  <c r="AY54" i="9" s="1"/>
  <c r="AY28" i="3" s="1" a="1"/>
  <c r="AY28" i="3" s="1"/>
  <c r="AY30" i="3" s="1"/>
  <c r="AY32" i="3" s="1"/>
  <c r="AZ48" i="9"/>
  <c r="AZ52" i="9" s="1"/>
  <c r="AZ54" i="9" s="1"/>
  <c r="AZ28" i="3" s="1" a="1"/>
  <c r="AZ28" i="3" s="1"/>
  <c r="AZ30" i="3" s="1"/>
  <c r="AW48" i="9"/>
  <c r="AW52" i="9" s="1"/>
  <c r="AW54" i="9" s="1"/>
  <c r="AW67" i="9" s="1"/>
  <c r="AU48" i="9"/>
  <c r="AU52" i="9" s="1"/>
  <c r="AU54" i="9" s="1"/>
  <c r="AU28" i="3" s="1" a="1"/>
  <c r="AU28" i="3" s="1"/>
  <c r="AU30" i="3" s="1"/>
  <c r="AU32" i="3" s="1"/>
  <c r="AT48" i="9"/>
  <c r="AT52" i="9" s="1"/>
  <c r="AT54" i="9" s="1"/>
  <c r="AT28" i="3" s="1" a="1"/>
  <c r="AT28" i="3" s="1"/>
  <c r="AT30" i="3" s="1"/>
  <c r="AT32" i="3" s="1"/>
  <c r="AS48" i="9"/>
  <c r="AS52" i="9" s="1"/>
  <c r="AS54" i="9" s="1"/>
  <c r="AS67" i="9" s="1"/>
  <c r="AR48" i="9"/>
  <c r="AO48" i="9"/>
  <c r="AO52" i="9" s="1"/>
  <c r="AO54" i="9" s="1"/>
  <c r="AO67" i="9" s="1"/>
  <c r="AM48" i="9"/>
  <c r="AM52" i="9" s="1"/>
  <c r="AM54" i="9" s="1"/>
  <c r="AM28" i="3" s="1" a="1"/>
  <c r="AM28" i="3" s="1"/>
  <c r="AM30" i="3" s="1"/>
  <c r="AM32" i="3" s="1"/>
  <c r="AL48" i="9"/>
  <c r="AL52" i="9" s="1"/>
  <c r="AL54" i="9" s="1"/>
  <c r="AL28" i="3" s="1" a="1"/>
  <c r="AL28" i="3" s="1"/>
  <c r="AL30" i="3" s="1"/>
  <c r="AL32" i="3" s="1"/>
  <c r="AI48" i="9"/>
  <c r="AI52" i="9" s="1"/>
  <c r="AI54" i="9" s="1"/>
  <c r="AI28" i="3" s="1" a="1"/>
  <c r="AI28" i="3" s="1"/>
  <c r="AI30" i="3" s="1"/>
  <c r="AI32" i="3" s="1"/>
  <c r="AH48" i="9"/>
  <c r="AH52" i="9" s="1"/>
  <c r="AH54" i="9" s="1"/>
  <c r="AH28" i="3" s="1" a="1"/>
  <c r="AH28" i="3" s="1"/>
  <c r="AH30" i="3" s="1"/>
  <c r="AH32" i="3" s="1"/>
  <c r="AQ48" i="9"/>
  <c r="AQ52" i="9" s="1"/>
  <c r="AQ54" i="9" s="1"/>
  <c r="AQ28" i="3" s="1" a="1"/>
  <c r="AQ28" i="3" s="1"/>
  <c r="AQ30" i="3" s="1"/>
  <c r="AQ32" i="3" s="1"/>
  <c r="AG48" i="9"/>
  <c r="AG52" i="9" s="1"/>
  <c r="AG54" i="9" s="1"/>
  <c r="AG67" i="9" s="1"/>
  <c r="BV48" i="9"/>
  <c r="BV52" i="9" s="1"/>
  <c r="BV54" i="9" s="1"/>
  <c r="BV28" i="3" s="1" a="1"/>
  <c r="BV28" i="3" s="1"/>
  <c r="BV30" i="3" s="1"/>
  <c r="BN48" i="9"/>
  <c r="BN52" i="9" s="1"/>
  <c r="BN54" i="9" s="1"/>
  <c r="BN28" i="3" s="1" a="1"/>
  <c r="BN28" i="3" s="1"/>
  <c r="BN30" i="3" s="1"/>
  <c r="BN32" i="3" s="1"/>
  <c r="BF48" i="9"/>
  <c r="BF52" i="9" s="1"/>
  <c r="BF54" i="9" s="1"/>
  <c r="BF28" i="3" s="1" a="1"/>
  <c r="BF28" i="3" s="1"/>
  <c r="BF30" i="3" s="1"/>
  <c r="BF32" i="3" s="1"/>
  <c r="AX48" i="9"/>
  <c r="AX52" i="9" s="1"/>
  <c r="AX54" i="9" s="1"/>
  <c r="AX28" i="3" s="1" a="1"/>
  <c r="AX28" i="3" s="1"/>
  <c r="AX30" i="3" s="1"/>
  <c r="AX32" i="3" s="1"/>
  <c r="AP48" i="9"/>
  <c r="AP52" i="9" s="1"/>
  <c r="AP54" i="9" s="1"/>
  <c r="AP28" i="3" s="1" a="1"/>
  <c r="AP28" i="3" s="1"/>
  <c r="AP30" i="3" s="1"/>
  <c r="AP32" i="3" s="1"/>
  <c r="AF48" i="9"/>
  <c r="AD48" i="9"/>
  <c r="AD52" i="9" s="1"/>
  <c r="AD54" i="9" s="1"/>
  <c r="AD28" i="3" s="1" a="1"/>
  <c r="AD28" i="3" s="1"/>
  <c r="AD30" i="3" s="1"/>
  <c r="AD32" i="3" s="1"/>
  <c r="CR48" i="9"/>
  <c r="CR52" i="9" s="1"/>
  <c r="CR54" i="9" s="1"/>
  <c r="CR28" i="3" s="1" a="1"/>
  <c r="CR28" i="3" s="1"/>
  <c r="CR30" i="3" s="1"/>
  <c r="CJ48" i="9"/>
  <c r="CJ52" i="9" s="1"/>
  <c r="CJ54" i="9" s="1"/>
  <c r="CJ67" i="9" s="1"/>
  <c r="CB48" i="9"/>
  <c r="CB52" i="9" s="1"/>
  <c r="CB54" i="9" s="1"/>
  <c r="CB67" i="9" s="1"/>
  <c r="BT48" i="9"/>
  <c r="BT52" i="9" s="1"/>
  <c r="BT54" i="9" s="1"/>
  <c r="BL48" i="9"/>
  <c r="BL52" i="9" s="1"/>
  <c r="BL54" i="9" s="1"/>
  <c r="BL28" i="3" s="1" a="1"/>
  <c r="BL28" i="3" s="1"/>
  <c r="BL30" i="3" s="1"/>
  <c r="BD48" i="9"/>
  <c r="AV48" i="9"/>
  <c r="AV52" i="9" s="1"/>
  <c r="AV54" i="9" s="1"/>
  <c r="AV28" i="3" s="1" a="1"/>
  <c r="AV28" i="3" s="1"/>
  <c r="AV30" i="3" s="1"/>
  <c r="AN48" i="9"/>
  <c r="AN52" i="9" s="1"/>
  <c r="AN54" i="9" s="1"/>
  <c r="AN67" i="9" s="1"/>
  <c r="Y48" i="9"/>
  <c r="Y52" i="9" s="1"/>
  <c r="Y54" i="9" s="1"/>
  <c r="Y67" i="9" s="1"/>
  <c r="AE48" i="9"/>
  <c r="AE52" i="9" s="1"/>
  <c r="AE54" i="9" s="1"/>
  <c r="AE28" i="3" s="1" a="1"/>
  <c r="AE28" i="3" s="1"/>
  <c r="AE30" i="3" s="1"/>
  <c r="AE32" i="3" s="1"/>
  <c r="AA48" i="9"/>
  <c r="AA52" i="9" s="1"/>
  <c r="AA54" i="9" s="1"/>
  <c r="AA67" i="9" s="1"/>
  <c r="Z48" i="9"/>
  <c r="Z52" i="9" s="1"/>
  <c r="Z54" i="9" s="1"/>
  <c r="Z28" i="3" s="1" a="1"/>
  <c r="Z28" i="3" s="1"/>
  <c r="Z30" i="3" s="1"/>
  <c r="Z32" i="3" s="1"/>
  <c r="W48" i="9"/>
  <c r="W52" i="9" s="1"/>
  <c r="W54" i="9" s="1"/>
  <c r="W28" i="3" s="1" a="1"/>
  <c r="W28" i="3" s="1"/>
  <c r="W30" i="3" s="1"/>
  <c r="W32" i="3" s="1"/>
  <c r="X48" i="9"/>
  <c r="X52" i="9" s="1"/>
  <c r="X54" i="9" s="1"/>
  <c r="X28" i="3" s="1" a="1"/>
  <c r="X28" i="3" s="1"/>
  <c r="X30" i="3" s="1"/>
  <c r="R48" i="9"/>
  <c r="R52" i="9" s="1"/>
  <c r="R54" i="9" s="1"/>
  <c r="R28" i="3" s="1" a="1"/>
  <c r="R28" i="3" s="1"/>
  <c r="R30" i="3" s="1"/>
  <c r="R32" i="3" s="1"/>
  <c r="Q48" i="9"/>
  <c r="Q52" i="9" s="1"/>
  <c r="Q54" i="9" s="1"/>
  <c r="Q67" i="9" s="1"/>
  <c r="S48" i="9"/>
  <c r="S52" i="9" s="1"/>
  <c r="S54" i="9" s="1"/>
  <c r="S28" i="3" s="1" a="1"/>
  <c r="S28" i="3" s="1"/>
  <c r="S30" i="3" s="1"/>
  <c r="S32" i="3" s="1"/>
  <c r="P48" i="9"/>
  <c r="P52" i="9" s="1"/>
  <c r="P54" i="9" s="1"/>
  <c r="P67" i="9" s="1"/>
  <c r="O48" i="9"/>
  <c r="O52" i="9" s="1"/>
  <c r="O54" i="9" s="1"/>
  <c r="O67" i="9" s="1"/>
  <c r="V48" i="9"/>
  <c r="V52" i="9" s="1"/>
  <c r="V54" i="9" s="1"/>
  <c r="V28" i="3" s="1" a="1"/>
  <c r="V28" i="3" s="1"/>
  <c r="V30" i="3" s="1"/>
  <c r="V32" i="3" s="1"/>
  <c r="N48" i="9"/>
  <c r="N52" i="9" s="1"/>
  <c r="N54" i="9" s="1"/>
  <c r="N28" i="3" s="1" a="1"/>
  <c r="N28" i="3" s="1"/>
  <c r="N30" i="3" s="1"/>
  <c r="N32" i="3" s="1"/>
  <c r="AK48" i="9"/>
  <c r="AK52" i="9" s="1"/>
  <c r="AK54" i="9" s="1"/>
  <c r="AK67" i="9" s="1"/>
  <c r="AC48" i="9"/>
  <c r="AC52" i="9" s="1"/>
  <c r="AC54" i="9" s="1"/>
  <c r="AC67" i="9" s="1"/>
  <c r="U48" i="9"/>
  <c r="U52" i="9" s="1"/>
  <c r="U54" i="9" s="1"/>
  <c r="U67" i="9" s="1"/>
  <c r="M48" i="9"/>
  <c r="M52" i="9" s="1"/>
  <c r="M54" i="9" s="1"/>
  <c r="M67" i="9" s="1"/>
  <c r="AJ48" i="9"/>
  <c r="AJ52" i="9" s="1"/>
  <c r="AJ54" i="9" s="1"/>
  <c r="AJ28" i="3" s="1" a="1"/>
  <c r="AJ28" i="3" s="1"/>
  <c r="AJ30" i="3" s="1"/>
  <c r="AB48" i="9"/>
  <c r="AB52" i="9" s="1"/>
  <c r="AB54" i="9" s="1"/>
  <c r="T48" i="9"/>
  <c r="L48" i="9"/>
  <c r="L52" i="9" s="1"/>
  <c r="L54" i="9" s="1"/>
  <c r="L28" i="3" s="1" a="1"/>
  <c r="L28" i="3" s="1"/>
  <c r="L30" i="3" s="1"/>
  <c r="K48" i="9"/>
  <c r="K52" i="9" s="1"/>
  <c r="K54" i="9" s="1"/>
  <c r="K67" i="9" s="1"/>
  <c r="J48" i="9"/>
  <c r="J52" i="9" s="1"/>
  <c r="J54" i="9" s="1"/>
  <c r="J67" i="9" s="1"/>
  <c r="I48" i="9"/>
  <c r="I52" i="9" s="1"/>
  <c r="I54" i="9" s="1"/>
  <c r="I67" i="9" s="1"/>
  <c r="H48" i="9"/>
  <c r="J164" i="1"/>
  <c r="DC48" i="9" l="1"/>
  <c r="DC52" i="9" s="1"/>
  <c r="DC54" i="9" s="1"/>
  <c r="DC28" i="3" s="1" a="1"/>
  <c r="DC28" i="3" s="1"/>
  <c r="DC30" i="3" s="1"/>
  <c r="DB48" i="9"/>
  <c r="DB52" i="9" s="1"/>
  <c r="DB54" i="9" s="1"/>
  <c r="DB28" i="3" s="1" a="1"/>
  <c r="DB28" i="3" s="1"/>
  <c r="DB30" i="3" s="1"/>
  <c r="CZ48" i="9"/>
  <c r="CZ52" i="9" s="1"/>
  <c r="CZ54" i="9" s="1"/>
  <c r="EE48" i="9"/>
  <c r="EE52" i="9" s="1"/>
  <c r="EE54" i="9" s="1"/>
  <c r="EC55" i="9" s="1"/>
  <c r="EC68" i="9" s="1"/>
  <c r="DW48" i="9"/>
  <c r="DW52" i="9" s="1"/>
  <c r="DW54" i="9" s="1"/>
  <c r="DO48" i="9"/>
  <c r="DO52" i="9" s="1"/>
  <c r="DO54" i="9" s="1"/>
  <c r="DG48" i="9"/>
  <c r="DG52" i="9" s="1"/>
  <c r="DG54" i="9" s="1"/>
  <c r="DG28" i="3" s="1" a="1"/>
  <c r="DG28" i="3" s="1"/>
  <c r="DG30" i="3" s="1"/>
  <c r="I164" i="1"/>
  <c r="J23" i="30" s="1"/>
  <c r="J26" i="30" s="1"/>
  <c r="DF48" i="9"/>
  <c r="DF52" i="9" s="1"/>
  <c r="DF54" i="9" s="1"/>
  <c r="DF28" i="3" s="1" a="1"/>
  <c r="DF28" i="3" s="1"/>
  <c r="DF30" i="3" s="1"/>
  <c r="H52" i="9"/>
  <c r="G33" i="31" s="1"/>
  <c r="G29" i="31"/>
  <c r="AF52" i="9"/>
  <c r="AF54" i="9" s="1"/>
  <c r="I29" i="31"/>
  <c r="BD52" i="9"/>
  <c r="BD54" i="9" s="1"/>
  <c r="K29" i="31"/>
  <c r="T52" i="9"/>
  <c r="T54" i="9" s="1"/>
  <c r="H29" i="31"/>
  <c r="K23" i="30"/>
  <c r="AR52" i="9"/>
  <c r="AR54" i="9" s="1"/>
  <c r="J29" i="31"/>
  <c r="J19" i="30"/>
  <c r="BY28" i="3" a="1"/>
  <c r="BY28" i="3" s="1"/>
  <c r="BY30" i="3" s="1"/>
  <c r="EE55" i="9"/>
  <c r="EE68" i="9" s="1"/>
  <c r="DV28" i="3" a="1"/>
  <c r="DV28" i="3" s="1"/>
  <c r="DV30" i="3" s="1"/>
  <c r="DN28" i="3" a="1"/>
  <c r="DN28" i="3" s="1"/>
  <c r="DN30" i="3" s="1"/>
  <c r="DU28" i="3" a="1"/>
  <c r="DU28" i="3" s="1"/>
  <c r="DU30" i="3" s="1"/>
  <c r="DM28" i="3" a="1"/>
  <c r="DM28" i="3" s="1"/>
  <c r="DM30" i="3" s="1"/>
  <c r="DE28" i="3" a="1"/>
  <c r="DE28" i="3" s="1"/>
  <c r="DE30" i="3" s="1"/>
  <c r="DT28" i="3" a="1"/>
  <c r="DT28" i="3" s="1"/>
  <c r="DT30" i="3" s="1"/>
  <c r="DL28" i="3" a="1"/>
  <c r="DL28" i="3" s="1"/>
  <c r="DL30" i="3" s="1"/>
  <c r="DD28" i="3" a="1"/>
  <c r="DD28" i="3" s="1"/>
  <c r="DD30" i="3" s="1"/>
  <c r="DZ55" i="9"/>
  <c r="DZ68" i="9" s="1"/>
  <c r="DS28" i="3" a="1"/>
  <c r="DS28" i="3" s="1"/>
  <c r="DS30" i="3" s="1"/>
  <c r="DK28" i="3" a="1"/>
  <c r="DK28" i="3" s="1"/>
  <c r="DK30" i="3" s="1"/>
  <c r="EG55" i="9"/>
  <c r="EG68" i="9" s="1"/>
  <c r="DY55" i="9"/>
  <c r="DY68" i="9" s="1"/>
  <c r="DR28" i="3" a="1"/>
  <c r="DR28" i="3" s="1"/>
  <c r="DR30" i="3" s="1"/>
  <c r="DJ28" i="3" a="1"/>
  <c r="DJ28" i="3" s="1"/>
  <c r="DJ30" i="3" s="1"/>
  <c r="CY28" i="3" a="1"/>
  <c r="CY28" i="3" s="1"/>
  <c r="CY30" i="3" s="1"/>
  <c r="EF55" i="9"/>
  <c r="EF68" i="9" s="1"/>
  <c r="DQ28" i="3" a="1"/>
  <c r="DQ28" i="3" s="1"/>
  <c r="DQ30" i="3" s="1"/>
  <c r="DI28" i="3" a="1"/>
  <c r="DI28" i="3" s="1"/>
  <c r="DI30" i="3" s="1"/>
  <c r="DA28" i="3" a="1"/>
  <c r="DA28" i="3" s="1"/>
  <c r="DA30" i="3" s="1"/>
  <c r="CX28" i="3" a="1"/>
  <c r="CX28" i="3" s="1"/>
  <c r="CX30" i="3" s="1"/>
  <c r="DP28" i="3" a="1"/>
  <c r="DP28" i="3" s="1"/>
  <c r="DP30" i="3" s="1"/>
  <c r="DH28" i="3" a="1"/>
  <c r="DH28" i="3" s="1"/>
  <c r="DH30" i="3" s="1"/>
  <c r="CV67" i="9"/>
  <c r="ED67" i="9"/>
  <c r="ED28" i="3" a="1"/>
  <c r="ED28" i="3" s="1"/>
  <c r="ED30" i="3" s="1"/>
  <c r="CW67" i="9"/>
  <c r="CW28" i="3" a="1"/>
  <c r="CW28" i="3" s="1"/>
  <c r="CW30" i="3" s="1"/>
  <c r="EC67" i="9"/>
  <c r="EC28" i="3" a="1"/>
  <c r="EC28" i="3" s="1"/>
  <c r="EC30" i="3" s="1"/>
  <c r="EB67" i="9"/>
  <c r="EB28" i="3" a="1"/>
  <c r="EB28" i="3" s="1"/>
  <c r="EB30" i="3" s="1"/>
  <c r="EI67" i="9"/>
  <c r="EI28" i="3" a="1"/>
  <c r="EI28" i="3" s="1"/>
  <c r="EI30" i="3" s="1"/>
  <c r="EA67" i="9"/>
  <c r="EA28" i="3" a="1"/>
  <c r="EA28" i="3" s="1"/>
  <c r="EA30" i="3" s="1"/>
  <c r="BH28" i="3" a="1"/>
  <c r="BH28" i="3" s="1"/>
  <c r="BH30" i="3" s="1"/>
  <c r="BH32" i="3" s="1"/>
  <c r="EH67" i="9"/>
  <c r="EH28" i="3" a="1"/>
  <c r="EH28" i="3" s="1"/>
  <c r="EH30" i="3" s="1"/>
  <c r="DZ67" i="9"/>
  <c r="DZ28" i="3" a="1"/>
  <c r="DZ28" i="3" s="1"/>
  <c r="DZ30" i="3" s="1"/>
  <c r="EG67" i="9"/>
  <c r="EG28" i="3" a="1"/>
  <c r="EG28" i="3" s="1"/>
  <c r="EG30" i="3" s="1"/>
  <c r="DY67" i="9"/>
  <c r="DY28" i="3" a="1"/>
  <c r="DY28" i="3" s="1"/>
  <c r="DY30" i="3" s="1"/>
  <c r="EF67" i="9"/>
  <c r="EF28" i="3" a="1"/>
  <c r="EF28" i="3" s="1"/>
  <c r="EF30" i="3" s="1"/>
  <c r="DX67" i="9"/>
  <c r="DX28" i="3" a="1"/>
  <c r="DX28" i="3" s="1"/>
  <c r="DX30" i="3" s="1"/>
  <c r="CZ67" i="9"/>
  <c r="DV67" i="9"/>
  <c r="DU67" i="9"/>
  <c r="DM67" i="9"/>
  <c r="DE67" i="9"/>
  <c r="DT67" i="9"/>
  <c r="DL67" i="9"/>
  <c r="DD67" i="9"/>
  <c r="DS67" i="9"/>
  <c r="DK67" i="9"/>
  <c r="DC67" i="9"/>
  <c r="DR67" i="9"/>
  <c r="DJ67" i="9"/>
  <c r="DB67" i="9"/>
  <c r="DQ67" i="9"/>
  <c r="DI67" i="9"/>
  <c r="DA67" i="9"/>
  <c r="DN67" i="9"/>
  <c r="DP67" i="9"/>
  <c r="DH67" i="9"/>
  <c r="CT28" i="3" a="1"/>
  <c r="CT28" i="3" s="1"/>
  <c r="CT30" i="3" s="1"/>
  <c r="CS28" i="3" a="1"/>
  <c r="CS28" i="3" s="1"/>
  <c r="CS30" i="3" s="1"/>
  <c r="BA28" i="3" a="1"/>
  <c r="BA28" i="3" s="1"/>
  <c r="BA30" i="3" s="1"/>
  <c r="BA32" i="3" s="1"/>
  <c r="BM28" i="3" a="1"/>
  <c r="BM28" i="3" s="1"/>
  <c r="BM30" i="3" s="1"/>
  <c r="BM32" i="3" s="1"/>
  <c r="BQ28" i="3" a="1"/>
  <c r="BQ28" i="3" s="1"/>
  <c r="BQ30" i="3" s="1"/>
  <c r="BX28" i="3" a="1"/>
  <c r="BX28" i="3" s="1"/>
  <c r="BX30" i="3" s="1"/>
  <c r="BU28" i="3" a="1"/>
  <c r="BU28" i="3" s="1"/>
  <c r="BU30" i="3" s="1"/>
  <c r="O28" i="3" a="1"/>
  <c r="O28" i="3" s="1"/>
  <c r="O30" i="3" s="1"/>
  <c r="O32" i="3" s="1"/>
  <c r="CB28" i="3" a="1"/>
  <c r="CB28" i="3" s="1"/>
  <c r="CB30" i="3" s="1"/>
  <c r="AA28" i="3" a="1"/>
  <c r="AA28" i="3" s="1"/>
  <c r="AA30" i="3" s="1"/>
  <c r="AA32" i="3" s="1"/>
  <c r="BG67" i="9"/>
  <c r="BN67" i="9"/>
  <c r="AO28" i="3" a="1"/>
  <c r="AO28" i="3" s="1"/>
  <c r="AO30" i="3" s="1"/>
  <c r="AO32" i="3" s="1"/>
  <c r="CC28" i="3" a="1"/>
  <c r="CC28" i="3" s="1"/>
  <c r="CC30" i="3" s="1"/>
  <c r="CJ28" i="3" a="1"/>
  <c r="CJ28" i="3" s="1"/>
  <c r="CJ30" i="3" s="1"/>
  <c r="CH67" i="9"/>
  <c r="BK67" i="9"/>
  <c r="CG28" i="3" a="1"/>
  <c r="CG28" i="3" s="1"/>
  <c r="CG30" i="3" s="1"/>
  <c r="CN67" i="9"/>
  <c r="BV67" i="9"/>
  <c r="BC67" i="9"/>
  <c r="AJ67" i="9"/>
  <c r="CM67" i="9"/>
  <c r="AE67" i="9"/>
  <c r="BJ67" i="9"/>
  <c r="CY67" i="9"/>
  <c r="CI67" i="9"/>
  <c r="AW28" i="3" a="1"/>
  <c r="AW28" i="3" s="1"/>
  <c r="AW30" i="3" s="1"/>
  <c r="AW32" i="3" s="1"/>
  <c r="CK28" i="3" a="1"/>
  <c r="CK28" i="3" s="1"/>
  <c r="CK30" i="3" s="1"/>
  <c r="AU67" i="9"/>
  <c r="CO28" i="3" a="1"/>
  <c r="CO28" i="3" s="1"/>
  <c r="CO30" i="3" s="1"/>
  <c r="CL67" i="9"/>
  <c r="K28" i="3" a="1"/>
  <c r="K28" i="3" s="1"/>
  <c r="K30" i="3" s="1"/>
  <c r="K32" i="3" s="1"/>
  <c r="AZ67" i="9"/>
  <c r="AN28" i="3" a="1"/>
  <c r="AN28" i="3" s="1"/>
  <c r="AN30" i="3" s="1"/>
  <c r="AN32" i="3" s="1"/>
  <c r="CF28" i="3" a="1"/>
  <c r="CF28" i="3" s="1"/>
  <c r="CF30" i="3" s="1"/>
  <c r="CP67" i="9"/>
  <c r="CG55" i="9"/>
  <c r="CG68" i="9" s="1"/>
  <c r="CE67" i="9"/>
  <c r="AQ67" i="9"/>
  <c r="AT67" i="9"/>
  <c r="BI28" i="3" a="1"/>
  <c r="BI28" i="3" s="1"/>
  <c r="BI30" i="3" s="1"/>
  <c r="BI32" i="3" s="1"/>
  <c r="AD67" i="9"/>
  <c r="CJ55" i="9"/>
  <c r="CJ68" i="9" s="1"/>
  <c r="BW67" i="9"/>
  <c r="CR67" i="9"/>
  <c r="M28" i="3" a="1"/>
  <c r="M28" i="3" s="1"/>
  <c r="M30" i="3" s="1"/>
  <c r="M32" i="3" s="1"/>
  <c r="CU67" i="9"/>
  <c r="Y28" i="3" a="1"/>
  <c r="Y28" i="3" s="1"/>
  <c r="Y30" i="3" s="1"/>
  <c r="Y32" i="3" s="1"/>
  <c r="AG28" i="3" a="1"/>
  <c r="AG28" i="3" s="1"/>
  <c r="AG30" i="3" s="1"/>
  <c r="AG32" i="3" s="1"/>
  <c r="CD55" i="9"/>
  <c r="CD68" i="9" s="1"/>
  <c r="BF55" i="9"/>
  <c r="BF68" i="9" s="1"/>
  <c r="AS28" i="3" a="1"/>
  <c r="AS28" i="3" s="1"/>
  <c r="AS30" i="3" s="1"/>
  <c r="AS32" i="3" s="1"/>
  <c r="CQ67" i="9"/>
  <c r="CE55" i="9"/>
  <c r="CE68" i="9" s="1"/>
  <c r="CF55" i="9"/>
  <c r="CF68" i="9" s="1"/>
  <c r="AX67" i="9"/>
  <c r="L67" i="9"/>
  <c r="BP67" i="9"/>
  <c r="W67" i="9"/>
  <c r="CD67" i="9"/>
  <c r="BL67" i="9"/>
  <c r="CC55" i="9"/>
  <c r="CC68" i="9" s="1"/>
  <c r="AL67" i="9"/>
  <c r="BR67" i="9"/>
  <c r="CB55" i="9"/>
  <c r="CB68" i="9" s="1"/>
  <c r="N67" i="9"/>
  <c r="CA55" i="9"/>
  <c r="CA68" i="9" s="1"/>
  <c r="BV55" i="9"/>
  <c r="BV68" i="9" s="1"/>
  <c r="BE28" i="3" a="1"/>
  <c r="BE28" i="3" s="1"/>
  <c r="BE30" i="3" s="1"/>
  <c r="BE32" i="3" s="1"/>
  <c r="BZ55" i="9"/>
  <c r="BZ68" i="9" s="1"/>
  <c r="BX55" i="9"/>
  <c r="BX68" i="9" s="1"/>
  <c r="BQ55" i="9"/>
  <c r="BQ68" i="9" s="1"/>
  <c r="AI67" i="9"/>
  <c r="CX67" i="9"/>
  <c r="BY55" i="9"/>
  <c r="BY68" i="9" s="1"/>
  <c r="BH55" i="9"/>
  <c r="BH68" i="9" s="1"/>
  <c r="BZ67" i="9"/>
  <c r="CL55" i="9"/>
  <c r="CL68" i="9" s="1"/>
  <c r="BS67" i="9"/>
  <c r="BP55" i="9"/>
  <c r="BP68" i="9" s="1"/>
  <c r="BW55" i="9"/>
  <c r="BW68" i="9" s="1"/>
  <c r="BU55" i="9"/>
  <c r="BU68" i="9" s="1"/>
  <c r="AP67" i="9"/>
  <c r="X67" i="9"/>
  <c r="CA67" i="9"/>
  <c r="BT55" i="9"/>
  <c r="BT68" i="9" s="1"/>
  <c r="BI55" i="9"/>
  <c r="BI68" i="9" s="1"/>
  <c r="BB67" i="9"/>
  <c r="CI55" i="9"/>
  <c r="CI68" i="9" s="1"/>
  <c r="BO67" i="9"/>
  <c r="BK55" i="9"/>
  <c r="BK68" i="9" s="1"/>
  <c r="BG55" i="9"/>
  <c r="BG68" i="9" s="1"/>
  <c r="CK55" i="9"/>
  <c r="CK68" i="9" s="1"/>
  <c r="CH55" i="9"/>
  <c r="CH68" i="9" s="1"/>
  <c r="CM55" i="9"/>
  <c r="CM68" i="9" s="1"/>
  <c r="AY67" i="9"/>
  <c r="BL55" i="9"/>
  <c r="BL68" i="9" s="1"/>
  <c r="BF67" i="9"/>
  <c r="BT67" i="9"/>
  <c r="BE55" i="9"/>
  <c r="BE68" i="9" s="1"/>
  <c r="BR55" i="9"/>
  <c r="BR68" i="9" s="1"/>
  <c r="BS55" i="9"/>
  <c r="BS68" i="9" s="1"/>
  <c r="BM55" i="9"/>
  <c r="BM68" i="9" s="1"/>
  <c r="BT28" i="3" a="1"/>
  <c r="BT28" i="3" s="1"/>
  <c r="BT30" i="3" s="1"/>
  <c r="BO55" i="9"/>
  <c r="E175" i="1" s="1" a="1"/>
  <c r="E175" i="1" s="1"/>
  <c r="P26" i="32" s="1"/>
  <c r="V67" i="9"/>
  <c r="BD55" i="9"/>
  <c r="BD68" i="9" s="1"/>
  <c r="BJ55" i="9"/>
  <c r="BJ68" i="9" s="1"/>
  <c r="AM67" i="9"/>
  <c r="Z67" i="9"/>
  <c r="BN55" i="9"/>
  <c r="BN68" i="9" s="1"/>
  <c r="AH67" i="9"/>
  <c r="R67" i="9"/>
  <c r="AV67" i="9"/>
  <c r="S67" i="9"/>
  <c r="P28" i="3" a="1"/>
  <c r="P28" i="3" s="1"/>
  <c r="P30" i="3" s="1"/>
  <c r="P32" i="3" s="1"/>
  <c r="Q28" i="3" a="1"/>
  <c r="Q28" i="3" s="1"/>
  <c r="Q30" i="3" s="1"/>
  <c r="Q32" i="3" s="1"/>
  <c r="AK28" i="3" a="1"/>
  <c r="AK28" i="3" s="1"/>
  <c r="AK30" i="3" s="1"/>
  <c r="AK32" i="3" s="1"/>
  <c r="U28" i="3" a="1"/>
  <c r="U28" i="3" s="1"/>
  <c r="U30" i="3" s="1"/>
  <c r="U32" i="3" s="1"/>
  <c r="J28" i="3" a="1"/>
  <c r="J28" i="3" s="1"/>
  <c r="J30" i="3" s="1"/>
  <c r="J32" i="3" s="1"/>
  <c r="AC28" i="3" a="1"/>
  <c r="AC28" i="3" s="1"/>
  <c r="AC30" i="3" s="1"/>
  <c r="AC32" i="3" s="1"/>
  <c r="I28" i="3" a="1"/>
  <c r="I28" i="3" s="1"/>
  <c r="I30" i="3" s="1"/>
  <c r="I32" i="3" s="1"/>
  <c r="AB28" i="3" a="1"/>
  <c r="AB28" i="3" s="1"/>
  <c r="AB30" i="3" s="1"/>
  <c r="AB32" i="3" s="1"/>
  <c r="AB67" i="9"/>
  <c r="X32" i="3"/>
  <c r="AZ32" i="3"/>
  <c r="AV32" i="3"/>
  <c r="L32" i="3"/>
  <c r="AJ32" i="3"/>
  <c r="BL32" i="3"/>
  <c r="EE67" i="9" l="1"/>
  <c r="DV55" i="9"/>
  <c r="DV68" i="9" s="1"/>
  <c r="DF67" i="9"/>
  <c r="DO55" i="9"/>
  <c r="DO68" i="9" s="1"/>
  <c r="DW28" i="3" a="1"/>
  <c r="DW28" i="3" s="1"/>
  <c r="DW30" i="3" s="1"/>
  <c r="DW67" i="9"/>
  <c r="DW55" i="9"/>
  <c r="DW68" i="9" s="1"/>
  <c r="ED55" i="9"/>
  <c r="ED68" i="9" s="1"/>
  <c r="EE28" i="3" a="1"/>
  <c r="EE28" i="3" s="1"/>
  <c r="EE30" i="3" s="1"/>
  <c r="DX55" i="9"/>
  <c r="DX68" i="9" s="1"/>
  <c r="DP55" i="9"/>
  <c r="DP68" i="9" s="1"/>
  <c r="EA55" i="9"/>
  <c r="EA68" i="9" s="1"/>
  <c r="EB55" i="9"/>
  <c r="EB68" i="9" s="1"/>
  <c r="DT55" i="9"/>
  <c r="DT68" i="9" s="1"/>
  <c r="DL55" i="9"/>
  <c r="DL68" i="9" s="1"/>
  <c r="DU55" i="9"/>
  <c r="DU68" i="9" s="1"/>
  <c r="DC55" i="9"/>
  <c r="DC68" i="9" s="1"/>
  <c r="DR55" i="9"/>
  <c r="DR68" i="9" s="1"/>
  <c r="DN55" i="9"/>
  <c r="DN68" i="9" s="1"/>
  <c r="DM55" i="9"/>
  <c r="DM68" i="9" s="1"/>
  <c r="DO28" i="3" a="1"/>
  <c r="DO28" i="3" s="1"/>
  <c r="DO30" i="3" s="1"/>
  <c r="DD55" i="9"/>
  <c r="DD68" i="9" s="1"/>
  <c r="DO67" i="9"/>
  <c r="DA55" i="9"/>
  <c r="DA68" i="9" s="1"/>
  <c r="DB55" i="9"/>
  <c r="DB68" i="9" s="1"/>
  <c r="DH55" i="9"/>
  <c r="DH68" i="9" s="1"/>
  <c r="DK55" i="9"/>
  <c r="DK68" i="9" s="1"/>
  <c r="DG55" i="9"/>
  <c r="DG68" i="9" s="1"/>
  <c r="DI55" i="9"/>
  <c r="DI68" i="9" s="1"/>
  <c r="DJ55" i="9"/>
  <c r="DJ68" i="9" s="1"/>
  <c r="DF55" i="9"/>
  <c r="DF68" i="9" s="1"/>
  <c r="DS55" i="9"/>
  <c r="DS68" i="9" s="1"/>
  <c r="DQ55" i="9"/>
  <c r="DQ68" i="9" s="1"/>
  <c r="H54" i="9"/>
  <c r="H67" i="9" s="1"/>
  <c r="R24" i="1" s="1" a="1"/>
  <c r="R24" i="1" s="1"/>
  <c r="CX55" i="9"/>
  <c r="CX68" i="9" s="1"/>
  <c r="CU55" i="9"/>
  <c r="CU68" i="9" s="1"/>
  <c r="CV55" i="9"/>
  <c r="CV68" i="9" s="1"/>
  <c r="DG67" i="9"/>
  <c r="CN55" i="9"/>
  <c r="CN68" i="9" s="1"/>
  <c r="CP55" i="9"/>
  <c r="CP68" i="9" s="1"/>
  <c r="CO55" i="9"/>
  <c r="CO68" i="9" s="1"/>
  <c r="CT55" i="9"/>
  <c r="CT68" i="9" s="1"/>
  <c r="CZ28" i="3" a="1"/>
  <c r="CZ28" i="3" s="1"/>
  <c r="CZ30" i="3" s="1"/>
  <c r="CW55" i="9"/>
  <c r="CW68" i="9" s="1"/>
  <c r="DE55" i="9"/>
  <c r="DE68" i="9" s="1"/>
  <c r="CR55" i="9"/>
  <c r="CR68" i="9" s="1"/>
  <c r="CQ55" i="9"/>
  <c r="CQ68" i="9" s="1"/>
  <c r="CS55" i="9"/>
  <c r="CS68" i="9" s="1"/>
  <c r="CY55" i="9"/>
  <c r="CY68" i="9" s="1"/>
  <c r="CZ55" i="9"/>
  <c r="CZ68" i="9" s="1"/>
  <c r="A164" i="1"/>
  <c r="K33" i="31"/>
  <c r="I33" i="31"/>
  <c r="AB55" i="9"/>
  <c r="AB68" i="9" s="1"/>
  <c r="Z55" i="9"/>
  <c r="Z68" i="9" s="1"/>
  <c r="X55" i="9"/>
  <c r="X68" i="9" s="1"/>
  <c r="AC55" i="9"/>
  <c r="AC68" i="9" s="1"/>
  <c r="Y55" i="9"/>
  <c r="Y68" i="9" s="1"/>
  <c r="V55" i="9"/>
  <c r="V68" i="9" s="1"/>
  <c r="AF67" i="9"/>
  <c r="AE55" i="9"/>
  <c r="AE68" i="9" s="1"/>
  <c r="W55" i="9"/>
  <c r="W68" i="9" s="1"/>
  <c r="AA55" i="9"/>
  <c r="AA68" i="9" s="1"/>
  <c r="T55" i="9"/>
  <c r="T68" i="9" s="1"/>
  <c r="AD55" i="9"/>
  <c r="AD68" i="9" s="1"/>
  <c r="U55" i="9"/>
  <c r="U68" i="9" s="1"/>
  <c r="H33" i="31"/>
  <c r="J33" i="31"/>
  <c r="R36" i="32"/>
  <c r="R38" i="32"/>
  <c r="R37" i="32"/>
  <c r="R39" i="32"/>
  <c r="R35" i="32"/>
  <c r="N55" i="9"/>
  <c r="N68" i="9" s="1"/>
  <c r="R55" i="9"/>
  <c r="R68" i="9" s="1"/>
  <c r="H55" i="9"/>
  <c r="H68" i="9" s="1"/>
  <c r="I55" i="9"/>
  <c r="I68" i="9" s="1"/>
  <c r="J55" i="9"/>
  <c r="J68" i="9" s="1"/>
  <c r="M55" i="9"/>
  <c r="M68" i="9" s="1"/>
  <c r="P55" i="9"/>
  <c r="P68" i="9" s="1"/>
  <c r="T67" i="9"/>
  <c r="R5" i="9" s="1" a="1"/>
  <c r="R5" i="9" s="1"/>
  <c r="K55" i="9"/>
  <c r="K68" i="9" s="1"/>
  <c r="L55" i="9"/>
  <c r="L68" i="9" s="1"/>
  <c r="O55" i="9"/>
  <c r="O68" i="9" s="1"/>
  <c r="Q55" i="9"/>
  <c r="Q68" i="9" s="1"/>
  <c r="S55" i="9"/>
  <c r="S68" i="9" s="1"/>
  <c r="AN55" i="9"/>
  <c r="AN68" i="9" s="1"/>
  <c r="AF55" i="9"/>
  <c r="AF68" i="9" s="1"/>
  <c r="AH55" i="9"/>
  <c r="AH68" i="9" s="1"/>
  <c r="AI55" i="9"/>
  <c r="AI68" i="9" s="1"/>
  <c r="AL55" i="9"/>
  <c r="AL68" i="9" s="1"/>
  <c r="AJ55" i="9"/>
  <c r="AJ68" i="9" s="1"/>
  <c r="AP55" i="9"/>
  <c r="AP68" i="9" s="1"/>
  <c r="AM55" i="9"/>
  <c r="AM68" i="9" s="1"/>
  <c r="AR67" i="9"/>
  <c r="AK55" i="9"/>
  <c r="AK68" i="9" s="1"/>
  <c r="AG55" i="9"/>
  <c r="AG68" i="9" s="1"/>
  <c r="AO55" i="9"/>
  <c r="AO68" i="9" s="1"/>
  <c r="AQ55" i="9"/>
  <c r="AQ68" i="9" s="1"/>
  <c r="AR55" i="9"/>
  <c r="AR68" i="9" s="1"/>
  <c r="BC55" i="9"/>
  <c r="BC68" i="9" s="1"/>
  <c r="BB55" i="9"/>
  <c r="BB68" i="9" s="1"/>
  <c r="AW55" i="9"/>
  <c r="AW68" i="9" s="1"/>
  <c r="AY55" i="9"/>
  <c r="AY68" i="9" s="1"/>
  <c r="AT55" i="9"/>
  <c r="AT68" i="9" s="1"/>
  <c r="AU55" i="9"/>
  <c r="AU68" i="9" s="1"/>
  <c r="AV55" i="9"/>
  <c r="AV68" i="9" s="1"/>
  <c r="AX55" i="9"/>
  <c r="AX68" i="9" s="1"/>
  <c r="AZ55" i="9"/>
  <c r="AZ68" i="9" s="1"/>
  <c r="AS55" i="9"/>
  <c r="AS68" i="9" s="1"/>
  <c r="BD67" i="9"/>
  <c r="BA55" i="9"/>
  <c r="BA68" i="9" s="1"/>
  <c r="E177" i="1"/>
  <c r="E179" i="1" s="1"/>
  <c r="P30" i="32" s="1"/>
  <c r="K24" i="30"/>
  <c r="K26" i="30"/>
  <c r="K27" i="30" s="1"/>
  <c r="AF28" i="3" a="1"/>
  <c r="AF28" i="3" s="1"/>
  <c r="AF30" i="3" s="1"/>
  <c r="I35" i="31"/>
  <c r="I37" i="31" s="1"/>
  <c r="T28" i="3" a="1"/>
  <c r="T28" i="3" s="1"/>
  <c r="T30" i="3" s="1"/>
  <c r="H35" i="31"/>
  <c r="H37" i="31" s="1"/>
  <c r="BD28" i="3" a="1"/>
  <c r="BD28" i="3" s="1"/>
  <c r="BD30" i="3" s="1"/>
  <c r="K35" i="31"/>
  <c r="K37" i="31" s="1"/>
  <c r="AR28" i="3" a="1"/>
  <c r="AR28" i="3" s="1"/>
  <c r="AR30" i="3" s="1"/>
  <c r="J35" i="31"/>
  <c r="J37" i="31" s="1"/>
  <c r="DW20" i="3"/>
  <c r="DC20" i="3"/>
  <c r="BO68" i="9"/>
  <c r="R2" i="9" l="1"/>
  <c r="R4" i="9" s="1"/>
  <c r="G35" i="31"/>
  <c r="G37" i="31" s="1"/>
  <c r="L21" i="1"/>
  <c r="H28" i="3" a="1"/>
  <c r="H28" i="3" s="1"/>
  <c r="H30" i="3" s="1"/>
  <c r="L38" i="1" a="1"/>
  <c r="L38" i="1" s="1"/>
  <c r="L34" i="1" s="1"/>
  <c r="BO20" i="3"/>
  <c r="E181" i="1"/>
  <c r="P32" i="32" s="1"/>
  <c r="P28" i="32"/>
  <c r="S35" i="32"/>
  <c r="T35" i="32"/>
  <c r="S39" i="32"/>
  <c r="T39" i="32"/>
  <c r="S37" i="32"/>
  <c r="T37" i="32"/>
  <c r="S38" i="32"/>
  <c r="T38" i="32"/>
  <c r="T36" i="32"/>
  <c r="S36" i="32"/>
  <c r="T32" i="3"/>
  <c r="H6" i="32"/>
  <c r="AR32" i="3"/>
  <c r="J6" i="32"/>
  <c r="AF32" i="3"/>
  <c r="I6" i="32"/>
  <c r="BD32" i="3"/>
  <c r="K6" i="32"/>
  <c r="DW21" i="3"/>
  <c r="DC21" i="3"/>
  <c r="R26" i="1"/>
  <c r="R33" i="1" s="1"/>
  <c r="E180" i="1"/>
  <c r="P31" i="32" s="1"/>
  <c r="BO21" i="3"/>
  <c r="H32" i="3" l="1"/>
  <c r="G6" i="32"/>
  <c r="L35" i="1"/>
  <c r="L36" i="1"/>
  <c r="DW22" i="3"/>
  <c r="DC22" i="3"/>
  <c r="DC32" i="3" s="1"/>
  <c r="BE63" i="3"/>
  <c r="BI63" i="3"/>
  <c r="AM63" i="3"/>
  <c r="AP63" i="3"/>
  <c r="BO22" i="3"/>
  <c r="BO32" i="3" s="1"/>
  <c r="L37" i="1" l="1"/>
  <c r="AN63" i="3" s="1"/>
  <c r="L63" i="3"/>
  <c r="L67" i="3" s="1"/>
  <c r="M62" i="3" s="1"/>
  <c r="K12" i="32"/>
  <c r="DW32" i="3"/>
  <c r="G16" i="32"/>
  <c r="H16" i="32"/>
  <c r="I16" i="32"/>
  <c r="J16" i="32"/>
  <c r="K16" i="32"/>
  <c r="G31" i="1"/>
  <c r="AQ63" i="3"/>
  <c r="S63" i="3"/>
  <c r="AR63" i="3"/>
  <c r="J12" i="32" s="1"/>
  <c r="BI58" i="3"/>
  <c r="BI40" i="3" s="1"/>
  <c r="F53" i="23"/>
  <c r="AV45" i="3" s="1"/>
  <c r="F60" i="23"/>
  <c r="BC45" i="3" s="1"/>
  <c r="F57" i="23"/>
  <c r="AZ45" i="3" s="1"/>
  <c r="F61" i="23"/>
  <c r="BD45" i="3" s="1"/>
  <c r="F58" i="23"/>
  <c r="BA45" i="3" s="1"/>
  <c r="F51" i="23"/>
  <c r="AT45" i="3" s="1"/>
  <c r="F62" i="23"/>
  <c r="BE45" i="3" s="1"/>
  <c r="F55" i="23"/>
  <c r="AX45" i="3" s="1"/>
  <c r="F54" i="23"/>
  <c r="AW45" i="3" s="1"/>
  <c r="F50" i="23"/>
  <c r="AS45" i="3" s="1"/>
  <c r="F59" i="23"/>
  <c r="BB45" i="3" s="1"/>
  <c r="F52" i="23"/>
  <c r="AU45" i="3" s="1"/>
  <c r="F56" i="23"/>
  <c r="AY45" i="3" s="1"/>
  <c r="AP58" i="3"/>
  <c r="AP40" i="3" s="1"/>
  <c r="BE58" i="3"/>
  <c r="BE40" i="3" s="1"/>
  <c r="AM58" i="3"/>
  <c r="AM40" i="3" s="1"/>
  <c r="Y63" i="3" l="1"/>
  <c r="AK63" i="3"/>
  <c r="I12" i="32" s="1"/>
  <c r="L40" i="1"/>
  <c r="E6" i="11"/>
  <c r="E11" i="11" s="1"/>
  <c r="V58" i="3"/>
  <c r="V40" i="3" s="1"/>
  <c r="Y58" i="3"/>
  <c r="Y40" i="3" s="1"/>
  <c r="AE63" i="3"/>
  <c r="V63" i="3"/>
  <c r="R8" i="23"/>
  <c r="Q37" i="23" s="1"/>
  <c r="G12" i="32"/>
  <c r="L58" i="3"/>
  <c r="L40" i="3" s="1"/>
  <c r="AE58" i="3"/>
  <c r="AE40" i="3" s="1"/>
  <c r="F15" i="23"/>
  <c r="J45" i="3" s="1"/>
  <c r="B42" i="3"/>
  <c r="G29" i="1"/>
  <c r="F7" i="1"/>
  <c r="E6" i="6"/>
  <c r="J6" i="6" s="1"/>
  <c r="Q65" i="23"/>
  <c r="CS84" i="3" s="1"/>
  <c r="CS66" i="3" s="1"/>
  <c r="Q66" i="23"/>
  <c r="CT84" i="3" s="1"/>
  <c r="CT66" i="3" s="1"/>
  <c r="Q67" i="23"/>
  <c r="CU84" i="3" s="1"/>
  <c r="CU66" i="3" s="1"/>
  <c r="Q63" i="23"/>
  <c r="P62" i="23"/>
  <c r="Q64" i="23"/>
  <c r="CR84" i="3" s="1"/>
  <c r="CR66" i="3" s="1"/>
  <c r="P65" i="23"/>
  <c r="CS64" i="3" s="1"/>
  <c r="P66" i="23"/>
  <c r="CT64" i="3" s="1"/>
  <c r="Q62" i="23"/>
  <c r="CP84" i="3" s="1"/>
  <c r="CP66" i="3" s="1"/>
  <c r="P64" i="23"/>
  <c r="CR64" i="3" s="1"/>
  <c r="Q61" i="23"/>
  <c r="P61" i="23"/>
  <c r="P63" i="23"/>
  <c r="P67" i="23"/>
  <c r="CU64" i="3" s="1"/>
  <c r="AQ58" i="3"/>
  <c r="AQ40" i="3" s="1"/>
  <c r="S58" i="3"/>
  <c r="S40" i="3" s="1"/>
  <c r="Q57" i="23"/>
  <c r="Q56" i="23"/>
  <c r="Q60" i="23"/>
  <c r="Q59" i="23"/>
  <c r="P57" i="23"/>
  <c r="P56" i="23"/>
  <c r="P59" i="23"/>
  <c r="P55" i="23"/>
  <c r="CV64" i="3" s="1"/>
  <c r="Q55" i="23"/>
  <c r="Q58" i="23"/>
  <c r="P60" i="23"/>
  <c r="P58" i="23"/>
  <c r="EB6" i="11"/>
  <c r="EC6" i="11"/>
  <c r="EF6" i="11"/>
  <c r="EG6" i="11"/>
  <c r="EI6" i="11"/>
  <c r="EJ6" i="11"/>
  <c r="EK6" i="11"/>
  <c r="EA6" i="11"/>
  <c r="ED6" i="11"/>
  <c r="EH6" i="11"/>
  <c r="DZ6" i="11"/>
  <c r="EL6" i="11"/>
  <c r="EE6" i="11"/>
  <c r="EI6" i="6"/>
  <c r="EK6" i="6"/>
  <c r="EH6" i="6"/>
  <c r="DZ6" i="6"/>
  <c r="EL6" i="6"/>
  <c r="EA6" i="6"/>
  <c r="ED6" i="6"/>
  <c r="EC6" i="6"/>
  <c r="EE6" i="6"/>
  <c r="EG6" i="6"/>
  <c r="EF6" i="6"/>
  <c r="EJ6" i="6"/>
  <c r="EB6" i="6"/>
  <c r="F45" i="23"/>
  <c r="AN45" i="3" s="1"/>
  <c r="F38" i="23"/>
  <c r="AG45" i="3" s="1"/>
  <c r="H12" i="23"/>
  <c r="D13" i="23" s="1"/>
  <c r="F41" i="23"/>
  <c r="AJ45" i="3" s="1"/>
  <c r="F17" i="23"/>
  <c r="L45" i="3" s="1"/>
  <c r="F37" i="23"/>
  <c r="AF45" i="3" s="1"/>
  <c r="AR58" i="3"/>
  <c r="AR40" i="3" s="1"/>
  <c r="CN84" i="3" l="1"/>
  <c r="CN66" i="3" s="1"/>
  <c r="CP64" i="3"/>
  <c r="CQ64" i="3"/>
  <c r="CQ84" i="3"/>
  <c r="CQ66" i="3" s="1"/>
  <c r="CO64" i="3"/>
  <c r="CO84" i="3"/>
  <c r="CO66" i="3" s="1"/>
  <c r="AK58" i="3"/>
  <c r="AK40" i="3" s="1"/>
  <c r="AN58" i="3"/>
  <c r="AN40" i="3" s="1"/>
  <c r="CI84" i="3"/>
  <c r="CI66" i="3" s="1"/>
  <c r="CK64" i="3"/>
  <c r="CM84" i="3"/>
  <c r="CM66" i="3" s="1"/>
  <c r="CN64" i="3"/>
  <c r="J6" i="11"/>
  <c r="CL64" i="3"/>
  <c r="CK84" i="3"/>
  <c r="CK66" i="3" s="1"/>
  <c r="CM64" i="3"/>
  <c r="CJ84" i="3"/>
  <c r="CJ66" i="3" s="1"/>
  <c r="CL84" i="3"/>
  <c r="CL66" i="3" s="1"/>
  <c r="CJ64" i="3"/>
  <c r="Q28" i="23"/>
  <c r="Q18" i="23"/>
  <c r="R84" i="3" s="1"/>
  <c r="R66" i="3" s="1"/>
  <c r="P15" i="23"/>
  <c r="O64" i="3" s="1"/>
  <c r="P23" i="23"/>
  <c r="Q25" i="23"/>
  <c r="Q17" i="23"/>
  <c r="Q84" i="3" s="1"/>
  <c r="Q66" i="3" s="1"/>
  <c r="P46" i="23"/>
  <c r="P19" i="23"/>
  <c r="S64" i="3" s="1"/>
  <c r="Q13" i="23"/>
  <c r="M84" i="3" s="1"/>
  <c r="M66" i="3" s="1"/>
  <c r="Q32" i="23"/>
  <c r="P24" i="23"/>
  <c r="Q14" i="23"/>
  <c r="Q36" i="23"/>
  <c r="Q23" i="23"/>
  <c r="Q45" i="23"/>
  <c r="P50" i="23"/>
  <c r="P32" i="23"/>
  <c r="P29" i="23"/>
  <c r="BE64" i="3" s="1"/>
  <c r="P27" i="23"/>
  <c r="AZ64" i="3" s="1"/>
  <c r="Q33" i="23"/>
  <c r="P14" i="23"/>
  <c r="N64" i="3" s="1"/>
  <c r="P44" i="23"/>
  <c r="Q34" i="23"/>
  <c r="Q27" i="23"/>
  <c r="Q31" i="23"/>
  <c r="BD84" i="3" s="1"/>
  <c r="BD66" i="3" s="1"/>
  <c r="Q49" i="23"/>
  <c r="Q26" i="23"/>
  <c r="Q52" i="23"/>
  <c r="CF84" i="3" s="1"/>
  <c r="CF66" i="3" s="1"/>
  <c r="P48" i="23"/>
  <c r="Q48" i="23"/>
  <c r="Q43" i="23"/>
  <c r="P31" i="23"/>
  <c r="Q21" i="23"/>
  <c r="P18" i="23"/>
  <c r="R64" i="3" s="1"/>
  <c r="Q24" i="23"/>
  <c r="AK84" i="3" s="1"/>
  <c r="AK66" i="3" s="1"/>
  <c r="P28" i="23"/>
  <c r="R12" i="23"/>
  <c r="O13" i="23" s="1"/>
  <c r="P41" i="23"/>
  <c r="Q47" i="23"/>
  <c r="Q53" i="23"/>
  <c r="CG84" i="3" s="1"/>
  <c r="CG66" i="3" s="1"/>
  <c r="P53" i="23"/>
  <c r="BZ64" i="3" s="1"/>
  <c r="P45" i="23"/>
  <c r="P20" i="23"/>
  <c r="AG64" i="3" s="1"/>
  <c r="P52" i="23"/>
  <c r="CB64" i="3" s="1"/>
  <c r="Q42" i="23"/>
  <c r="Q16" i="23"/>
  <c r="P84" i="3" s="1"/>
  <c r="P66" i="3" s="1"/>
  <c r="P17" i="23"/>
  <c r="Q64" i="3" s="1"/>
  <c r="P35" i="23"/>
  <c r="Q30" i="23"/>
  <c r="BC84" i="3" s="1"/>
  <c r="BC66" i="3" s="1"/>
  <c r="P49" i="23"/>
  <c r="Q50" i="23"/>
  <c r="P42" i="23"/>
  <c r="Q44" i="23"/>
  <c r="Q41" i="23"/>
  <c r="P26" i="23"/>
  <c r="P34" i="23"/>
  <c r="BG64" i="3" s="1"/>
  <c r="Q22" i="23"/>
  <c r="AI84" i="3" s="1"/>
  <c r="AI66" i="3" s="1"/>
  <c r="P33" i="23"/>
  <c r="Q15" i="23"/>
  <c r="O84" i="3" s="1"/>
  <c r="O66" i="3" s="1"/>
  <c r="P25" i="23"/>
  <c r="Q35" i="23"/>
  <c r="P13" i="23"/>
  <c r="M64" i="3" s="1"/>
  <c r="M67" i="3" s="1"/>
  <c r="N62" i="3" s="1"/>
  <c r="P22" i="23"/>
  <c r="AU64" i="3" s="1"/>
  <c r="Q54" i="23"/>
  <c r="P47" i="23"/>
  <c r="P43" i="23"/>
  <c r="P51" i="23"/>
  <c r="Q19" i="23"/>
  <c r="S84" i="3" s="1"/>
  <c r="S66" i="3" s="1"/>
  <c r="P16" i="23"/>
  <c r="P64" i="3" s="1"/>
  <c r="Q20" i="23"/>
  <c r="Q29" i="23"/>
  <c r="P21" i="23"/>
  <c r="AH64" i="3" s="1"/>
  <c r="P30" i="23"/>
  <c r="Q46" i="23"/>
  <c r="P54" i="23"/>
  <c r="CA64" i="3" s="1"/>
  <c r="F8" i="32"/>
  <c r="P39" i="23"/>
  <c r="Q51" i="23"/>
  <c r="BX84" i="3" s="1"/>
  <c r="BX66" i="3" s="1"/>
  <c r="Q40" i="23"/>
  <c r="P38" i="23"/>
  <c r="BK64" i="3" s="1"/>
  <c r="Q38" i="23"/>
  <c r="P40" i="23"/>
  <c r="Q39" i="23"/>
  <c r="P36" i="23"/>
  <c r="P37" i="23"/>
  <c r="AD84" i="3"/>
  <c r="AD66" i="3" s="1"/>
  <c r="H12" i="32"/>
  <c r="F27" i="23"/>
  <c r="V45" i="3" s="1"/>
  <c r="F35" i="23"/>
  <c r="AD45" i="3" s="1"/>
  <c r="CC84" i="3"/>
  <c r="CC66" i="3" s="1"/>
  <c r="E18" i="6"/>
  <c r="E19" i="6" s="1"/>
  <c r="F12" i="1" s="1"/>
  <c r="CH84" i="3"/>
  <c r="CH66" i="3" s="1"/>
  <c r="CF64" i="3"/>
  <c r="CG64" i="3"/>
  <c r="CE64" i="3"/>
  <c r="CE84" i="3"/>
  <c r="CE66" i="3" s="1"/>
  <c r="CH64" i="3"/>
  <c r="G46" i="3"/>
  <c r="G52" i="3" s="1"/>
  <c r="G53" i="3" s="1"/>
  <c r="F16" i="23"/>
  <c r="K45" i="3" s="1"/>
  <c r="F31" i="23"/>
  <c r="Z45" i="3" s="1"/>
  <c r="F24" i="23"/>
  <c r="S45" i="3" s="1"/>
  <c r="F33" i="23"/>
  <c r="AB45" i="3" s="1"/>
  <c r="F28" i="23"/>
  <c r="W45" i="3" s="1"/>
  <c r="F22" i="23"/>
  <c r="Q45" i="3" s="1"/>
  <c r="F42" i="23"/>
  <c r="AK45" i="3" s="1"/>
  <c r="F32" i="23"/>
  <c r="AA45" i="3" s="1"/>
  <c r="F18" i="23"/>
  <c r="M45" i="3" s="1"/>
  <c r="F36" i="23"/>
  <c r="AE45" i="3" s="1"/>
  <c r="F30" i="23"/>
  <c r="Y45" i="3" s="1"/>
  <c r="F39" i="23"/>
  <c r="AH45" i="3" s="1"/>
  <c r="F44" i="23"/>
  <c r="AM45" i="3" s="1"/>
  <c r="F26" i="23"/>
  <c r="U45" i="3" s="1"/>
  <c r="F13" i="23"/>
  <c r="H45" i="3" s="1"/>
  <c r="F40" i="23"/>
  <c r="AI45" i="3" s="1"/>
  <c r="F25" i="23"/>
  <c r="T45" i="3" s="1"/>
  <c r="G13" i="23"/>
  <c r="H80" i="3" s="1"/>
  <c r="H51" i="3" s="1"/>
  <c r="F47" i="23"/>
  <c r="AP45" i="3" s="1"/>
  <c r="F43" i="23"/>
  <c r="AL45" i="3" s="1"/>
  <c r="F34" i="23"/>
  <c r="AC45" i="3" s="1"/>
  <c r="F21" i="23"/>
  <c r="P45" i="3" s="1"/>
  <c r="F49" i="23"/>
  <c r="AR45" i="3" s="1"/>
  <c r="F23" i="23"/>
  <c r="R45" i="3" s="1"/>
  <c r="F20" i="23"/>
  <c r="O45" i="3" s="1"/>
  <c r="F14" i="23"/>
  <c r="I45" i="3" s="1"/>
  <c r="F19" i="23"/>
  <c r="N45" i="3" s="1"/>
  <c r="F46" i="23"/>
  <c r="AO45" i="3" s="1"/>
  <c r="F48" i="23"/>
  <c r="AQ45" i="3" s="1"/>
  <c r="F29" i="23"/>
  <c r="X45" i="3" s="1"/>
  <c r="CI64" i="3"/>
  <c r="U84" i="3"/>
  <c r="U66" i="3" s="1"/>
  <c r="N84" i="3"/>
  <c r="N66" i="3" s="1"/>
  <c r="Z64" i="3"/>
  <c r="AD64" i="3"/>
  <c r="X84" i="3"/>
  <c r="X66" i="3" s="1"/>
  <c r="AI64" i="3"/>
  <c r="Y64" i="3"/>
  <c r="AE84" i="3"/>
  <c r="AE66" i="3" s="1"/>
  <c r="AA64" i="3"/>
  <c r="W84" i="3"/>
  <c r="W66" i="3" s="1"/>
  <c r="Z84" i="3"/>
  <c r="Z66" i="3" s="1"/>
  <c r="V64" i="3"/>
  <c r="X64" i="3"/>
  <c r="AC84" i="3"/>
  <c r="AC66" i="3" s="1"/>
  <c r="AC64" i="3"/>
  <c r="V84" i="3"/>
  <c r="V66" i="3" s="1"/>
  <c r="AF64" i="3"/>
  <c r="T64" i="3"/>
  <c r="AK64" i="3"/>
  <c r="W64" i="3"/>
  <c r="AA84" i="3"/>
  <c r="AA66" i="3" s="1"/>
  <c r="AJ84" i="3"/>
  <c r="AJ66" i="3" s="1"/>
  <c r="AB64" i="3"/>
  <c r="AG84" i="3"/>
  <c r="AG66" i="3" s="1"/>
  <c r="Y84" i="3"/>
  <c r="Y66" i="3" s="1"/>
  <c r="AJ64" i="3"/>
  <c r="U64" i="3"/>
  <c r="T84" i="3"/>
  <c r="T66" i="3" s="1"/>
  <c r="J11" i="11"/>
  <c r="EF11" i="11"/>
  <c r="EF12" i="11" s="1"/>
  <c r="EC8" i="3" s="1" a="1"/>
  <c r="EC8" i="3" s="1"/>
  <c r="EG11" i="11"/>
  <c r="EG12" i="11" s="1"/>
  <c r="ED8" i="3" s="1" a="1"/>
  <c r="ED8" i="3" s="1"/>
  <c r="EI11" i="11"/>
  <c r="EI12" i="11" s="1"/>
  <c r="EF8" i="3" s="1" a="1"/>
  <c r="EF8" i="3" s="1"/>
  <c r="EA11" i="11"/>
  <c r="EA12" i="11" s="1"/>
  <c r="DX8" i="3" s="1" a="1"/>
  <c r="DX8" i="3" s="1"/>
  <c r="EJ11" i="11"/>
  <c r="EJ12" i="11" s="1"/>
  <c r="EG8" i="3" s="1" a="1"/>
  <c r="EG8" i="3" s="1"/>
  <c r="EK11" i="11"/>
  <c r="EK12" i="11" s="1"/>
  <c r="EH8" i="3" s="1" a="1"/>
  <c r="EH8" i="3" s="1"/>
  <c r="EB11" i="11"/>
  <c r="EB12" i="11" s="1"/>
  <c r="DY8" i="3" s="1" a="1"/>
  <c r="DY8" i="3" s="1"/>
  <c r="EC11" i="11"/>
  <c r="EC12" i="11" s="1"/>
  <c r="DZ8" i="3" s="1" a="1"/>
  <c r="DZ8" i="3" s="1"/>
  <c r="EH11" i="11"/>
  <c r="EH12" i="11" s="1"/>
  <c r="EE8" i="3" s="1" a="1"/>
  <c r="EE8" i="3" s="1"/>
  <c r="EL11" i="11"/>
  <c r="EL12" i="11" s="1"/>
  <c r="DZ11" i="11"/>
  <c r="DZ12" i="11" s="1"/>
  <c r="DW8" i="3" s="1" a="1"/>
  <c r="DW8" i="3" s="1"/>
  <c r="EE11" i="11"/>
  <c r="EE12" i="11" s="1"/>
  <c r="EB8" i="3" s="1" a="1"/>
  <c r="EB8" i="3" s="1"/>
  <c r="ED11" i="11"/>
  <c r="ED12" i="11" s="1"/>
  <c r="EA8" i="3" s="1" a="1"/>
  <c r="EA8" i="3" s="1"/>
  <c r="ED18" i="6"/>
  <c r="ED19" i="6" s="1"/>
  <c r="EA6" i="3" s="1" a="1"/>
  <c r="EA6" i="3" s="1"/>
  <c r="EL18" i="6"/>
  <c r="EL19" i="6" s="1"/>
  <c r="EE18" i="6"/>
  <c r="EE19" i="6" s="1"/>
  <c r="EB6" i="3" s="1" a="1"/>
  <c r="EB6" i="3" s="1"/>
  <c r="EF18" i="6"/>
  <c r="EF19" i="6" s="1"/>
  <c r="EC6" i="3" s="1" a="1"/>
  <c r="EC6" i="3" s="1"/>
  <c r="EJ18" i="6"/>
  <c r="EJ19" i="6" s="1"/>
  <c r="EG6" i="3" s="1" a="1"/>
  <c r="EG6" i="3" s="1"/>
  <c r="EH18" i="6"/>
  <c r="EH19" i="6" s="1"/>
  <c r="EE6" i="3" s="1" a="1"/>
  <c r="EE6" i="3" s="1"/>
  <c r="EC18" i="6"/>
  <c r="EC19" i="6" s="1"/>
  <c r="DZ6" i="3" s="1" a="1"/>
  <c r="DZ6" i="3" s="1"/>
  <c r="DZ18" i="6"/>
  <c r="DZ19" i="6" s="1"/>
  <c r="DW6" i="3" s="1" a="1"/>
  <c r="DW6" i="3" s="1"/>
  <c r="EI18" i="6"/>
  <c r="EI19" i="6" s="1"/>
  <c r="EF6" i="3" s="1" a="1"/>
  <c r="EF6" i="3" s="1"/>
  <c r="EA18" i="6"/>
  <c r="EA19" i="6" s="1"/>
  <c r="DX6" i="3" s="1" a="1"/>
  <c r="DX6" i="3" s="1"/>
  <c r="EB18" i="6"/>
  <c r="EB19" i="6" s="1"/>
  <c r="DY6" i="3" s="1" a="1"/>
  <c r="DY6" i="3" s="1"/>
  <c r="EK18" i="6"/>
  <c r="EK19" i="6" s="1"/>
  <c r="EH6" i="3" s="1" a="1"/>
  <c r="EH6" i="3" s="1"/>
  <c r="EG18" i="6"/>
  <c r="EG19" i="6" s="1"/>
  <c r="ED6" i="3" s="1" a="1"/>
  <c r="ED6" i="3" s="1"/>
  <c r="E12" i="11"/>
  <c r="F14" i="1" s="1"/>
  <c r="BX64" i="3" l="1"/>
  <c r="CB84" i="3"/>
  <c r="CB66" i="3" s="1"/>
  <c r="BR64" i="3"/>
  <c r="BB84" i="3"/>
  <c r="BB66" i="3" s="1"/>
  <c r="BU84" i="3"/>
  <c r="BU66" i="3" s="1"/>
  <c r="BH84" i="3"/>
  <c r="BH66" i="3" s="1"/>
  <c r="BI84" i="3"/>
  <c r="BI66" i="3" s="1"/>
  <c r="BI64" i="3"/>
  <c r="AT84" i="3"/>
  <c r="AT66" i="3" s="1"/>
  <c r="BW84" i="3"/>
  <c r="BW66" i="3" s="1"/>
  <c r="BJ84" i="3"/>
  <c r="BJ66" i="3" s="1"/>
  <c r="CA84" i="3"/>
  <c r="CA66" i="3" s="1"/>
  <c r="CC64" i="3"/>
  <c r="J12" i="11"/>
  <c r="G8" i="3" s="1" a="1"/>
  <c r="G8" i="3" s="1"/>
  <c r="CD84" i="3"/>
  <c r="CD66" i="3" s="1"/>
  <c r="BB64" i="3"/>
  <c r="BE84" i="3"/>
  <c r="BE66" i="3" s="1"/>
  <c r="BW64" i="3"/>
  <c r="BT84" i="3"/>
  <c r="BT66" i="3" s="1"/>
  <c r="BP84" i="3"/>
  <c r="BP66" i="3" s="1"/>
  <c r="BR84" i="3"/>
  <c r="BR66" i="3" s="1"/>
  <c r="BS64" i="3"/>
  <c r="BQ64" i="3"/>
  <c r="AV84" i="3"/>
  <c r="AV66" i="3" s="1"/>
  <c r="CD64" i="3"/>
  <c r="BU64" i="3"/>
  <c r="AX84" i="3"/>
  <c r="AX66" i="3" s="1"/>
  <c r="BF84" i="3"/>
  <c r="BF66" i="3" s="1"/>
  <c r="AV64" i="3"/>
  <c r="BZ84" i="3"/>
  <c r="BZ66" i="3" s="1"/>
  <c r="AZ84" i="3"/>
  <c r="AZ66" i="3" s="1"/>
  <c r="BD64" i="3"/>
  <c r="AU84" i="3"/>
  <c r="AU66" i="3" s="1"/>
  <c r="BA84" i="3"/>
  <c r="BA66" i="3" s="1"/>
  <c r="AL84" i="3"/>
  <c r="AL66" i="3" s="1"/>
  <c r="AO84" i="3"/>
  <c r="AO66" i="3" s="1"/>
  <c r="AP84" i="3"/>
  <c r="AP66" i="3" s="1"/>
  <c r="AY84" i="3"/>
  <c r="AY66" i="3" s="1"/>
  <c r="BL84" i="3"/>
  <c r="BL66" i="3" s="1"/>
  <c r="BY84" i="3"/>
  <c r="BY66" i="3" s="1"/>
  <c r="AW84" i="3"/>
  <c r="AW66" i="3" s="1"/>
  <c r="AT64" i="3"/>
  <c r="BH64" i="3"/>
  <c r="BV64" i="3"/>
  <c r="BT64" i="3"/>
  <c r="AQ84" i="3"/>
  <c r="AQ66" i="3" s="1"/>
  <c r="AQ64" i="3"/>
  <c r="R13" i="23"/>
  <c r="O14" i="23" s="1"/>
  <c r="R14" i="23" s="1"/>
  <c r="O15" i="23" s="1"/>
  <c r="R15" i="23" s="1"/>
  <c r="O16" i="23" s="1"/>
  <c r="R16" i="23" s="1"/>
  <c r="O17" i="23" s="1"/>
  <c r="R17" i="23" s="1"/>
  <c r="O18" i="23" s="1"/>
  <c r="R18" i="23" s="1"/>
  <c r="O19" i="23" s="1"/>
  <c r="R19" i="23" s="1"/>
  <c r="O20" i="23" s="1"/>
  <c r="R20" i="23" s="1"/>
  <c r="O21" i="23" s="1"/>
  <c r="R21" i="23" s="1"/>
  <c r="O22" i="23" s="1"/>
  <c r="R22" i="23" s="1"/>
  <c r="O23" i="23" s="1"/>
  <c r="R23" i="23" s="1"/>
  <c r="O24" i="23" s="1"/>
  <c r="R24" i="23" s="1"/>
  <c r="O25" i="23" s="1"/>
  <c r="R25" i="23" s="1"/>
  <c r="O26" i="23" s="1"/>
  <c r="R26" i="23" s="1"/>
  <c r="O27" i="23" s="1"/>
  <c r="R27" i="23" s="1"/>
  <c r="O28" i="23" s="1"/>
  <c r="R28" i="23" s="1"/>
  <c r="O29" i="23" s="1"/>
  <c r="R29" i="23" s="1"/>
  <c r="O30" i="23" s="1"/>
  <c r="R30" i="23" s="1"/>
  <c r="O31" i="23" s="1"/>
  <c r="R31" i="23" s="1"/>
  <c r="O32" i="23" s="1"/>
  <c r="R32" i="23" s="1"/>
  <c r="O33" i="23" s="1"/>
  <c r="R33" i="23" s="1"/>
  <c r="O34" i="23" s="1"/>
  <c r="R34" i="23" s="1"/>
  <c r="O35" i="23" s="1"/>
  <c r="R35" i="23" s="1"/>
  <c r="O36" i="23" s="1"/>
  <c r="R36" i="23" s="1"/>
  <c r="O37" i="23" s="1"/>
  <c r="R37" i="23" s="1"/>
  <c r="O38" i="23" s="1"/>
  <c r="R38" i="23" s="1"/>
  <c r="O39" i="23" s="1"/>
  <c r="R39" i="23" s="1"/>
  <c r="O40" i="23" s="1"/>
  <c r="R40" i="23" s="1"/>
  <c r="O41" i="23" s="1"/>
  <c r="R41" i="23" s="1"/>
  <c r="O42" i="23" s="1"/>
  <c r="R42" i="23" s="1"/>
  <c r="O43" i="23" s="1"/>
  <c r="R43" i="23" s="1"/>
  <c r="O44" i="23" s="1"/>
  <c r="R44" i="23" s="1"/>
  <c r="O45" i="23" s="1"/>
  <c r="R45" i="23" s="1"/>
  <c r="O46" i="23" s="1"/>
  <c r="R46" i="23" s="1"/>
  <c r="O47" i="23" s="1"/>
  <c r="R47" i="23" s="1"/>
  <c r="O48" i="23" s="1"/>
  <c r="R48" i="23" s="1"/>
  <c r="O49" i="23" s="1"/>
  <c r="R49" i="23" s="1"/>
  <c r="O50" i="23" s="1"/>
  <c r="R50" i="23" s="1"/>
  <c r="O51" i="23" s="1"/>
  <c r="R51" i="23" s="1"/>
  <c r="O52" i="23" s="1"/>
  <c r="R52" i="23" s="1"/>
  <c r="O53" i="23" s="1"/>
  <c r="R53" i="23" s="1"/>
  <c r="O54" i="23" s="1"/>
  <c r="R54" i="23" s="1"/>
  <c r="O55" i="23" s="1"/>
  <c r="R55" i="23" s="1"/>
  <c r="O56" i="23" s="1"/>
  <c r="R56" i="23" s="1"/>
  <c r="O57" i="23" s="1"/>
  <c r="R57" i="23" s="1"/>
  <c r="O58" i="23" s="1"/>
  <c r="R58" i="23" s="1"/>
  <c r="O59" i="23" s="1"/>
  <c r="R59" i="23" s="1"/>
  <c r="O60" i="23" s="1"/>
  <c r="R60" i="23" s="1"/>
  <c r="O61" i="23" s="1"/>
  <c r="R61" i="23" s="1"/>
  <c r="O62" i="23" s="1"/>
  <c r="R62" i="23" s="1"/>
  <c r="O63" i="23" s="1"/>
  <c r="R63" i="23" s="1"/>
  <c r="O64" i="23" s="1"/>
  <c r="R64" i="23" s="1"/>
  <c r="O65" i="23" s="1"/>
  <c r="R65" i="23" s="1"/>
  <c r="O66" i="23" s="1"/>
  <c r="R66" i="23" s="1"/>
  <c r="O67" i="23" s="1"/>
  <c r="R67" i="23" s="1"/>
  <c r="O68" i="23" s="1"/>
  <c r="R68" i="23" s="1"/>
  <c r="O69" i="23" s="1"/>
  <c r="R69" i="23" s="1"/>
  <c r="O70" i="23" s="1"/>
  <c r="R70" i="23" s="1"/>
  <c r="O71" i="23" s="1"/>
  <c r="R71" i="23" s="1"/>
  <c r="O72" i="23" s="1"/>
  <c r="R72" i="23" s="1"/>
  <c r="O73" i="23" s="1"/>
  <c r="R73" i="23" s="1"/>
  <c r="O74" i="23" s="1"/>
  <c r="R74" i="23" s="1"/>
  <c r="O75" i="23" s="1"/>
  <c r="R75" i="23" s="1"/>
  <c r="O76" i="23" s="1"/>
  <c r="R76" i="23" s="1"/>
  <c r="O77" i="23" s="1"/>
  <c r="R77" i="23" s="1"/>
  <c r="O78" i="23" s="1"/>
  <c r="R78" i="23" s="1"/>
  <c r="O79" i="23" s="1"/>
  <c r="R79" i="23" s="1"/>
  <c r="O80" i="23" s="1"/>
  <c r="R80" i="23" s="1"/>
  <c r="O81" i="23" s="1"/>
  <c r="R81" i="23" s="1"/>
  <c r="O82" i="23" s="1"/>
  <c r="R82" i="23" s="1"/>
  <c r="O83" i="23" s="1"/>
  <c r="R83" i="23" s="1"/>
  <c r="O84" i="23" s="1"/>
  <c r="R84" i="23" s="1"/>
  <c r="O85" i="23" s="1"/>
  <c r="R85" i="23" s="1"/>
  <c r="O86" i="23" s="1"/>
  <c r="R86" i="23" s="1"/>
  <c r="O87" i="23" s="1"/>
  <c r="R87" i="23" s="1"/>
  <c r="O88" i="23" s="1"/>
  <c r="R88" i="23" s="1"/>
  <c r="O89" i="23" s="1"/>
  <c r="R89" i="23" s="1"/>
  <c r="O90" i="23" s="1"/>
  <c r="R90" i="23" s="1"/>
  <c r="O91" i="23" s="1"/>
  <c r="R91" i="23" s="1"/>
  <c r="O92" i="23" s="1"/>
  <c r="R92" i="23" s="1"/>
  <c r="O93" i="23" s="1"/>
  <c r="R93" i="23" s="1"/>
  <c r="O94" i="23" s="1"/>
  <c r="R94" i="23" s="1"/>
  <c r="O95" i="23" s="1"/>
  <c r="R95" i="23" s="1"/>
  <c r="BP64" i="3"/>
  <c r="AM64" i="3"/>
  <c r="N67" i="3"/>
  <c r="O62" i="3" s="1"/>
  <c r="O67" i="3" s="1"/>
  <c r="P62" i="3" s="1"/>
  <c r="P67" i="3" s="1"/>
  <c r="Q62" i="3" s="1"/>
  <c r="Q67" i="3" s="1"/>
  <c r="R62" i="3" s="1"/>
  <c r="R67" i="3" s="1"/>
  <c r="S62" i="3" s="1"/>
  <c r="S67" i="3" s="1"/>
  <c r="T62" i="3" s="1"/>
  <c r="T67" i="3" s="1"/>
  <c r="U62" i="3" s="1"/>
  <c r="U67" i="3" s="1"/>
  <c r="V62" i="3" s="1"/>
  <c r="V67" i="3" s="1"/>
  <c r="W62" i="3" s="1"/>
  <c r="W67" i="3" s="1"/>
  <c r="X62" i="3" s="1"/>
  <c r="X67" i="3" s="1"/>
  <c r="Y62" i="3" s="1"/>
  <c r="Y67" i="3" s="1"/>
  <c r="Z62" i="3" s="1"/>
  <c r="Z67" i="3" s="1"/>
  <c r="AA62" i="3" s="1"/>
  <c r="AA67" i="3" s="1"/>
  <c r="AB62" i="3" s="1"/>
  <c r="AB67" i="3" s="1"/>
  <c r="AC62" i="3" s="1"/>
  <c r="AC67" i="3" s="1"/>
  <c r="AD62" i="3" s="1"/>
  <c r="AD67" i="3" s="1"/>
  <c r="AE62" i="3" s="1"/>
  <c r="BL64" i="3"/>
  <c r="BV84" i="3"/>
  <c r="BV66" i="3" s="1"/>
  <c r="AL64" i="3"/>
  <c r="BM64" i="3"/>
  <c r="BM84" i="3"/>
  <c r="BM66" i="3" s="1"/>
  <c r="BG84" i="3"/>
  <c r="BG66" i="3" s="1"/>
  <c r="AP64" i="3"/>
  <c r="AY64" i="3"/>
  <c r="BY64" i="3"/>
  <c r="BS84" i="3"/>
  <c r="BS66" i="3" s="1"/>
  <c r="AX64" i="3"/>
  <c r="BO64" i="3"/>
  <c r="BK84" i="3"/>
  <c r="BK66" i="3" s="1"/>
  <c r="BA64" i="3"/>
  <c r="AR84" i="3"/>
  <c r="AR66" i="3" s="1"/>
  <c r="AR64" i="3"/>
  <c r="BF64" i="3"/>
  <c r="AS64" i="3"/>
  <c r="AS84" i="3"/>
  <c r="AS66" i="3" s="1"/>
  <c r="BN64" i="3"/>
  <c r="AH84" i="3"/>
  <c r="AH66" i="3" s="1"/>
  <c r="AN84" i="3"/>
  <c r="AN66" i="3" s="1"/>
  <c r="BQ84" i="3"/>
  <c r="BQ66" i="3" s="1"/>
  <c r="AW64" i="3"/>
  <c r="BC64" i="3"/>
  <c r="AO64" i="3"/>
  <c r="AM84" i="3"/>
  <c r="AM66" i="3" s="1"/>
  <c r="AN64" i="3"/>
  <c r="AE64" i="3"/>
  <c r="BN84" i="3"/>
  <c r="BN66" i="3" s="1"/>
  <c r="AB84" i="3"/>
  <c r="AB66" i="3" s="1"/>
  <c r="AF84" i="3"/>
  <c r="AF66" i="3" s="1"/>
  <c r="BJ64" i="3"/>
  <c r="BO84" i="3"/>
  <c r="BO66" i="3" s="1"/>
  <c r="J18" i="6"/>
  <c r="J19" i="6" s="1"/>
  <c r="G6" i="3" s="1" a="1"/>
  <c r="G6" i="3" s="1"/>
  <c r="G47" i="3"/>
  <c r="H43" i="3" s="1"/>
  <c r="H44" i="3" s="1"/>
  <c r="E13" i="23" s="1" a="1"/>
  <c r="E13" i="23" s="1"/>
  <c r="H13" i="23" s="1"/>
  <c r="D14" i="23" s="1"/>
  <c r="F10" i="32"/>
  <c r="G13" i="32"/>
  <c r="ED10" i="3"/>
  <c r="ED33" i="3" s="1"/>
  <c r="ED38" i="3" s="1"/>
  <c r="ED39" i="3" s="1"/>
  <c r="EG10" i="3"/>
  <c r="EG33" i="3" s="1"/>
  <c r="EG38" i="3" s="1"/>
  <c r="EG39" i="3" s="1"/>
  <c r="EE10" i="3"/>
  <c r="EE33" i="3" s="1"/>
  <c r="EE38" i="3" s="1"/>
  <c r="EE39" i="3" s="1"/>
  <c r="EC10" i="3"/>
  <c r="EC33" i="3" s="1"/>
  <c r="EC38" i="3" s="1"/>
  <c r="EC39" i="3" s="1"/>
  <c r="EB10" i="3"/>
  <c r="EB33" i="3" s="1"/>
  <c r="EB38" i="3" s="1"/>
  <c r="EB39" i="3" s="1"/>
  <c r="DZ10" i="3"/>
  <c r="DZ33" i="3" s="1"/>
  <c r="DZ38" i="3" s="1"/>
  <c r="EA10" i="3"/>
  <c r="EA33" i="3" s="1"/>
  <c r="EA38" i="3" s="1"/>
  <c r="CZ8" i="3" a="1"/>
  <c r="CZ8" i="3" s="1"/>
  <c r="DA8" i="3" a="1"/>
  <c r="DA8" i="3" s="1"/>
  <c r="DA10" i="3" s="1"/>
  <c r="DA33" i="3" s="1"/>
  <c r="EI8" i="3" a="1"/>
  <c r="EI8" i="3" s="1"/>
  <c r="EH10" i="3"/>
  <c r="EH33" i="3" s="1"/>
  <c r="DY10" i="3"/>
  <c r="DY33" i="3" s="1"/>
  <c r="DX10" i="3"/>
  <c r="DX33" i="3" s="1"/>
  <c r="CZ6" i="3" a="1"/>
  <c r="CZ6" i="3" s="1"/>
  <c r="EI6" i="3" a="1"/>
  <c r="EI6" i="3" s="1"/>
  <c r="EF10" i="3"/>
  <c r="EF33" i="3" s="1"/>
  <c r="DW10" i="3"/>
  <c r="DW33" i="3" s="1"/>
  <c r="G10" i="3" l="1"/>
  <c r="G33" i="3" s="1"/>
  <c r="G39" i="3" s="1"/>
  <c r="H13" i="32"/>
  <c r="AE67" i="3"/>
  <c r="AF62" i="3" s="1"/>
  <c r="AF67" i="3" s="1"/>
  <c r="AG62" i="3" s="1"/>
  <c r="AG67" i="3" s="1"/>
  <c r="AH62" i="3" s="1"/>
  <c r="AH67" i="3" s="1"/>
  <c r="AI62" i="3" s="1"/>
  <c r="AI67" i="3" s="1"/>
  <c r="AJ62" i="3" s="1"/>
  <c r="AJ67" i="3" s="1"/>
  <c r="AK62" i="3" s="1"/>
  <c r="AK67" i="3" s="1"/>
  <c r="AL62" i="3" s="1"/>
  <c r="AL67" i="3" s="1"/>
  <c r="AM62" i="3" s="1"/>
  <c r="AM67" i="3" s="1"/>
  <c r="AN62" i="3" s="1"/>
  <c r="AN67" i="3" s="1"/>
  <c r="AO62" i="3" s="1"/>
  <c r="AO67" i="3" s="1"/>
  <c r="AP62" i="3" s="1"/>
  <c r="AP67" i="3" s="1"/>
  <c r="AQ62" i="3" s="1"/>
  <c r="AQ67" i="3" s="1"/>
  <c r="AR62" i="3" s="1"/>
  <c r="AR67" i="3" s="1"/>
  <c r="AS62" i="3" s="1"/>
  <c r="AS67" i="3" s="1"/>
  <c r="AT62" i="3" s="1"/>
  <c r="AT67" i="3" s="1"/>
  <c r="AU62" i="3" s="1"/>
  <c r="AU67" i="3" s="1"/>
  <c r="AV62" i="3" s="1"/>
  <c r="AV67" i="3" s="1"/>
  <c r="AW62" i="3" s="1"/>
  <c r="AW67" i="3" s="1"/>
  <c r="AX62" i="3" s="1"/>
  <c r="AX67" i="3" s="1"/>
  <c r="AY62" i="3" s="1"/>
  <c r="AY67" i="3" s="1"/>
  <c r="AZ62" i="3" s="1"/>
  <c r="AZ67" i="3" s="1"/>
  <c r="BA62" i="3" s="1"/>
  <c r="BA67" i="3" s="1"/>
  <c r="BB62" i="3" s="1"/>
  <c r="BB67" i="3" s="1"/>
  <c r="BC62" i="3" s="1"/>
  <c r="BC67" i="3" s="1"/>
  <c r="BD62" i="3" s="1"/>
  <c r="BD67" i="3" s="1"/>
  <c r="BE62" i="3" s="1"/>
  <c r="BE67" i="3" s="1"/>
  <c r="BF62" i="3" s="1"/>
  <c r="BF67" i="3" s="1"/>
  <c r="BG62" i="3" s="1"/>
  <c r="BG67" i="3" s="1"/>
  <c r="BH62" i="3" s="1"/>
  <c r="BH67" i="3" s="1"/>
  <c r="BI62" i="3" s="1"/>
  <c r="BI67" i="3" s="1"/>
  <c r="BJ62" i="3" s="1"/>
  <c r="BJ67" i="3" s="1"/>
  <c r="BK62" i="3" s="1"/>
  <c r="BK67" i="3" s="1"/>
  <c r="BL62" i="3" s="1"/>
  <c r="BL67" i="3" s="1"/>
  <c r="BM62" i="3" s="1"/>
  <c r="BM67" i="3" s="1"/>
  <c r="BN62" i="3" s="1"/>
  <c r="BN67" i="3" s="1"/>
  <c r="BO62" i="3" s="1"/>
  <c r="J13" i="32"/>
  <c r="K13" i="32"/>
  <c r="I13" i="32"/>
  <c r="G14" i="23"/>
  <c r="I80" i="3" s="1"/>
  <c r="I51" i="3" s="1"/>
  <c r="H46" i="3"/>
  <c r="H52" i="3" s="1"/>
  <c r="H53" i="3" s="1"/>
  <c r="G32" i="3"/>
  <c r="B8" i="3"/>
  <c r="CZ10" i="3"/>
  <c r="CZ33" i="3" s="1"/>
  <c r="CZ38" i="3" s="1"/>
  <c r="CZ39" i="3" s="1"/>
  <c r="EI10" i="3"/>
  <c r="EI33" i="3" s="1"/>
  <c r="EI38" i="3" s="1"/>
  <c r="EI39" i="3" s="1"/>
  <c r="DW38" i="3"/>
  <c r="EF38" i="3"/>
  <c r="EF39" i="3" s="1"/>
  <c r="DY38" i="3"/>
  <c r="DY39" i="3" s="1"/>
  <c r="EH38" i="3"/>
  <c r="EH39" i="3" s="1"/>
  <c r="B6" i="3"/>
  <c r="DX38" i="3"/>
  <c r="DX39" i="3" s="1"/>
  <c r="DA38" i="3"/>
  <c r="DZ39" i="3"/>
  <c r="EA39" i="3"/>
  <c r="G49" i="3"/>
  <c r="F34" i="3" l="1"/>
  <c r="F36" i="3" s="1"/>
  <c r="H49" i="3"/>
  <c r="H47" i="3"/>
  <c r="I43" i="3" s="1"/>
  <c r="I44" i="3" s="1"/>
  <c r="E14" i="23" s="1" a="1"/>
  <c r="E14" i="23" s="1"/>
  <c r="H14" i="23" s="1"/>
  <c r="D15" i="23" s="1"/>
  <c r="F35" i="3"/>
  <c r="B10" i="3"/>
  <c r="F33" i="3"/>
  <c r="DA39" i="3"/>
  <c r="DW39" i="3"/>
  <c r="K21" i="32" l="1"/>
  <c r="G15" i="23"/>
  <c r="J80" i="3" s="1"/>
  <c r="J51" i="3" s="1"/>
  <c r="I46" i="3"/>
  <c r="I52" i="3" l="1"/>
  <c r="I53" i="3" s="1"/>
  <c r="I47" i="3"/>
  <c r="J43" i="3" s="1"/>
  <c r="J44" i="3" s="1"/>
  <c r="E15" i="23" s="1" a="1"/>
  <c r="E15" i="23" s="1"/>
  <c r="H15" i="23" s="1"/>
  <c r="D16" i="23" s="1"/>
  <c r="I49" i="3"/>
  <c r="G16" i="23" l="1"/>
  <c r="K80" i="3" s="1"/>
  <c r="K51" i="3" s="1"/>
  <c r="J46" i="3" l="1"/>
  <c r="J52" i="3" l="1"/>
  <c r="J53" i="3" s="1"/>
  <c r="J47" i="3"/>
  <c r="K43" i="3" s="1"/>
  <c r="K44" i="3" s="1"/>
  <c r="E16" i="23" s="1" a="1"/>
  <c r="E16" i="23" s="1"/>
  <c r="H16" i="23" s="1"/>
  <c r="D17" i="23" s="1"/>
  <c r="J49" i="3"/>
  <c r="G17" i="23" l="1"/>
  <c r="L80" i="3" s="1"/>
  <c r="L51" i="3" s="1"/>
  <c r="K46" i="3"/>
  <c r="K52" i="3" l="1"/>
  <c r="K53" i="3" s="1"/>
  <c r="K49" i="3"/>
  <c r="K47" i="3"/>
  <c r="L43" i="3" s="1"/>
  <c r="L44" i="3" l="1"/>
  <c r="E17" i="23" s="1" a="1"/>
  <c r="E17" i="23" s="1"/>
  <c r="H17" i="23" s="1"/>
  <c r="D18" i="23" s="1"/>
  <c r="G18" i="23" l="1"/>
  <c r="M80" i="3" s="1"/>
  <c r="M51" i="3" s="1"/>
  <c r="L46" i="3"/>
  <c r="L52" i="3" l="1"/>
  <c r="L53" i="3" s="1"/>
  <c r="L47" i="3"/>
  <c r="M43" i="3" s="1"/>
  <c r="M44" i="3" s="1"/>
  <c r="E18" i="23" s="1" a="1"/>
  <c r="E18" i="23" s="1"/>
  <c r="H18" i="23" s="1"/>
  <c r="D19" i="23" s="1"/>
  <c r="L49" i="3"/>
  <c r="G19" i="23" l="1"/>
  <c r="N80" i="3" s="1"/>
  <c r="N51" i="3" s="1"/>
  <c r="M46" i="3"/>
  <c r="M52" i="3" s="1"/>
  <c r="M53" i="3" s="1"/>
  <c r="M47" i="3" l="1"/>
  <c r="N43" i="3" s="1"/>
  <c r="N44" i="3" s="1"/>
  <c r="E19" i="23" s="1" a="1"/>
  <c r="E19" i="23" s="1"/>
  <c r="H19" i="23" s="1"/>
  <c r="D20" i="23" s="1"/>
  <c r="M49" i="3"/>
  <c r="G20" i="23" l="1"/>
  <c r="O80" i="3" s="1"/>
  <c r="O51" i="3" s="1"/>
  <c r="N46" i="3"/>
  <c r="N52" i="3" s="1"/>
  <c r="N53" i="3" s="1"/>
  <c r="N47" i="3" l="1"/>
  <c r="O43" i="3" s="1"/>
  <c r="O44" i="3" s="1"/>
  <c r="E20" i="23" s="1" a="1"/>
  <c r="E20" i="23" s="1"/>
  <c r="H20" i="23" s="1"/>
  <c r="D21" i="23" s="1"/>
  <c r="N49" i="3"/>
  <c r="G21" i="23" l="1"/>
  <c r="P80" i="3" s="1"/>
  <c r="P51" i="3" s="1"/>
  <c r="O46" i="3"/>
  <c r="O52" i="3" s="1"/>
  <c r="O53" i="3" s="1"/>
  <c r="O47" i="3" l="1"/>
  <c r="P43" i="3" s="1"/>
  <c r="P44" i="3" s="1"/>
  <c r="E21" i="23" s="1" a="1"/>
  <c r="E21" i="23" s="1"/>
  <c r="H21" i="23" s="1"/>
  <c r="D22" i="23" s="1"/>
  <c r="O49" i="3"/>
  <c r="G22" i="23" l="1"/>
  <c r="Q80" i="3" s="1"/>
  <c r="Q51" i="3" s="1"/>
  <c r="P46" i="3" l="1"/>
  <c r="P52" i="3" s="1"/>
  <c r="P53" i="3" s="1"/>
  <c r="P49" i="3" l="1"/>
  <c r="P47" i="3"/>
  <c r="Q43" i="3" s="1"/>
  <c r="Q44" i="3" s="1"/>
  <c r="E22" i="23" s="1" a="1"/>
  <c r="E22" i="23" s="1"/>
  <c r="H22" i="23" s="1"/>
  <c r="D23" i="23" s="1"/>
  <c r="G23" i="23" l="1"/>
  <c r="R80" i="3" s="1"/>
  <c r="R51" i="3" s="1"/>
  <c r="Q46" i="3"/>
  <c r="Q52" i="3" s="1"/>
  <c r="Q53" i="3" s="1"/>
  <c r="Q47" i="3" l="1"/>
  <c r="R43" i="3" s="1"/>
  <c r="R44" i="3" s="1"/>
  <c r="E23" i="23" s="1" a="1"/>
  <c r="E23" i="23" s="1"/>
  <c r="H23" i="23" s="1"/>
  <c r="D24" i="23" s="1"/>
  <c r="Q49" i="3"/>
  <c r="G24" i="23" l="1"/>
  <c r="S80" i="3" s="1"/>
  <c r="S51" i="3" s="1"/>
  <c r="R46" i="3" l="1"/>
  <c r="R52" i="3" s="1"/>
  <c r="R53" i="3" s="1"/>
  <c r="R47" i="3" l="1"/>
  <c r="S43" i="3" s="1"/>
  <c r="S44" i="3" s="1"/>
  <c r="E24" i="23" s="1" a="1"/>
  <c r="E24" i="23" s="1"/>
  <c r="H24" i="23" s="1"/>
  <c r="D25" i="23" s="1"/>
  <c r="R49" i="3"/>
  <c r="G25" i="23" l="1"/>
  <c r="T80" i="3" s="1"/>
  <c r="T51" i="3" s="1"/>
  <c r="S46" i="3"/>
  <c r="S52" i="3" s="1"/>
  <c r="S53" i="3" s="1"/>
  <c r="B49" i="3"/>
  <c r="S49" i="3" l="1"/>
  <c r="S47" i="3"/>
  <c r="T43" i="3" s="1"/>
  <c r="T44" i="3" s="1"/>
  <c r="E25" i="23" s="1" a="1"/>
  <c r="E25" i="23" s="1"/>
  <c r="H25" i="23" s="1"/>
  <c r="D26" i="23" s="1"/>
  <c r="G26" i="23" l="1"/>
  <c r="U80" i="3" s="1"/>
  <c r="U51" i="3" s="1"/>
  <c r="T46" i="3"/>
  <c r="T52" i="3" l="1"/>
  <c r="T53" i="3" s="1"/>
  <c r="T47" i="3"/>
  <c r="U43" i="3" s="1"/>
  <c r="U44" i="3" s="1"/>
  <c r="E26" i="23" s="1" a="1"/>
  <c r="E26" i="23" s="1"/>
  <c r="H26" i="23" s="1"/>
  <c r="D27" i="23" s="1"/>
  <c r="T49" i="3"/>
  <c r="G27" i="23" l="1"/>
  <c r="V80" i="3" s="1"/>
  <c r="V51" i="3" s="1"/>
  <c r="U46" i="3"/>
  <c r="U52" i="3" l="1"/>
  <c r="U53" i="3" s="1"/>
  <c r="U49" i="3"/>
  <c r="U47" i="3"/>
  <c r="V43" i="3" s="1"/>
  <c r="V44" i="3" s="1"/>
  <c r="E27" i="23" s="1" a="1"/>
  <c r="E27" i="23" s="1"/>
  <c r="H27" i="23" s="1"/>
  <c r="D28" i="23" s="1"/>
  <c r="G28" i="23" l="1"/>
  <c r="W80" i="3" s="1"/>
  <c r="W51" i="3" s="1"/>
  <c r="G46" i="23"/>
  <c r="AO80" i="3" s="1"/>
  <c r="AO51" i="3" s="1"/>
  <c r="V46" i="3"/>
  <c r="G47" i="23" l="1"/>
  <c r="AP80" i="3" s="1"/>
  <c r="AP51" i="3" s="1"/>
  <c r="V52" i="3"/>
  <c r="V53" i="3" s="1"/>
  <c r="V47" i="3"/>
  <c r="W43" i="3" s="1"/>
  <c r="W44" i="3" s="1"/>
  <c r="E28" i="23" s="1" a="1"/>
  <c r="E28" i="23" s="1"/>
  <c r="H28" i="23" s="1"/>
  <c r="D29" i="23" s="1"/>
  <c r="V49" i="3"/>
  <c r="G29" i="23" l="1"/>
  <c r="X80" i="3" s="1"/>
  <c r="X51" i="3" s="1"/>
  <c r="G48" i="23"/>
  <c r="AQ80" i="3" s="1"/>
  <c r="AQ51" i="3" s="1"/>
  <c r="W46" i="3"/>
  <c r="G49" i="23" l="1"/>
  <c r="AR80" i="3" s="1"/>
  <c r="AR51" i="3" s="1"/>
  <c r="W52" i="3"/>
  <c r="W53" i="3" s="1"/>
  <c r="W49" i="3"/>
  <c r="W47" i="3"/>
  <c r="X43" i="3" s="1"/>
  <c r="X44" i="3" s="1"/>
  <c r="E29" i="23" s="1" a="1"/>
  <c r="E29" i="23" s="1"/>
  <c r="H29" i="23" s="1"/>
  <c r="D30" i="23" s="1"/>
  <c r="G30" i="23" l="1"/>
  <c r="Y80" i="3" s="1"/>
  <c r="Y51" i="3" s="1"/>
  <c r="G50" i="23"/>
  <c r="AS80" i="3" s="1"/>
  <c r="AS51" i="3" s="1"/>
  <c r="X46" i="3"/>
  <c r="G51" i="23" l="1"/>
  <c r="AT80" i="3" s="1"/>
  <c r="AT51" i="3" s="1"/>
  <c r="X52" i="3"/>
  <c r="X53" i="3" s="1"/>
  <c r="X47" i="3"/>
  <c r="Y43" i="3" s="1"/>
  <c r="X49" i="3"/>
  <c r="G52" i="23" l="1"/>
  <c r="AU80" i="3" s="1"/>
  <c r="AU51" i="3" s="1"/>
  <c r="Y44" i="3"/>
  <c r="G53" i="23" l="1"/>
  <c r="AV80" i="3" s="1"/>
  <c r="AV51" i="3" s="1"/>
  <c r="Y46" i="3"/>
  <c r="Y52" i="3" s="1"/>
  <c r="Y53" i="3" s="1"/>
  <c r="E30" i="23" a="1"/>
  <c r="E30" i="23" s="1"/>
  <c r="H30" i="23" s="1"/>
  <c r="D31" i="23" s="1"/>
  <c r="G31" i="23" s="1"/>
  <c r="Z80" i="3" s="1"/>
  <c r="Z51" i="3" s="1"/>
  <c r="Y49" i="3" l="1"/>
  <c r="Y47" i="3"/>
  <c r="Z43" i="3" s="1"/>
  <c r="Z44" i="3" s="1"/>
  <c r="Z46" i="3" s="1"/>
  <c r="G54" i="23"/>
  <c r="AW80" i="3" s="1"/>
  <c r="AW51" i="3" s="1"/>
  <c r="E31" i="23" l="1" a="1"/>
  <c r="E31" i="23" s="1"/>
  <c r="H31" i="23" s="1"/>
  <c r="D32" i="23" s="1"/>
  <c r="G32" i="23" s="1"/>
  <c r="AA80" i="3" s="1"/>
  <c r="AA51" i="3" s="1"/>
  <c r="Z52" i="3"/>
  <c r="Z53" i="3" s="1"/>
  <c r="Z49" i="3"/>
  <c r="Z47" i="3"/>
  <c r="AA43" i="3" s="1"/>
  <c r="AA44" i="3" s="1"/>
  <c r="E32" i="23" s="1" a="1"/>
  <c r="E32" i="23" s="1"/>
  <c r="G55" i="23"/>
  <c r="AX80" i="3" s="1"/>
  <c r="AX51" i="3" s="1"/>
  <c r="H32" i="23" l="1"/>
  <c r="D33" i="23" s="1"/>
  <c r="G33" i="23" s="1"/>
  <c r="AB80" i="3" s="1"/>
  <c r="AB51" i="3" s="1"/>
  <c r="G56" i="23"/>
  <c r="AY80" i="3" s="1"/>
  <c r="AY51" i="3" s="1"/>
  <c r="AA46" i="3"/>
  <c r="AA52" i="3" s="1"/>
  <c r="AA53" i="3" s="1"/>
  <c r="G57" i="23" l="1"/>
  <c r="AZ80" i="3" s="1"/>
  <c r="AZ51" i="3" s="1"/>
  <c r="AA49" i="3"/>
  <c r="AA47" i="3"/>
  <c r="AB43" i="3" s="1"/>
  <c r="AB44" i="3" s="1"/>
  <c r="E33" i="23" s="1" a="1"/>
  <c r="E33" i="23" s="1"/>
  <c r="H33" i="23" s="1"/>
  <c r="D34" i="23" s="1"/>
  <c r="G34" i="23" s="1"/>
  <c r="AC80" i="3" s="1"/>
  <c r="AC51" i="3" s="1"/>
  <c r="G58" i="23" l="1"/>
  <c r="BA80" i="3" s="1"/>
  <c r="BA51" i="3" s="1"/>
  <c r="G59" i="23" l="1"/>
  <c r="BB80" i="3" s="1"/>
  <c r="BB51" i="3" s="1"/>
  <c r="AB46" i="3"/>
  <c r="AB52" i="3" s="1"/>
  <c r="AB53" i="3" s="1"/>
  <c r="G60" i="23" l="1"/>
  <c r="BC80" i="3" s="1"/>
  <c r="BC51" i="3" s="1"/>
  <c r="AB49" i="3"/>
  <c r="AB47" i="3"/>
  <c r="AC43" i="3" s="1"/>
  <c r="AC44" i="3" s="1"/>
  <c r="E34" i="23" s="1" a="1"/>
  <c r="E34" i="23" s="1"/>
  <c r="H34" i="23" s="1"/>
  <c r="D35" i="23" s="1"/>
  <c r="G35" i="23" s="1"/>
  <c r="AD80" i="3" s="1"/>
  <c r="AD51" i="3" s="1"/>
  <c r="G61" i="23" l="1"/>
  <c r="BD80" i="3" s="1"/>
  <c r="BD51" i="3" s="1"/>
  <c r="G62" i="23" l="1"/>
  <c r="BE80" i="3" s="1"/>
  <c r="BE51" i="3" s="1"/>
  <c r="AC46" i="3"/>
  <c r="AC52" i="3" s="1"/>
  <c r="AC53" i="3" s="1"/>
  <c r="G63" i="23" l="1"/>
  <c r="BF80" i="3" s="1"/>
  <c r="BF51" i="3" s="1"/>
  <c r="AC49" i="3"/>
  <c r="AC47" i="3"/>
  <c r="AD43" i="3" s="1"/>
  <c r="AD44" i="3" s="1"/>
  <c r="E35" i="23" s="1" a="1"/>
  <c r="E35" i="23" s="1"/>
  <c r="H35" i="23" s="1"/>
  <c r="D36" i="23" s="1"/>
  <c r="G36" i="23" s="1"/>
  <c r="AE80" i="3" s="1"/>
  <c r="AE51" i="3" s="1"/>
  <c r="G64" i="23" l="1"/>
  <c r="BG80" i="3" s="1"/>
  <c r="BG51" i="3" s="1"/>
  <c r="G65" i="23" l="1"/>
  <c r="BH80" i="3" s="1"/>
  <c r="BH51" i="3" s="1"/>
  <c r="AD46" i="3"/>
  <c r="AD52" i="3" s="1"/>
  <c r="AD53" i="3" s="1"/>
  <c r="G66" i="23" l="1"/>
  <c r="BI80" i="3" s="1"/>
  <c r="BI51" i="3" s="1"/>
  <c r="AD49" i="3"/>
  <c r="AD47" i="3"/>
  <c r="AE43" i="3" s="1"/>
  <c r="AE44" i="3" s="1"/>
  <c r="E36" i="23" s="1" a="1"/>
  <c r="E36" i="23" s="1"/>
  <c r="H36" i="23" s="1"/>
  <c r="D37" i="23" s="1"/>
  <c r="G37" i="23" s="1"/>
  <c r="AF80" i="3" s="1"/>
  <c r="AF51" i="3" s="1"/>
  <c r="G67" i="23" l="1"/>
  <c r="BJ80" i="3" s="1"/>
  <c r="BJ51" i="3" s="1"/>
  <c r="G68" i="23" l="1"/>
  <c r="BK80" i="3" s="1"/>
  <c r="BK51" i="3" s="1"/>
  <c r="AE46" i="3"/>
  <c r="AE52" i="3" s="1"/>
  <c r="AE53" i="3" s="1"/>
  <c r="G69" i="23" l="1"/>
  <c r="BL80" i="3" s="1"/>
  <c r="BL51" i="3" s="1"/>
  <c r="AE49" i="3"/>
  <c r="AE47" i="3"/>
  <c r="AF43" i="3" s="1"/>
  <c r="AF44" i="3" s="1"/>
  <c r="E37" i="23" s="1" a="1"/>
  <c r="E37" i="23" s="1"/>
  <c r="H37" i="23" s="1"/>
  <c r="D38" i="23" s="1"/>
  <c r="G38" i="23" s="1"/>
  <c r="AG80" i="3" s="1"/>
  <c r="AG51" i="3" s="1"/>
  <c r="G70" i="23" l="1"/>
  <c r="BM80" i="3" s="1"/>
  <c r="BM51" i="3" s="1"/>
  <c r="G71" i="23" l="1"/>
  <c r="BN80" i="3" s="1"/>
  <c r="BN51" i="3" s="1"/>
  <c r="G9" i="32"/>
  <c r="H9" i="32"/>
  <c r="J9" i="32"/>
  <c r="D73" i="23"/>
  <c r="AF46" i="3"/>
  <c r="D74" i="23" l="1"/>
  <c r="G72" i="23"/>
  <c r="BO80" i="3" s="1"/>
  <c r="BO51" i="3" s="1"/>
  <c r="K9" i="32" s="1"/>
  <c r="AF52" i="3"/>
  <c r="AF53" i="3" s="1"/>
  <c r="AF49" i="3"/>
  <c r="AF47" i="3"/>
  <c r="AG43" i="3" s="1"/>
  <c r="AG44" i="3" s="1"/>
  <c r="E38" i="23" s="1" a="1"/>
  <c r="E38" i="23" s="1"/>
  <c r="H38" i="23" s="1"/>
  <c r="D39" i="23" s="1"/>
  <c r="G39" i="23" s="1"/>
  <c r="AH80" i="3" s="1"/>
  <c r="AH51" i="3" s="1"/>
  <c r="D75" i="23" l="1"/>
  <c r="AG46" i="3"/>
  <c r="D76" i="23" l="1"/>
  <c r="AG52" i="3"/>
  <c r="AG53" i="3" s="1"/>
  <c r="AG49" i="3"/>
  <c r="AG47" i="3"/>
  <c r="AH43" i="3" s="1"/>
  <c r="AH44" i="3" s="1"/>
  <c r="E39" i="23" s="1" a="1"/>
  <c r="E39" i="23" s="1"/>
  <c r="H39" i="23" s="1"/>
  <c r="D40" i="23" s="1"/>
  <c r="G40" i="23" s="1"/>
  <c r="AI80" i="3" s="1"/>
  <c r="AI51" i="3" s="1"/>
  <c r="D77" i="23" l="1"/>
  <c r="AH46" i="3"/>
  <c r="D78" i="23" l="1"/>
  <c r="AH52" i="3"/>
  <c r="AH53" i="3" s="1"/>
  <c r="AH49" i="3"/>
  <c r="AH47" i="3"/>
  <c r="AI43" i="3" s="1"/>
  <c r="AI44" i="3" s="1"/>
  <c r="E40" i="23" s="1" a="1"/>
  <c r="E40" i="23" s="1"/>
  <c r="H40" i="23" s="1"/>
  <c r="D41" i="23" s="1"/>
  <c r="G41" i="23" s="1"/>
  <c r="AJ80" i="3" s="1"/>
  <c r="AJ51" i="3" s="1"/>
  <c r="D79" i="23" l="1"/>
  <c r="AI46" i="3"/>
  <c r="D80" i="23" l="1"/>
  <c r="AI52" i="3"/>
  <c r="AI53" i="3" s="1"/>
  <c r="AI49" i="3"/>
  <c r="AI47" i="3"/>
  <c r="AJ43" i="3" s="1"/>
  <c r="AJ44" i="3" s="1"/>
  <c r="E41" i="23" s="1" a="1"/>
  <c r="E41" i="23" s="1"/>
  <c r="H41" i="23" s="1"/>
  <c r="D42" i="23" s="1"/>
  <c r="G42" i="23" s="1"/>
  <c r="AK80" i="3" s="1"/>
  <c r="AK51" i="3" s="1"/>
  <c r="D81" i="23" l="1"/>
  <c r="AJ46" i="3"/>
  <c r="D82" i="23" l="1"/>
  <c r="AJ52" i="3"/>
  <c r="AJ53" i="3" s="1"/>
  <c r="AJ49" i="3"/>
  <c r="AJ47" i="3"/>
  <c r="AK43" i="3" s="1"/>
  <c r="AK44" i="3" s="1"/>
  <c r="E42" i="23" s="1" a="1"/>
  <c r="E42" i="23" s="1"/>
  <c r="H42" i="23" s="1"/>
  <c r="D43" i="23" s="1"/>
  <c r="G43" i="23" s="1"/>
  <c r="AL80" i="3" s="1"/>
  <c r="AL51" i="3" s="1"/>
  <c r="D83" i="23" l="1"/>
  <c r="AK46" i="3"/>
  <c r="AK52" i="3" s="1"/>
  <c r="AK53" i="3" s="1"/>
  <c r="D84" i="23" l="1"/>
  <c r="AK49" i="3"/>
  <c r="AK47" i="3"/>
  <c r="AL43" i="3" s="1"/>
  <c r="AL44" i="3" s="1"/>
  <c r="E43" i="23" s="1" a="1"/>
  <c r="E43" i="23" s="1"/>
  <c r="H43" i="23" s="1"/>
  <c r="D44" i="23" s="1"/>
  <c r="G44" i="23" s="1"/>
  <c r="AM80" i="3" s="1"/>
  <c r="AM51" i="3" s="1"/>
  <c r="D85" i="23" l="1"/>
  <c r="AL46" i="3"/>
  <c r="AL52" i="3" s="1"/>
  <c r="AL53" i="3" s="1"/>
  <c r="D86" i="23" l="1"/>
  <c r="AL49" i="3"/>
  <c r="AL47" i="3"/>
  <c r="AM43" i="3" s="1"/>
  <c r="AM44" i="3" s="1"/>
  <c r="E44" i="23" s="1" a="1"/>
  <c r="E44" i="23" s="1"/>
  <c r="H44" i="23" s="1"/>
  <c r="D45" i="23" s="1"/>
  <c r="G45" i="23" s="1"/>
  <c r="AN80" i="3" s="1"/>
  <c r="AN51" i="3" s="1"/>
  <c r="I9" i="32" s="1"/>
  <c r="D87" i="23" l="1"/>
  <c r="AM46" i="3"/>
  <c r="AM52" i="3" s="1"/>
  <c r="AM53" i="3" s="1"/>
  <c r="D88" i="23" l="1"/>
  <c r="AM49" i="3"/>
  <c r="AM47" i="3"/>
  <c r="AN43" i="3" s="1"/>
  <c r="AN44" i="3" s="1"/>
  <c r="E45" i="23" s="1" a="1"/>
  <c r="E45" i="23" s="1"/>
  <c r="H45" i="23" s="1"/>
  <c r="D46" i="23" s="1"/>
  <c r="D89" i="23" l="1"/>
  <c r="AN46" i="3"/>
  <c r="AN52" i="3" s="1"/>
  <c r="AN53" i="3" s="1"/>
  <c r="D90" i="23" l="1"/>
  <c r="AN49" i="3"/>
  <c r="AN47" i="3"/>
  <c r="AO43" i="3" s="1"/>
  <c r="AO44" i="3" s="1"/>
  <c r="E46" i="23" s="1" a="1"/>
  <c r="E46" i="23" s="1"/>
  <c r="H46" i="23" s="1"/>
  <c r="D47" i="23" s="1"/>
  <c r="D91" i="23" l="1"/>
  <c r="AO46" i="3"/>
  <c r="AO52" i="3" s="1"/>
  <c r="AO53" i="3" s="1"/>
  <c r="D92" i="23" l="1"/>
  <c r="AO49" i="3"/>
  <c r="AO47" i="3"/>
  <c r="AP43" i="3" s="1"/>
  <c r="AP44" i="3" s="1"/>
  <c r="E47" i="23" s="1" a="1"/>
  <c r="E47" i="23" s="1"/>
  <c r="H47" i="23" s="1"/>
  <c r="D48" i="23" s="1"/>
  <c r="D93" i="23" l="1"/>
  <c r="AP46" i="3"/>
  <c r="AP52" i="3" s="1"/>
  <c r="AP53" i="3" s="1"/>
  <c r="D94" i="23" l="1"/>
  <c r="AP49" i="3"/>
  <c r="AP47" i="3"/>
  <c r="AQ43" i="3" s="1"/>
  <c r="AQ44" i="3" s="1"/>
  <c r="E48" i="23" s="1" a="1"/>
  <c r="E48" i="23" s="1"/>
  <c r="H48" i="23" s="1"/>
  <c r="D49" i="23" s="1"/>
  <c r="D95" i="23" l="1"/>
  <c r="AQ46" i="3"/>
  <c r="AQ52" i="3" s="1"/>
  <c r="AQ53" i="3" s="1"/>
  <c r="D96" i="23" l="1"/>
  <c r="AQ49" i="3"/>
  <c r="AQ47" i="3"/>
  <c r="AR43" i="3" s="1"/>
  <c r="AR44" i="3" s="1"/>
  <c r="E49" i="23" s="1" a="1"/>
  <c r="E49" i="23" s="1"/>
  <c r="H49" i="23" s="1"/>
  <c r="D50" i="23" s="1"/>
  <c r="D97" i="23" l="1"/>
  <c r="AR46" i="3"/>
  <c r="D98" i="23" l="1"/>
  <c r="AR52" i="3"/>
  <c r="AR53" i="3" s="1"/>
  <c r="AR49" i="3"/>
  <c r="AR47" i="3"/>
  <c r="AS43" i="3" s="1"/>
  <c r="AS44" i="3" s="1"/>
  <c r="E50" i="23" s="1" a="1"/>
  <c r="E50" i="23" s="1"/>
  <c r="H50" i="23" s="1"/>
  <c r="D51" i="23" s="1"/>
  <c r="D99" i="23" l="1"/>
  <c r="AS46" i="3"/>
  <c r="D100" i="23" l="1"/>
  <c r="AS52" i="3"/>
  <c r="AS53" i="3" s="1"/>
  <c r="AS49" i="3"/>
  <c r="AS47" i="3"/>
  <c r="AT43" i="3" s="1"/>
  <c r="AT44" i="3" s="1"/>
  <c r="E51" i="23" s="1" a="1"/>
  <c r="E51" i="23" s="1"/>
  <c r="H51" i="23" s="1"/>
  <c r="D52" i="23" s="1"/>
  <c r="D101" i="23" l="1"/>
  <c r="AT46" i="3"/>
  <c r="D102" i="23" l="1"/>
  <c r="AT52" i="3"/>
  <c r="AT53" i="3" s="1"/>
  <c r="AT49" i="3"/>
  <c r="AT47" i="3"/>
  <c r="AU43" i="3" s="1"/>
  <c r="AU44" i="3" s="1"/>
  <c r="E52" i="23" s="1" a="1"/>
  <c r="E52" i="23" s="1"/>
  <c r="H52" i="23" s="1"/>
  <c r="D53" i="23" s="1"/>
  <c r="D103" i="23" l="1"/>
  <c r="AU46" i="3"/>
  <c r="D104" i="23" l="1"/>
  <c r="AU52" i="3"/>
  <c r="AU53" i="3" s="1"/>
  <c r="AU49" i="3"/>
  <c r="AU47" i="3"/>
  <c r="AV43" i="3" s="1"/>
  <c r="AV44" i="3" s="1"/>
  <c r="E53" i="23" s="1" a="1"/>
  <c r="E53" i="23" s="1"/>
  <c r="H53" i="23" s="1"/>
  <c r="D54" i="23" s="1"/>
  <c r="D105" i="23" l="1"/>
  <c r="AV46" i="3"/>
  <c r="D106" i="23" l="1"/>
  <c r="AV52" i="3"/>
  <c r="AV53" i="3" s="1"/>
  <c r="AV49" i="3"/>
  <c r="AV47" i="3"/>
  <c r="AW43" i="3" s="1"/>
  <c r="AW44" i="3" s="1"/>
  <c r="E54" i="23" s="1" a="1"/>
  <c r="E54" i="23" s="1"/>
  <c r="H54" i="23" s="1"/>
  <c r="D55" i="23" s="1"/>
  <c r="D107" i="23" l="1"/>
  <c r="AW46" i="3"/>
  <c r="AW52" i="3" s="1"/>
  <c r="AW53" i="3" s="1"/>
  <c r="D108" i="23" l="1"/>
  <c r="AW49" i="3"/>
  <c r="AW47" i="3"/>
  <c r="AX43" i="3" s="1"/>
  <c r="AX44" i="3" s="1"/>
  <c r="E55" i="23" s="1" a="1"/>
  <c r="E55" i="23" s="1"/>
  <c r="H55" i="23" s="1"/>
  <c r="D56" i="23" s="1"/>
  <c r="AX46" i="3" l="1"/>
  <c r="AX52" i="3" s="1"/>
  <c r="AX53" i="3" s="1"/>
  <c r="AX49" i="3" l="1"/>
  <c r="AX47" i="3"/>
  <c r="AY43" i="3" s="1"/>
  <c r="AY44" i="3" s="1"/>
  <c r="E56" i="23" s="1" a="1"/>
  <c r="E56" i="23" s="1"/>
  <c r="H56" i="23" s="1"/>
  <c r="D57" i="23" s="1"/>
  <c r="AY46" i="3" l="1"/>
  <c r="AY52" i="3" s="1"/>
  <c r="AY53" i="3" s="1"/>
  <c r="AY49" i="3" l="1"/>
  <c r="AY47" i="3"/>
  <c r="AZ43" i="3" s="1"/>
  <c r="AZ44" i="3" s="1"/>
  <c r="E57" i="23" s="1" a="1"/>
  <c r="E57" i="23" s="1"/>
  <c r="H57" i="23" s="1"/>
  <c r="D58" i="23" s="1"/>
  <c r="AZ46" i="3" l="1"/>
  <c r="AZ52" i="3" s="1"/>
  <c r="AZ53" i="3" s="1"/>
  <c r="AZ49" i="3" l="1"/>
  <c r="AZ47" i="3"/>
  <c r="BA43" i="3" s="1"/>
  <c r="BA44" i="3" s="1"/>
  <c r="E58" i="23" s="1" a="1"/>
  <c r="E58" i="23" s="1"/>
  <c r="H58" i="23" s="1"/>
  <c r="D59" i="23" s="1"/>
  <c r="BA46" i="3" l="1"/>
  <c r="BA52" i="3" s="1"/>
  <c r="BA53" i="3" s="1"/>
  <c r="BA49" i="3" l="1"/>
  <c r="BA47" i="3"/>
  <c r="BB43" i="3" s="1"/>
  <c r="BB44" i="3" s="1"/>
  <c r="E59" i="23" s="1" a="1"/>
  <c r="E59" i="23" s="1"/>
  <c r="H59" i="23" s="1"/>
  <c r="D60" i="23" s="1"/>
  <c r="BB46" i="3" l="1"/>
  <c r="BB52" i="3" s="1"/>
  <c r="BB53" i="3" s="1"/>
  <c r="BB49" i="3" l="1"/>
  <c r="BB47" i="3"/>
  <c r="BC43" i="3" s="1"/>
  <c r="BC44" i="3" s="1"/>
  <c r="E60" i="23" s="1" a="1"/>
  <c r="E60" i="23" s="1"/>
  <c r="H60" i="23" s="1"/>
  <c r="D61" i="23" s="1"/>
  <c r="BC46" i="3" l="1"/>
  <c r="BC52" i="3" s="1"/>
  <c r="BC53" i="3" s="1"/>
  <c r="BC49" i="3" l="1"/>
  <c r="BC47" i="3"/>
  <c r="BD43" i="3" s="1"/>
  <c r="BD44" i="3" s="1"/>
  <c r="E61" i="23" s="1" a="1"/>
  <c r="E61" i="23" s="1"/>
  <c r="H61" i="23" s="1"/>
  <c r="D62" i="23" s="1"/>
  <c r="BD46" i="3" l="1"/>
  <c r="BD52" i="3" l="1"/>
  <c r="BD53" i="3" s="1"/>
  <c r="BD49" i="3"/>
  <c r="BD47" i="3"/>
  <c r="BE43" i="3" s="1"/>
  <c r="BE44" i="3" s="1"/>
  <c r="E62" i="23" s="1" a="1"/>
  <c r="E62" i="23" s="1"/>
  <c r="H62" i="23" s="1"/>
  <c r="D63" i="23" s="1"/>
  <c r="BE46" i="3" l="1"/>
  <c r="BE52" i="3" l="1"/>
  <c r="BE53" i="3" s="1"/>
  <c r="BE49" i="3"/>
  <c r="BE47" i="3"/>
  <c r="BF43" i="3" s="1"/>
  <c r="BF44" i="3" s="1"/>
  <c r="E63" i="23" s="1" a="1"/>
  <c r="E63" i="23" s="1"/>
  <c r="H63" i="23" s="1"/>
  <c r="D64" i="23" s="1"/>
  <c r="BF46" i="3" l="1"/>
  <c r="BF52" i="3" l="1"/>
  <c r="BF53" i="3" s="1"/>
  <c r="BF49" i="3"/>
  <c r="BF47" i="3"/>
  <c r="BG43" i="3" s="1"/>
  <c r="BG44" i="3" s="1"/>
  <c r="E64" i="23" s="1" a="1"/>
  <c r="E64" i="23" s="1"/>
  <c r="H64" i="23" s="1"/>
  <c r="D65" i="23" s="1"/>
  <c r="BG46" i="3" l="1"/>
  <c r="BG52" i="3" l="1"/>
  <c r="BG53" i="3" s="1"/>
  <c r="BG49" i="3"/>
  <c r="BG47" i="3"/>
  <c r="BH43" i="3" s="1"/>
  <c r="BH44" i="3" s="1"/>
  <c r="E65" i="23" s="1" a="1"/>
  <c r="E65" i="23" s="1"/>
  <c r="H65" i="23" s="1"/>
  <c r="D66" i="23" s="1"/>
  <c r="BH46" i="3" l="1"/>
  <c r="BH52" i="3" l="1"/>
  <c r="BH53" i="3" s="1"/>
  <c r="BH49" i="3"/>
  <c r="BH47" i="3"/>
  <c r="BI43" i="3" s="1"/>
  <c r="BI44" i="3" s="1"/>
  <c r="E66" i="23" s="1" a="1"/>
  <c r="E66" i="23" s="1"/>
  <c r="H66" i="23" s="1"/>
  <c r="D67" i="23" s="1"/>
  <c r="BI46" i="3" l="1"/>
  <c r="BI52" i="3" s="1"/>
  <c r="BI53" i="3" s="1"/>
  <c r="BI49" i="3" l="1"/>
  <c r="BI47" i="3"/>
  <c r="BJ43" i="3" s="1"/>
  <c r="BJ44" i="3" s="1"/>
  <c r="E67" i="23" s="1" a="1"/>
  <c r="E67" i="23" s="1"/>
  <c r="H67" i="23" s="1"/>
  <c r="D68" i="23" s="1"/>
  <c r="BJ46" i="3" l="1"/>
  <c r="BJ52" i="3" s="1"/>
  <c r="BJ53" i="3" s="1"/>
  <c r="BJ49" i="3" l="1"/>
  <c r="BJ47" i="3"/>
  <c r="BK43" i="3" s="1"/>
  <c r="BK44" i="3" s="1"/>
  <c r="E68" i="23" s="1" a="1"/>
  <c r="E68" i="23" s="1"/>
  <c r="H68" i="23" s="1"/>
  <c r="D69" i="23" s="1"/>
  <c r="BK46" i="3" l="1"/>
  <c r="BK52" i="3" s="1"/>
  <c r="BK53" i="3" s="1"/>
  <c r="BK49" i="3" l="1"/>
  <c r="BK47" i="3"/>
  <c r="BL43" i="3" s="1"/>
  <c r="BL44" i="3" s="1"/>
  <c r="E69" i="23" s="1" a="1"/>
  <c r="E69" i="23" s="1"/>
  <c r="H69" i="23" s="1"/>
  <c r="D70" i="23" s="1"/>
  <c r="BL46" i="3" l="1"/>
  <c r="BL52" i="3" s="1"/>
  <c r="BL53" i="3" s="1"/>
  <c r="BL49" i="3" l="1"/>
  <c r="BL47" i="3"/>
  <c r="BM43" i="3" s="1"/>
  <c r="BM44" i="3" s="1"/>
  <c r="E70" i="23" s="1" a="1"/>
  <c r="E70" i="23" s="1"/>
  <c r="H70" i="23" s="1"/>
  <c r="D71" i="23" s="1"/>
  <c r="BM46" i="3" l="1"/>
  <c r="BM52" i="3" s="1"/>
  <c r="BM53" i="3" s="1"/>
  <c r="BM49" i="3" l="1"/>
  <c r="BM47" i="3"/>
  <c r="BN43" i="3" s="1"/>
  <c r="BN44" i="3" s="1"/>
  <c r="E71" i="23" s="1" a="1"/>
  <c r="E71" i="23" s="1"/>
  <c r="H71" i="23" s="1"/>
  <c r="D72" i="23" s="1"/>
  <c r="BN46" i="3" l="1"/>
  <c r="BN52" i="3" s="1"/>
  <c r="BN53" i="3" s="1"/>
  <c r="BN49" i="3" l="1"/>
  <c r="BN47" i="3"/>
  <c r="BO43" i="3" s="1"/>
  <c r="BO44" i="3" s="1"/>
  <c r="E72" i="23" s="1" a="1"/>
  <c r="E72" i="23" s="1"/>
  <c r="H72" i="23" s="1"/>
  <c r="BO46" i="3" l="1"/>
  <c r="BO52" i="3" l="1"/>
  <c r="BO53" i="3" s="1"/>
  <c r="BO49" i="3"/>
  <c r="BO47" i="3"/>
  <c r="BP43" i="3" s="1"/>
  <c r="BP44" i="3" s="1"/>
  <c r="E73" i="23" s="1" a="1"/>
  <c r="E73" i="23" s="1"/>
  <c r="H73" i="23" s="1"/>
  <c r="BP46" i="3" l="1"/>
  <c r="BP52" i="3" s="1"/>
  <c r="BP53" i="3" s="1"/>
  <c r="BP49" i="3" l="1"/>
  <c r="BP47" i="3"/>
  <c r="BQ43" i="3" s="1"/>
  <c r="BQ44" i="3" s="1"/>
  <c r="E74" i="23" s="1" a="1"/>
  <c r="E74" i="23" s="1"/>
  <c r="H74" i="23" s="1"/>
  <c r="BQ46" i="3" l="1"/>
  <c r="BQ52" i="3" s="1"/>
  <c r="BQ53" i="3" s="1"/>
  <c r="BQ49" i="3" l="1"/>
  <c r="BQ47" i="3"/>
  <c r="BR43" i="3" s="1"/>
  <c r="BR44" i="3" s="1"/>
  <c r="E75" i="23" s="1" a="1"/>
  <c r="E75" i="23" s="1"/>
  <c r="H75" i="23" s="1"/>
  <c r="BR46" i="3" l="1"/>
  <c r="BR52" i="3" s="1"/>
  <c r="BR53" i="3" s="1"/>
  <c r="BR49" i="3" l="1"/>
  <c r="BR47" i="3"/>
  <c r="BS43" i="3" s="1"/>
  <c r="BS44" i="3" s="1"/>
  <c r="E76" i="23" s="1" a="1"/>
  <c r="E76" i="23" s="1"/>
  <c r="H76" i="23" s="1"/>
  <c r="BS46" i="3" l="1"/>
  <c r="BS52" i="3" s="1"/>
  <c r="BS53" i="3" s="1"/>
  <c r="BS49" i="3" l="1"/>
  <c r="BS47" i="3"/>
  <c r="BT43" i="3" s="1"/>
  <c r="BT44" i="3" s="1"/>
  <c r="E77" i="23" s="1" a="1"/>
  <c r="E77" i="23" s="1"/>
  <c r="H77" i="23" s="1"/>
  <c r="BT46" i="3" l="1"/>
  <c r="BT52" i="3" s="1"/>
  <c r="BT53" i="3" s="1"/>
  <c r="BT49" i="3" l="1"/>
  <c r="BT47" i="3"/>
  <c r="BU43" i="3" s="1"/>
  <c r="BU44" i="3" s="1"/>
  <c r="E78" i="23" s="1" a="1"/>
  <c r="E78" i="23" s="1"/>
  <c r="H78" i="23" s="1"/>
  <c r="BU46" i="3" l="1"/>
  <c r="BU52" i="3" s="1"/>
  <c r="BU53" i="3" s="1"/>
  <c r="BU49" i="3" l="1"/>
  <c r="BU47" i="3"/>
  <c r="BV43" i="3" s="1"/>
  <c r="BV44" i="3" s="1"/>
  <c r="E79" i="23" s="1" a="1"/>
  <c r="E79" i="23" s="1"/>
  <c r="H79" i="23" s="1"/>
  <c r="BV46" i="3" l="1"/>
  <c r="BV52" i="3" s="1"/>
  <c r="BV53" i="3" s="1"/>
  <c r="BV49" i="3" l="1"/>
  <c r="BV47" i="3"/>
  <c r="BW43" i="3" s="1"/>
  <c r="BW44" i="3" s="1"/>
  <c r="E80" i="23" s="1" a="1"/>
  <c r="E80" i="23" s="1"/>
  <c r="H80" i="23" s="1"/>
  <c r="BW46" i="3" l="1"/>
  <c r="BW52" i="3" s="1"/>
  <c r="BW53" i="3" s="1"/>
  <c r="BW49" i="3" l="1"/>
  <c r="BW47" i="3"/>
  <c r="BX43" i="3" s="1"/>
  <c r="BX44" i="3" s="1"/>
  <c r="E81" i="23" s="1" a="1"/>
  <c r="E81" i="23" s="1"/>
  <c r="H81" i="23" s="1"/>
  <c r="BX46" i="3" l="1"/>
  <c r="BX52" i="3" s="1"/>
  <c r="BX53" i="3" s="1"/>
  <c r="BX49" i="3" l="1"/>
  <c r="BX47" i="3"/>
  <c r="BY43" i="3" s="1"/>
  <c r="BY44" i="3" s="1"/>
  <c r="E82" i="23" s="1" a="1"/>
  <c r="E82" i="23" s="1"/>
  <c r="H82" i="23" s="1"/>
  <c r="BY46" i="3" l="1"/>
  <c r="BY52" i="3" s="1"/>
  <c r="BY53" i="3" s="1"/>
  <c r="BY49" i="3" l="1"/>
  <c r="BY47" i="3"/>
  <c r="BZ43" i="3" s="1"/>
  <c r="BZ44" i="3" s="1"/>
  <c r="E83" i="23" s="1" a="1"/>
  <c r="E83" i="23" s="1"/>
  <c r="H83" i="23" s="1"/>
  <c r="BZ46" i="3" l="1"/>
  <c r="BZ52" i="3" s="1"/>
  <c r="BZ53" i="3" s="1"/>
  <c r="BZ49" i="3" l="1"/>
  <c r="BZ47" i="3"/>
  <c r="CA43" i="3" s="1"/>
  <c r="CA44" i="3" s="1"/>
  <c r="E84" i="23" s="1" a="1"/>
  <c r="E84" i="23" s="1"/>
  <c r="H84" i="23" s="1"/>
  <c r="CA46" i="3" l="1"/>
  <c r="CA52" i="3" s="1"/>
  <c r="CA53" i="3" s="1"/>
  <c r="CA49" i="3" l="1"/>
  <c r="CA47" i="3"/>
  <c r="CB43" i="3" s="1"/>
  <c r="CB44" i="3" s="1"/>
  <c r="E85" i="23" s="1" a="1"/>
  <c r="E85" i="23" s="1"/>
  <c r="H85" i="23" s="1"/>
  <c r="CB46" i="3" l="1"/>
  <c r="CB52" i="3" s="1"/>
  <c r="CB53" i="3" s="1"/>
  <c r="CB49" i="3" l="1"/>
  <c r="CB47" i="3"/>
  <c r="CC43" i="3" s="1"/>
  <c r="CC44" i="3" s="1"/>
  <c r="E86" i="23" s="1" a="1"/>
  <c r="E86" i="23" s="1"/>
  <c r="H86" i="23" s="1"/>
  <c r="CC46" i="3" l="1"/>
  <c r="CC52" i="3" s="1"/>
  <c r="CC53" i="3" s="1"/>
  <c r="CC49" i="3" l="1"/>
  <c r="CC47" i="3"/>
  <c r="CD43" i="3" s="1"/>
  <c r="CD44" i="3" s="1"/>
  <c r="E87" i="23" s="1" a="1"/>
  <c r="E87" i="23" s="1"/>
  <c r="H87" i="23" s="1"/>
  <c r="CD46" i="3" l="1"/>
  <c r="CD52" i="3" s="1"/>
  <c r="CD53" i="3" s="1"/>
  <c r="CD49" i="3" l="1"/>
  <c r="CD47" i="3"/>
  <c r="CE43" i="3" s="1"/>
  <c r="CE44" i="3" s="1"/>
  <c r="E88" i="23" s="1" a="1"/>
  <c r="E88" i="23" s="1"/>
  <c r="H88" i="23" s="1"/>
  <c r="CE46" i="3" l="1"/>
  <c r="CE52" i="3" s="1"/>
  <c r="CE53" i="3" s="1"/>
  <c r="CE49" i="3" l="1"/>
  <c r="CE47" i="3"/>
  <c r="CF43" i="3" s="1"/>
  <c r="CF44" i="3" s="1"/>
  <c r="E89" i="23" s="1" a="1"/>
  <c r="E89" i="23" s="1"/>
  <c r="H89" i="23" s="1"/>
  <c r="CF46" i="3" l="1"/>
  <c r="CF52" i="3" s="1"/>
  <c r="CF53" i="3" s="1"/>
  <c r="CF49" i="3" l="1"/>
  <c r="CF47" i="3"/>
  <c r="CG43" i="3" s="1"/>
  <c r="CG44" i="3" s="1"/>
  <c r="E90" i="23" s="1" a="1"/>
  <c r="E90" i="23" s="1"/>
  <c r="H90" i="23" s="1"/>
  <c r="CG46" i="3" l="1"/>
  <c r="CG52" i="3" s="1"/>
  <c r="CG53" i="3" s="1"/>
  <c r="CG49" i="3" l="1"/>
  <c r="CG47" i="3"/>
  <c r="CH43" i="3" s="1"/>
  <c r="CH44" i="3" s="1"/>
  <c r="E91" i="23" s="1" a="1"/>
  <c r="E91" i="23" s="1"/>
  <c r="H91" i="23" s="1"/>
  <c r="CH46" i="3" l="1"/>
  <c r="CH52" i="3" s="1"/>
  <c r="CH53" i="3" s="1"/>
  <c r="CH49" i="3" l="1"/>
  <c r="CH47" i="3"/>
  <c r="CI43" i="3" s="1"/>
  <c r="CI44" i="3" s="1"/>
  <c r="E92" i="23" s="1" a="1"/>
  <c r="E92" i="23" s="1"/>
  <c r="H92" i="23" s="1"/>
  <c r="CI46" i="3" l="1"/>
  <c r="CI52" i="3" s="1"/>
  <c r="CI53" i="3" s="1"/>
  <c r="CI49" i="3" l="1"/>
  <c r="CI47" i="3"/>
  <c r="CJ43" i="3" s="1"/>
  <c r="CJ44" i="3" s="1"/>
  <c r="E93" i="23" s="1" a="1"/>
  <c r="E93" i="23" s="1"/>
  <c r="H93" i="23" s="1"/>
  <c r="CJ46" i="3" l="1"/>
  <c r="CJ52" i="3" s="1"/>
  <c r="CJ53" i="3" s="1"/>
  <c r="CJ49" i="3" l="1"/>
  <c r="CJ47" i="3"/>
  <c r="CK43" i="3" s="1"/>
  <c r="CK44" i="3" s="1"/>
  <c r="E94" i="23" s="1" a="1"/>
  <c r="E94" i="23" s="1"/>
  <c r="H94" i="23" s="1"/>
  <c r="CK46" i="3" l="1"/>
  <c r="CK52" i="3" s="1"/>
  <c r="CK53" i="3" s="1"/>
  <c r="CK49" i="3" l="1"/>
  <c r="CK47" i="3"/>
  <c r="CL43" i="3" s="1"/>
  <c r="CL44" i="3" s="1"/>
  <c r="E95" i="23" s="1" a="1"/>
  <c r="E95" i="23" s="1"/>
  <c r="H95" i="23" s="1"/>
  <c r="CL46" i="3" l="1"/>
  <c r="CL52" i="3" s="1"/>
  <c r="CL53" i="3" s="1"/>
  <c r="CL49" i="3" l="1"/>
  <c r="CL47" i="3"/>
  <c r="CM43" i="3" s="1"/>
  <c r="CM44" i="3" s="1"/>
  <c r="E96" i="23" s="1" a="1"/>
  <c r="E96" i="23" s="1"/>
  <c r="H96" i="23" s="1"/>
  <c r="CM46" i="3" l="1"/>
  <c r="CM52" i="3" s="1"/>
  <c r="CM53" i="3" s="1"/>
  <c r="CM49" i="3" l="1"/>
  <c r="CM47" i="3"/>
  <c r="CN43" i="3" s="1"/>
  <c r="CN44" i="3" s="1"/>
  <c r="E97" i="23" s="1" a="1"/>
  <c r="E97" i="23" s="1"/>
  <c r="H97" i="23" s="1"/>
  <c r="CN46" i="3" l="1"/>
  <c r="CN52" i="3" s="1"/>
  <c r="CN53" i="3" s="1"/>
  <c r="CN49" i="3" l="1"/>
  <c r="CN47" i="3"/>
  <c r="CO43" i="3" s="1"/>
  <c r="CO44" i="3" s="1"/>
  <c r="E98" i="23" s="1" a="1"/>
  <c r="E98" i="23" s="1"/>
  <c r="H98" i="23" s="1"/>
  <c r="CO46" i="3" l="1"/>
  <c r="CO52" i="3" s="1"/>
  <c r="CO53" i="3" s="1"/>
  <c r="CO49" i="3" l="1"/>
  <c r="CO47" i="3"/>
  <c r="CP43" i="3" s="1"/>
  <c r="CP44" i="3" s="1"/>
  <c r="E99" i="23" s="1" a="1"/>
  <c r="E99" i="23" s="1"/>
  <c r="H99" i="23" s="1"/>
  <c r="CP46" i="3" l="1"/>
  <c r="CP52" i="3" s="1"/>
  <c r="CP53" i="3" s="1"/>
  <c r="CP49" i="3" l="1"/>
  <c r="CP47" i="3"/>
  <c r="CQ43" i="3" s="1"/>
  <c r="CQ44" i="3" s="1"/>
  <c r="E100" i="23" s="1" a="1"/>
  <c r="E100" i="23" s="1"/>
  <c r="H100" i="23" s="1"/>
  <c r="CQ46" i="3" l="1"/>
  <c r="CQ52" i="3" s="1"/>
  <c r="CQ53" i="3" s="1"/>
  <c r="CQ49" i="3" l="1"/>
  <c r="CQ47" i="3"/>
  <c r="CR43" i="3" s="1"/>
  <c r="CR44" i="3" s="1"/>
  <c r="E101" i="23" s="1" a="1"/>
  <c r="E101" i="23" s="1"/>
  <c r="H101" i="23" s="1"/>
  <c r="CR46" i="3" l="1"/>
  <c r="CR52" i="3" s="1"/>
  <c r="CR53" i="3" s="1"/>
  <c r="CR49" i="3" l="1"/>
  <c r="CR47" i="3"/>
  <c r="CS43" i="3" s="1"/>
  <c r="CS44" i="3" s="1"/>
  <c r="E102" i="23" s="1" a="1"/>
  <c r="E102" i="23" s="1"/>
  <c r="H102" i="23" s="1"/>
  <c r="CS46" i="3" l="1"/>
  <c r="CS52" i="3" s="1"/>
  <c r="CS53" i="3" s="1"/>
  <c r="CS49" i="3" l="1"/>
  <c r="CS47" i="3"/>
  <c r="CT43" i="3" s="1"/>
  <c r="CT44" i="3" s="1"/>
  <c r="E103" i="23" s="1" a="1"/>
  <c r="E103" i="23" s="1"/>
  <c r="H103" i="23" s="1"/>
  <c r="CT46" i="3" l="1"/>
  <c r="CT52" i="3" s="1"/>
  <c r="CT53" i="3" s="1"/>
  <c r="CT49" i="3" l="1"/>
  <c r="CT47" i="3"/>
  <c r="CU43" i="3" s="1"/>
  <c r="CU44" i="3" s="1"/>
  <c r="E104" i="23" s="1" a="1"/>
  <c r="E104" i="23" s="1"/>
  <c r="H104" i="23" s="1"/>
  <c r="CU46" i="3" l="1"/>
  <c r="CU52" i="3" s="1"/>
  <c r="CU53" i="3" s="1"/>
  <c r="CU49" i="3" l="1"/>
  <c r="CU47" i="3"/>
  <c r="CV43" i="3" s="1"/>
  <c r="CV44" i="3" s="1"/>
  <c r="E105" i="23" s="1" a="1"/>
  <c r="E105" i="23" s="1"/>
  <c r="H105" i="23" s="1"/>
  <c r="CV46" i="3" l="1"/>
  <c r="CV52" i="3" s="1"/>
  <c r="CV53" i="3" s="1"/>
  <c r="CV49" i="3" l="1"/>
  <c r="CV47" i="3"/>
  <c r="CW43" i="3" s="1"/>
  <c r="CW44" i="3" s="1"/>
  <c r="E106" i="23" s="1" a="1"/>
  <c r="E106" i="23" s="1"/>
  <c r="H106" i="23" s="1"/>
  <c r="CW46" i="3" l="1"/>
  <c r="CW52" i="3" s="1"/>
  <c r="CW53" i="3" s="1"/>
  <c r="CW49" i="3" l="1"/>
  <c r="CW47" i="3"/>
  <c r="CX43" i="3" s="1"/>
  <c r="CX44" i="3" s="1"/>
  <c r="E107" i="23" s="1" a="1"/>
  <c r="E107" i="23" s="1"/>
  <c r="H107" i="23" s="1"/>
  <c r="CX46" i="3" l="1"/>
  <c r="CX52" i="3" s="1"/>
  <c r="CX53" i="3" s="1"/>
  <c r="CX49" i="3" l="1"/>
  <c r="CX47" i="3"/>
  <c r="CY43" i="3" s="1"/>
  <c r="CY44" i="3" s="1"/>
  <c r="E108" i="23" s="1" a="1"/>
  <c r="E108" i="23" s="1"/>
  <c r="H108" i="23" s="1"/>
  <c r="CY46" i="3" l="1"/>
  <c r="CY52" i="3" s="1"/>
  <c r="CY53" i="3" s="1"/>
  <c r="CY47" i="3" l="1"/>
  <c r="CZ43" i="3" s="1"/>
  <c r="CZ44" i="3" s="1"/>
  <c r="CY49" i="3"/>
  <c r="CZ46" i="3" l="1"/>
  <c r="CZ52" i="3" s="1"/>
  <c r="CZ53" i="3" s="1"/>
  <c r="CZ49" i="3" l="1"/>
  <c r="CZ47" i="3"/>
  <c r="DA43" i="3" s="1"/>
  <c r="DA44" i="3" s="1"/>
  <c r="DA46" i="3" l="1"/>
  <c r="DA52" i="3" s="1"/>
  <c r="DA53" i="3" s="1"/>
  <c r="DA47" i="3" l="1"/>
  <c r="DB43" i="3" s="1"/>
  <c r="DB44" i="3" s="1"/>
  <c r="DA49" i="3"/>
  <c r="DB46" i="3" l="1"/>
  <c r="DB52" i="3" s="1"/>
  <c r="DB53" i="3" s="1"/>
  <c r="DB47" i="3" l="1"/>
  <c r="DC43" i="3" s="1"/>
  <c r="DC44" i="3" s="1"/>
  <c r="DB49" i="3"/>
  <c r="DC46" i="3" l="1"/>
  <c r="DC52" i="3" s="1"/>
  <c r="DC53" i="3" s="1"/>
  <c r="DC47" i="3" l="1"/>
  <c r="DD43" i="3" s="1"/>
  <c r="DD44" i="3" s="1"/>
  <c r="DC49" i="3"/>
  <c r="DD46" i="3" l="1"/>
  <c r="DD52" i="3" s="1"/>
  <c r="DD53" i="3" s="1"/>
  <c r="DD47" i="3" l="1"/>
  <c r="DE43" i="3" s="1"/>
  <c r="DE44" i="3" s="1"/>
  <c r="DD49" i="3"/>
  <c r="DE46" i="3" l="1"/>
  <c r="DE52" i="3" s="1"/>
  <c r="DE53" i="3" s="1"/>
  <c r="DE47" i="3" l="1"/>
  <c r="DF43" i="3" s="1"/>
  <c r="DF44" i="3" s="1"/>
  <c r="DE49" i="3"/>
  <c r="DF46" i="3" l="1"/>
  <c r="DF52" i="3" s="1"/>
  <c r="DF53" i="3" s="1"/>
  <c r="DF47" i="3" l="1"/>
  <c r="DG43" i="3" s="1"/>
  <c r="DG44" i="3" s="1"/>
  <c r="DF49" i="3"/>
  <c r="DG46" i="3" l="1"/>
  <c r="DG52" i="3" s="1"/>
  <c r="DG53" i="3" s="1"/>
  <c r="DG47" i="3" l="1"/>
  <c r="DH43" i="3" s="1"/>
  <c r="DH44" i="3" s="1"/>
  <c r="DG49" i="3"/>
  <c r="DH46" i="3" l="1"/>
  <c r="DH52" i="3" s="1"/>
  <c r="DH53" i="3" s="1"/>
  <c r="DH47" i="3" l="1"/>
  <c r="DI43" i="3" s="1"/>
  <c r="DI44" i="3" s="1"/>
  <c r="DH49" i="3"/>
  <c r="DI46" i="3" l="1"/>
  <c r="DI52" i="3" s="1"/>
  <c r="DI53" i="3" s="1"/>
  <c r="DI47" i="3" l="1"/>
  <c r="DJ43" i="3" s="1"/>
  <c r="DJ44" i="3" s="1"/>
  <c r="DI49" i="3"/>
  <c r="DJ46" i="3" l="1"/>
  <c r="DJ52" i="3" s="1"/>
  <c r="DJ53" i="3" s="1"/>
  <c r="DJ47" i="3" l="1"/>
  <c r="DK43" i="3" s="1"/>
  <c r="DK44" i="3" s="1"/>
  <c r="DJ49" i="3"/>
  <c r="DK46" i="3" l="1"/>
  <c r="DK52" i="3" s="1"/>
  <c r="DK53" i="3" s="1"/>
  <c r="DK47" i="3" l="1"/>
  <c r="DL43" i="3" s="1"/>
  <c r="DL44" i="3" s="1"/>
  <c r="DK49" i="3"/>
  <c r="DL46" i="3" l="1"/>
  <c r="DL52" i="3" s="1"/>
  <c r="DL53" i="3" s="1"/>
  <c r="DL47" i="3" l="1"/>
  <c r="DM43" i="3" s="1"/>
  <c r="DM44" i="3" s="1"/>
  <c r="DL49" i="3"/>
  <c r="DM46" i="3" l="1"/>
  <c r="DM52" i="3" s="1"/>
  <c r="DM53" i="3" s="1"/>
  <c r="DM47" i="3" l="1"/>
  <c r="DN43" i="3" s="1"/>
  <c r="DN44" i="3" s="1"/>
  <c r="DM49" i="3"/>
  <c r="DN46" i="3" l="1"/>
  <c r="DN52" i="3" s="1"/>
  <c r="DN53" i="3" s="1"/>
  <c r="DN47" i="3" l="1"/>
  <c r="DO43" i="3" s="1"/>
  <c r="DO44" i="3" s="1"/>
  <c r="DN49" i="3"/>
  <c r="DO46" i="3" l="1"/>
  <c r="DO52" i="3" s="1"/>
  <c r="DO53" i="3" s="1"/>
  <c r="DO47" i="3" l="1"/>
  <c r="DP43" i="3" s="1"/>
  <c r="DP44" i="3" s="1"/>
  <c r="DO49" i="3"/>
  <c r="DP46" i="3" l="1"/>
  <c r="DP52" i="3" s="1"/>
  <c r="DP53" i="3" s="1"/>
  <c r="DP49" i="3" l="1"/>
  <c r="DP47" i="3"/>
  <c r="DQ43" i="3" s="1"/>
  <c r="DQ44" i="3" s="1"/>
  <c r="DQ46" i="3" l="1"/>
  <c r="DQ52" i="3" s="1"/>
  <c r="DQ53" i="3" s="1"/>
  <c r="DQ47" i="3" l="1"/>
  <c r="DR43" i="3" s="1"/>
  <c r="DR44" i="3" s="1"/>
  <c r="DQ49" i="3"/>
  <c r="DR46" i="3" l="1"/>
  <c r="DR52" i="3" s="1"/>
  <c r="DR53" i="3" s="1"/>
  <c r="DR47" i="3" l="1"/>
  <c r="DS43" i="3" s="1"/>
  <c r="DS44" i="3" s="1"/>
  <c r="DR49" i="3"/>
  <c r="DS46" i="3" l="1"/>
  <c r="DS52" i="3" s="1"/>
  <c r="DS53" i="3" s="1"/>
  <c r="DS49" i="3" l="1"/>
  <c r="DS47" i="3"/>
  <c r="DT43" i="3" s="1"/>
  <c r="DT44" i="3" s="1"/>
  <c r="DT46" i="3" l="1"/>
  <c r="DT52" i="3" s="1"/>
  <c r="DT53" i="3" s="1"/>
  <c r="DT47" i="3" l="1"/>
  <c r="DU43" i="3" s="1"/>
  <c r="DU44" i="3" s="1"/>
  <c r="DT49" i="3"/>
  <c r="DU46" i="3" l="1"/>
  <c r="DU52" i="3" s="1"/>
  <c r="DU53" i="3" s="1"/>
  <c r="DU47" i="3" l="1"/>
  <c r="DV43" i="3" s="1"/>
  <c r="DV44" i="3" s="1"/>
  <c r="DU49" i="3"/>
  <c r="DV46" i="3" l="1"/>
  <c r="DV52" i="3" s="1"/>
  <c r="DV53" i="3" s="1"/>
  <c r="DV49" i="3" l="1"/>
  <c r="DV47" i="3"/>
  <c r="DW43" i="3" s="1"/>
  <c r="DW44" i="3" s="1"/>
  <c r="DW46" i="3" l="1"/>
  <c r="DW49" i="3" s="1"/>
  <c r="G8" i="32"/>
  <c r="H8" i="32"/>
  <c r="I8" i="32"/>
  <c r="J8" i="32"/>
  <c r="K8" i="32"/>
  <c r="DW47" i="3" l="1"/>
  <c r="DX43" i="3" s="1"/>
  <c r="DX44" i="3" s="1"/>
  <c r="DW52" i="3"/>
  <c r="DW53" i="3" s="1"/>
  <c r="G10" i="32"/>
  <c r="H10" i="32"/>
  <c r="I10" i="32"/>
  <c r="J10" i="32"/>
  <c r="K10" i="32"/>
  <c r="DX46" i="3" l="1"/>
  <c r="DX52" i="3" s="1"/>
  <c r="DX53" i="3" s="1"/>
  <c r="DX47" i="3" l="1"/>
  <c r="DY43" i="3" s="1"/>
  <c r="DY44" i="3" s="1"/>
  <c r="DX49" i="3"/>
  <c r="DY46" i="3" l="1"/>
  <c r="DY52" i="3" s="1"/>
  <c r="DY53" i="3" s="1"/>
  <c r="DY47" i="3" l="1"/>
  <c r="DZ43" i="3" s="1"/>
  <c r="DZ44" i="3" s="1"/>
  <c r="DY49" i="3"/>
  <c r="DZ46" i="3" l="1"/>
  <c r="DZ52" i="3" s="1"/>
  <c r="DZ53" i="3" s="1"/>
  <c r="DZ47" i="3" l="1"/>
  <c r="EA43" i="3" s="1"/>
  <c r="EA44" i="3" s="1"/>
  <c r="DZ49" i="3"/>
  <c r="EA46" i="3" l="1"/>
  <c r="EA52" i="3" s="1"/>
  <c r="EA53" i="3" s="1"/>
  <c r="EA49" i="3" l="1"/>
  <c r="EA47" i="3"/>
  <c r="EB43" i="3" s="1"/>
  <c r="EB44" i="3" s="1"/>
  <c r="EB46" i="3" l="1"/>
  <c r="EB52" i="3" s="1"/>
  <c r="EB53" i="3" s="1"/>
  <c r="EB47" i="3" l="1"/>
  <c r="EC43" i="3" s="1"/>
  <c r="EC44" i="3" s="1"/>
  <c r="EB49" i="3"/>
  <c r="EC46" i="3" l="1"/>
  <c r="EC52" i="3" s="1"/>
  <c r="EC53" i="3" s="1"/>
  <c r="EC49" i="3" l="1"/>
  <c r="EC47" i="3"/>
  <c r="ED43" i="3" s="1"/>
  <c r="ED44" i="3" s="1"/>
  <c r="ED46" i="3" l="1"/>
  <c r="ED52" i="3" s="1"/>
  <c r="ED53" i="3" s="1"/>
  <c r="ED47" i="3" l="1"/>
  <c r="EE43" i="3" s="1"/>
  <c r="EE44" i="3" s="1"/>
  <c r="ED49" i="3"/>
  <c r="EE46" i="3" l="1"/>
  <c r="EE52" i="3" s="1"/>
  <c r="EE53" i="3" s="1"/>
  <c r="EE47" i="3" l="1"/>
  <c r="EF43" i="3" s="1"/>
  <c r="EF44" i="3" s="1"/>
  <c r="EE49" i="3"/>
  <c r="EF46" i="3" l="1"/>
  <c r="EF52" i="3" s="1"/>
  <c r="EF53" i="3" s="1"/>
  <c r="EF49" i="3" l="1"/>
  <c r="EF47" i="3"/>
  <c r="EG43" i="3" s="1"/>
  <c r="EG44" i="3" s="1"/>
  <c r="EG46" i="3" l="1"/>
  <c r="EG52" i="3" s="1"/>
  <c r="EG53" i="3" s="1"/>
  <c r="EG47" i="3" l="1"/>
  <c r="EH43" i="3" s="1"/>
  <c r="EH44" i="3" s="1"/>
  <c r="EG49" i="3"/>
  <c r="EH46" i="3" l="1"/>
  <c r="EH52" i="3" s="1"/>
  <c r="EH53" i="3" s="1"/>
  <c r="EH47" i="3" l="1"/>
  <c r="EI43" i="3" s="1"/>
  <c r="EI44" i="3" s="1"/>
  <c r="EH49" i="3"/>
  <c r="EI46" i="3" l="1"/>
  <c r="EI52" i="3" s="1"/>
  <c r="EI53" i="3" s="1"/>
  <c r="EI47" i="3" l="1"/>
  <c r="EI49" i="3"/>
  <c r="B53" i="3" l="1"/>
  <c r="L31" i="1" s="1"/>
  <c r="F16" i="1" s="1"/>
  <c r="F17" i="1" l="1"/>
  <c r="H38" i="31" l="1"/>
  <c r="J38" i="31"/>
  <c r="K38" i="31"/>
  <c r="G38" i="31"/>
  <c r="I38" i="31"/>
  <c r="L25" i="1" a="1"/>
  <c r="L25" i="1" s="1"/>
  <c r="G14" i="1"/>
  <c r="F8" i="1"/>
  <c r="G12" i="1"/>
  <c r="A17" i="1"/>
  <c r="G13" i="1"/>
  <c r="G15" i="1"/>
  <c r="G16" i="1"/>
  <c r="G11" i="1"/>
  <c r="G17" i="1"/>
  <c r="F6" i="1" l="1"/>
  <c r="G7" i="1"/>
  <c r="G8" i="1"/>
  <c r="F5" i="1" l="1"/>
  <c r="A8" i="1" s="1"/>
  <c r="L4" i="1"/>
  <c r="G6" i="1"/>
  <c r="B55" i="3" l="1"/>
  <c r="G5" i="1"/>
  <c r="L3" i="1"/>
  <c r="L5" i="1" s="1"/>
  <c r="G55" i="3" l="1"/>
  <c r="G59" i="3" s="1"/>
  <c r="G70" i="3"/>
  <c r="G124" i="3" l="1"/>
  <c r="G104" i="3" s="1"/>
  <c r="E21" i="32"/>
  <c r="G69" i="3"/>
  <c r="G56" i="3"/>
  <c r="H55" i="3" s="1"/>
  <c r="H59" i="3" s="1"/>
  <c r="G97" i="3" l="1"/>
  <c r="B97" i="3" s="1"/>
  <c r="F18" i="32"/>
  <c r="G125" i="3"/>
  <c r="G118" i="3"/>
  <c r="H56" i="3"/>
  <c r="I55" i="3" s="1"/>
  <c r="I59" i="3" s="1"/>
  <c r="H69" i="3"/>
  <c r="G110" i="3"/>
  <c r="B104" i="3"/>
  <c r="H118" i="3" l="1"/>
  <c r="H155" i="3" s="1"/>
  <c r="G137" i="3"/>
  <c r="G143" i="3" s="1"/>
  <c r="G155" i="3"/>
  <c r="G161" i="3" s="1"/>
  <c r="G129" i="3"/>
  <c r="G130" i="3" s="1"/>
  <c r="G127" i="3"/>
  <c r="G126" i="3"/>
  <c r="H122" i="3" s="1"/>
  <c r="L22" i="1" a="1"/>
  <c r="L22" i="1" s="1"/>
  <c r="H110" i="3"/>
  <c r="I56" i="3"/>
  <c r="J55" i="3" s="1"/>
  <c r="J59" i="3" s="1"/>
  <c r="I69" i="3"/>
  <c r="H137" i="3" l="1"/>
  <c r="G141" i="3"/>
  <c r="H135" i="3" s="1"/>
  <c r="H136" i="3" s="1"/>
  <c r="G159" i="3"/>
  <c r="H153" i="3" s="1"/>
  <c r="H154" i="3" s="1"/>
  <c r="I110" i="3"/>
  <c r="I118" i="3"/>
  <c r="G148" i="3"/>
  <c r="G166" i="3" s="1"/>
  <c r="H123" i="3"/>
  <c r="H125" i="3" s="1"/>
  <c r="J69" i="3"/>
  <c r="J56" i="3"/>
  <c r="K55" i="3" s="1"/>
  <c r="K59" i="3" s="1"/>
  <c r="I155" i="3" l="1"/>
  <c r="I137" i="3"/>
  <c r="J110" i="3"/>
  <c r="J118" i="3"/>
  <c r="K69" i="3"/>
  <c r="K56" i="3"/>
  <c r="L55" i="3" s="1"/>
  <c r="L59" i="3" s="1"/>
  <c r="G171" i="3"/>
  <c r="G169" i="3"/>
  <c r="H126" i="3"/>
  <c r="I122" i="3" s="1"/>
  <c r="H127" i="3"/>
  <c r="H129" i="3"/>
  <c r="J155" i="3" l="1"/>
  <c r="J137" i="3"/>
  <c r="K110" i="3"/>
  <c r="K118" i="3"/>
  <c r="G96" i="3"/>
  <c r="G103" i="3" s="1"/>
  <c r="G172" i="3"/>
  <c r="L69" i="3"/>
  <c r="L56" i="3"/>
  <c r="M55" i="3" s="1"/>
  <c r="M59" i="3" s="1"/>
  <c r="H138" i="3"/>
  <c r="H130" i="3"/>
  <c r="I123" i="3"/>
  <c r="I125" i="3" s="1"/>
  <c r="K155" i="3" l="1"/>
  <c r="K137" i="3"/>
  <c r="G105" i="3"/>
  <c r="L110" i="3"/>
  <c r="L118" i="3"/>
  <c r="G98" i="3"/>
  <c r="G111" i="3" s="1"/>
  <c r="G109" i="3" s="1"/>
  <c r="H140" i="3"/>
  <c r="H145" i="3" s="1"/>
  <c r="I127" i="3"/>
  <c r="I129" i="3"/>
  <c r="H139" i="3"/>
  <c r="M56" i="3"/>
  <c r="N55" i="3" s="1"/>
  <c r="N59" i="3" s="1"/>
  <c r="M69" i="3"/>
  <c r="I126" i="3"/>
  <c r="J122" i="3" s="1"/>
  <c r="L137" i="3" l="1"/>
  <c r="L155" i="3"/>
  <c r="M110" i="3"/>
  <c r="M118" i="3"/>
  <c r="H146" i="3"/>
  <c r="H147" i="3" s="1"/>
  <c r="H148" i="3" s="1"/>
  <c r="H156" i="3"/>
  <c r="H157" i="3" s="1"/>
  <c r="H143" i="3"/>
  <c r="H141" i="3"/>
  <c r="I135" i="3" s="1"/>
  <c r="I138" i="3"/>
  <c r="I130" i="3"/>
  <c r="J123" i="3"/>
  <c r="J125" i="3" s="1"/>
  <c r="N69" i="3"/>
  <c r="N56" i="3"/>
  <c r="O55" i="3" s="1"/>
  <c r="O59" i="3" s="1"/>
  <c r="M137" i="3" l="1"/>
  <c r="M155" i="3"/>
  <c r="N110" i="3"/>
  <c r="N118" i="3"/>
  <c r="H158" i="3"/>
  <c r="H163" i="3" s="1"/>
  <c r="I136" i="3"/>
  <c r="I139" i="3" s="1"/>
  <c r="J129" i="3"/>
  <c r="J127" i="3"/>
  <c r="J126" i="3"/>
  <c r="K122" i="3" s="1"/>
  <c r="O69" i="3"/>
  <c r="O56" i="3"/>
  <c r="P55" i="3" s="1"/>
  <c r="P59" i="3" s="1"/>
  <c r="I140" i="3" l="1"/>
  <c r="I141" i="3" s="1"/>
  <c r="J135" i="3" s="1"/>
  <c r="N137" i="3"/>
  <c r="N155" i="3"/>
  <c r="O110" i="3"/>
  <c r="O118" i="3"/>
  <c r="H159" i="3"/>
  <c r="I153" i="3" s="1"/>
  <c r="I154" i="3" s="1"/>
  <c r="H161" i="3"/>
  <c r="H164" i="3"/>
  <c r="K123" i="3"/>
  <c r="K125" i="3" s="1"/>
  <c r="P56" i="3"/>
  <c r="Q55" i="3" s="1"/>
  <c r="Q59" i="3" s="1"/>
  <c r="P69" i="3"/>
  <c r="J138" i="3"/>
  <c r="J130" i="3"/>
  <c r="I145" i="3" l="1"/>
  <c r="I146" i="3" s="1"/>
  <c r="I143" i="3"/>
  <c r="H165" i="3"/>
  <c r="H166" i="3" s="1"/>
  <c r="H169" i="3" s="1"/>
  <c r="O137" i="3"/>
  <c r="O155" i="3"/>
  <c r="P110" i="3"/>
  <c r="P118" i="3"/>
  <c r="Q69" i="3"/>
  <c r="Q56" i="3"/>
  <c r="R55" i="3" s="1"/>
  <c r="R59" i="3" s="1"/>
  <c r="J136" i="3"/>
  <c r="J139" i="3" s="1"/>
  <c r="K126" i="3"/>
  <c r="L122" i="3" s="1"/>
  <c r="K127" i="3"/>
  <c r="K129" i="3"/>
  <c r="I147" i="3" l="1"/>
  <c r="I148" i="3" s="1"/>
  <c r="I156" i="3"/>
  <c r="I157" i="3" s="1"/>
  <c r="H171" i="3"/>
  <c r="H96" i="3" s="1"/>
  <c r="P155" i="3"/>
  <c r="P137" i="3"/>
  <c r="Q110" i="3"/>
  <c r="Q118" i="3"/>
  <c r="J140" i="3"/>
  <c r="J141" i="3" s="1"/>
  <c r="K135" i="3" s="1"/>
  <c r="L123" i="3"/>
  <c r="L125" i="3" s="1"/>
  <c r="L129" i="3" s="1"/>
  <c r="K138" i="3"/>
  <c r="K130" i="3"/>
  <c r="R56" i="3"/>
  <c r="S55" i="3" s="1"/>
  <c r="S59" i="3" s="1"/>
  <c r="R69" i="3"/>
  <c r="I158" i="3" l="1"/>
  <c r="I163" i="3" s="1"/>
  <c r="I164" i="3" s="1"/>
  <c r="I165" i="3" s="1"/>
  <c r="I166" i="3" s="1"/>
  <c r="I169" i="3" s="1"/>
  <c r="H172" i="3"/>
  <c r="Q155" i="3"/>
  <c r="Q137" i="3"/>
  <c r="H103" i="3"/>
  <c r="H105" i="3" s="1"/>
  <c r="R110" i="3"/>
  <c r="R118" i="3"/>
  <c r="H98" i="3"/>
  <c r="L126" i="3"/>
  <c r="M122" i="3" s="1"/>
  <c r="M123" i="3" s="1"/>
  <c r="L127" i="3"/>
  <c r="K136" i="3"/>
  <c r="K139" i="3" s="1"/>
  <c r="L138" i="3"/>
  <c r="L130" i="3"/>
  <c r="J145" i="3"/>
  <c r="J143" i="3"/>
  <c r="S56" i="3"/>
  <c r="T55" i="3" s="1"/>
  <c r="T59" i="3" s="1"/>
  <c r="S69" i="3"/>
  <c r="S118" i="3" s="1"/>
  <c r="I161" i="3" l="1"/>
  <c r="I159" i="3"/>
  <c r="J153" i="3" s="1"/>
  <c r="J154" i="3" s="1"/>
  <c r="I171" i="3"/>
  <c r="I172" i="3" s="1"/>
  <c r="H111" i="3"/>
  <c r="H109" i="3" s="1"/>
  <c r="M125" i="3"/>
  <c r="M129" i="3" s="1"/>
  <c r="M138" i="3" s="1"/>
  <c r="S137" i="3"/>
  <c r="S155" i="3"/>
  <c r="R155" i="3"/>
  <c r="R137" i="3"/>
  <c r="K140" i="3"/>
  <c r="K141" i="3" s="1"/>
  <c r="L135" i="3" s="1"/>
  <c r="B69" i="3"/>
  <c r="S110" i="3"/>
  <c r="T56" i="3"/>
  <c r="U55" i="3" s="1"/>
  <c r="U59" i="3" s="1"/>
  <c r="T69" i="3"/>
  <c r="J146" i="3"/>
  <c r="J156" i="3"/>
  <c r="M130" i="3" l="1"/>
  <c r="I96" i="3"/>
  <c r="I98" i="3" s="1"/>
  <c r="M126" i="3"/>
  <c r="N122" i="3" s="1"/>
  <c r="N123" i="3" s="1"/>
  <c r="M127" i="3"/>
  <c r="T110" i="3"/>
  <c r="T118" i="3"/>
  <c r="K143" i="3"/>
  <c r="K145" i="3"/>
  <c r="K146" i="3" s="1"/>
  <c r="L136" i="3"/>
  <c r="L139" i="3" s="1"/>
  <c r="J157" i="3"/>
  <c r="U56" i="3"/>
  <c r="V55" i="3" s="1"/>
  <c r="V59" i="3" s="1"/>
  <c r="U69" i="3"/>
  <c r="J147" i="3"/>
  <c r="N125" i="3" l="1"/>
  <c r="N126" i="3" s="1"/>
  <c r="O122" i="3" s="1"/>
  <c r="O123" i="3" s="1"/>
  <c r="I103" i="3"/>
  <c r="I105" i="3" s="1"/>
  <c r="I111" i="3" s="1"/>
  <c r="I109" i="3" s="1"/>
  <c r="T137" i="3"/>
  <c r="T155" i="3"/>
  <c r="L140" i="3"/>
  <c r="L143" i="3" s="1"/>
  <c r="U110" i="3"/>
  <c r="U118" i="3"/>
  <c r="K147" i="3"/>
  <c r="K148" i="3" s="1"/>
  <c r="J148" i="3"/>
  <c r="J158" i="3" s="1"/>
  <c r="K156" i="3"/>
  <c r="V69" i="3"/>
  <c r="V56" i="3"/>
  <c r="W55" i="3" s="1"/>
  <c r="W59" i="3" s="1"/>
  <c r="N129" i="3" l="1"/>
  <c r="N138" i="3" s="1"/>
  <c r="N127" i="3"/>
  <c r="L145" i="3"/>
  <c r="L156" i="3" s="1"/>
  <c r="L141" i="3"/>
  <c r="M135" i="3" s="1"/>
  <c r="M136" i="3" s="1"/>
  <c r="M139" i="3" s="1"/>
  <c r="U137" i="3"/>
  <c r="U155" i="3"/>
  <c r="V110" i="3"/>
  <c r="V118" i="3"/>
  <c r="N130" i="3"/>
  <c r="J163" i="3"/>
  <c r="J159" i="3"/>
  <c r="K153" i="3" s="1"/>
  <c r="K154" i="3" s="1"/>
  <c r="K158" i="3" s="1"/>
  <c r="J161" i="3"/>
  <c r="O125" i="3"/>
  <c r="W56" i="3"/>
  <c r="X55" i="3" s="1"/>
  <c r="X59" i="3" s="1"/>
  <c r="W69" i="3"/>
  <c r="L146" i="3"/>
  <c r="V137" i="3" l="1"/>
  <c r="V155" i="3"/>
  <c r="W110" i="3"/>
  <c r="W118" i="3"/>
  <c r="J164" i="3"/>
  <c r="J165" i="3" s="1"/>
  <c r="J166" i="3" s="1"/>
  <c r="L147" i="3"/>
  <c r="L148" i="3" s="1"/>
  <c r="M140" i="3"/>
  <c r="M145" i="3" s="1"/>
  <c r="O127" i="3"/>
  <c r="O129" i="3"/>
  <c r="O126" i="3"/>
  <c r="P122" i="3" s="1"/>
  <c r="K157" i="3"/>
  <c r="K159" i="3" s="1"/>
  <c r="L153" i="3" s="1"/>
  <c r="L154" i="3" s="1"/>
  <c r="K163" i="3"/>
  <c r="K161" i="3"/>
  <c r="X56" i="3"/>
  <c r="Y55" i="3" s="1"/>
  <c r="Y59" i="3" s="1"/>
  <c r="X69" i="3"/>
  <c r="X118" i="3" l="1"/>
  <c r="X137" i="3" s="1"/>
  <c r="W137" i="3"/>
  <c r="W155" i="3"/>
  <c r="J171" i="3"/>
  <c r="J96" i="3" s="1"/>
  <c r="J98" i="3" s="1"/>
  <c r="J169" i="3"/>
  <c r="K164" i="3"/>
  <c r="L158" i="3"/>
  <c r="L163" i="3" s="1"/>
  <c r="L164" i="3" s="1"/>
  <c r="M141" i="3"/>
  <c r="N135" i="3" s="1"/>
  <c r="N136" i="3" s="1"/>
  <c r="N139" i="3" s="1"/>
  <c r="M143" i="3"/>
  <c r="O138" i="3"/>
  <c r="O130" i="3"/>
  <c r="P123" i="3"/>
  <c r="L157" i="3"/>
  <c r="X110" i="3"/>
  <c r="Y56" i="3"/>
  <c r="Z55" i="3" s="1"/>
  <c r="Z59" i="3" s="1"/>
  <c r="Y69" i="3"/>
  <c r="M156" i="3"/>
  <c r="M146" i="3"/>
  <c r="J172" i="3" l="1"/>
  <c r="X155" i="3"/>
  <c r="K165" i="3"/>
  <c r="K166" i="3" s="1"/>
  <c r="K169" i="3" s="1"/>
  <c r="J103" i="3"/>
  <c r="J105" i="3" s="1"/>
  <c r="J111" i="3" s="1"/>
  <c r="J109" i="3" s="1"/>
  <c r="Y110" i="3"/>
  <c r="Y118" i="3"/>
  <c r="L159" i="3"/>
  <c r="M153" i="3" s="1"/>
  <c r="M154" i="3" s="1"/>
  <c r="M157" i="3" s="1"/>
  <c r="L161" i="3"/>
  <c r="L165" i="3"/>
  <c r="L166" i="3" s="1"/>
  <c r="L169" i="3" s="1"/>
  <c r="M147" i="3"/>
  <c r="M148" i="3" s="1"/>
  <c r="N140" i="3"/>
  <c r="N143" i="3" s="1"/>
  <c r="P125" i="3"/>
  <c r="Z69" i="3"/>
  <c r="Z118" i="3" s="1"/>
  <c r="Z56" i="3"/>
  <c r="AA55" i="3" s="1"/>
  <c r="AA59" i="3" s="1"/>
  <c r="K171" i="3" l="1"/>
  <c r="K96" i="3" s="1"/>
  <c r="Z155" i="3"/>
  <c r="Z137" i="3"/>
  <c r="Y155" i="3"/>
  <c r="Y137" i="3"/>
  <c r="L171" i="3"/>
  <c r="N145" i="3"/>
  <c r="N141" i="3"/>
  <c r="O135" i="3" s="1"/>
  <c r="O136" i="3" s="1"/>
  <c r="O139" i="3" s="1"/>
  <c r="M158" i="3"/>
  <c r="M161" i="3" s="1"/>
  <c r="P127" i="3"/>
  <c r="P129" i="3"/>
  <c r="P126" i="3"/>
  <c r="Q122" i="3" s="1"/>
  <c r="Z110" i="3"/>
  <c r="AA56" i="3"/>
  <c r="AB55" i="3" s="1"/>
  <c r="AB59" i="3" s="1"/>
  <c r="AA69" i="3"/>
  <c r="K172" i="3" l="1"/>
  <c r="K103" i="3"/>
  <c r="K105" i="3" s="1"/>
  <c r="AA110" i="3"/>
  <c r="AA118" i="3"/>
  <c r="N146" i="3"/>
  <c r="L172" i="3"/>
  <c r="N156" i="3"/>
  <c r="K98" i="3"/>
  <c r="L96" i="3"/>
  <c r="M163" i="3"/>
  <c r="M164" i="3" s="1"/>
  <c r="M159" i="3"/>
  <c r="N153" i="3" s="1"/>
  <c r="N154" i="3" s="1"/>
  <c r="O140" i="3"/>
  <c r="O145" i="3" s="1"/>
  <c r="P138" i="3"/>
  <c r="P130" i="3"/>
  <c r="Q123" i="3"/>
  <c r="Q125" i="3" s="1"/>
  <c r="AB69" i="3"/>
  <c r="AB56" i="3"/>
  <c r="AC55" i="3" s="1"/>
  <c r="AC59" i="3" s="1"/>
  <c r="K111" i="3" l="1"/>
  <c r="K109" i="3" s="1"/>
  <c r="N147" i="3"/>
  <c r="N148" i="3" s="1"/>
  <c r="N158" i="3" s="1"/>
  <c r="N163" i="3" s="1"/>
  <c r="N164" i="3" s="1"/>
  <c r="AA155" i="3"/>
  <c r="AA137" i="3"/>
  <c r="L103" i="3"/>
  <c r="L105" i="3" s="1"/>
  <c r="AB110" i="3"/>
  <c r="AB118" i="3"/>
  <c r="L98" i="3"/>
  <c r="O143" i="3"/>
  <c r="M165" i="3"/>
  <c r="M166" i="3" s="1"/>
  <c r="M171" i="3" s="1"/>
  <c r="O141" i="3"/>
  <c r="P135" i="3" s="1"/>
  <c r="P136" i="3" s="1"/>
  <c r="P139" i="3" s="1"/>
  <c r="Q129" i="3"/>
  <c r="Q127" i="3"/>
  <c r="Q126" i="3"/>
  <c r="R122" i="3" s="1"/>
  <c r="O156" i="3"/>
  <c r="O146" i="3"/>
  <c r="AC69" i="3"/>
  <c r="AC56" i="3"/>
  <c r="AD55" i="3" s="1"/>
  <c r="AD59" i="3" s="1"/>
  <c r="N157" i="3"/>
  <c r="L111" i="3" l="1"/>
  <c r="L109" i="3" s="1"/>
  <c r="AB137" i="3"/>
  <c r="AB155" i="3"/>
  <c r="N161" i="3"/>
  <c r="M169" i="3"/>
  <c r="N159" i="3"/>
  <c r="O153" i="3" s="1"/>
  <c r="O154" i="3" s="1"/>
  <c r="AC110" i="3"/>
  <c r="AC118" i="3"/>
  <c r="M96" i="3"/>
  <c r="M98" i="3" s="1"/>
  <c r="N165" i="3"/>
  <c r="N166" i="3" s="1"/>
  <c r="N171" i="3" s="1"/>
  <c r="O147" i="3"/>
  <c r="O148" i="3" s="1"/>
  <c r="P140" i="3"/>
  <c r="P141" i="3" s="1"/>
  <c r="Q135" i="3" s="1"/>
  <c r="R123" i="3"/>
  <c r="R125" i="3" s="1"/>
  <c r="Q138" i="3"/>
  <c r="Q130" i="3"/>
  <c r="AD69" i="3"/>
  <c r="AD56" i="3"/>
  <c r="AE55" i="3" s="1"/>
  <c r="AE59" i="3" s="1"/>
  <c r="M103" i="3" l="1"/>
  <c r="M105" i="3" s="1"/>
  <c r="M111" i="3" s="1"/>
  <c r="M109" i="3" s="1"/>
  <c r="AC137" i="3"/>
  <c r="AC155" i="3"/>
  <c r="AD110" i="3"/>
  <c r="AD118" i="3"/>
  <c r="M172" i="3"/>
  <c r="N96" i="3"/>
  <c r="N98" i="3" s="1"/>
  <c r="N169" i="3"/>
  <c r="P145" i="3"/>
  <c r="P143" i="3"/>
  <c r="O158" i="3"/>
  <c r="O163" i="3" s="1"/>
  <c r="R127" i="3"/>
  <c r="R129" i="3"/>
  <c r="R126" i="3"/>
  <c r="S122" i="3" s="1"/>
  <c r="Q136" i="3"/>
  <c r="Q139" i="3" s="1"/>
  <c r="AE69" i="3"/>
  <c r="AE56" i="3"/>
  <c r="AF55" i="3" s="1"/>
  <c r="AF59" i="3" s="1"/>
  <c r="O157" i="3"/>
  <c r="AD137" i="3" l="1"/>
  <c r="AD155" i="3"/>
  <c r="N103" i="3"/>
  <c r="N105" i="3" s="1"/>
  <c r="N111" i="3" s="1"/>
  <c r="N109" i="3" s="1"/>
  <c r="N172" i="3"/>
  <c r="AE110" i="3"/>
  <c r="AE118" i="3"/>
  <c r="P146" i="3"/>
  <c r="O164" i="3"/>
  <c r="P156" i="3"/>
  <c r="O161" i="3"/>
  <c r="O159" i="3"/>
  <c r="P153" i="3" s="1"/>
  <c r="P154" i="3" s="1"/>
  <c r="Q140" i="3"/>
  <c r="Q141" i="3" s="1"/>
  <c r="R135" i="3" s="1"/>
  <c r="S123" i="3"/>
  <c r="R130" i="3"/>
  <c r="R138" i="3"/>
  <c r="AF69" i="3"/>
  <c r="AF56" i="3"/>
  <c r="AG55" i="3" s="1"/>
  <c r="AG59" i="3" s="1"/>
  <c r="P147" i="3" l="1"/>
  <c r="P148" i="3" s="1"/>
  <c r="P158" i="3" s="1"/>
  <c r="P163" i="3" s="1"/>
  <c r="AE137" i="3"/>
  <c r="AE155" i="3"/>
  <c r="O165" i="3"/>
  <c r="O166" i="3" s="1"/>
  <c r="O171" i="3" s="1"/>
  <c r="O96" i="3" s="1"/>
  <c r="O98" i="3" s="1"/>
  <c r="P157" i="3"/>
  <c r="AF110" i="3"/>
  <c r="AF118" i="3"/>
  <c r="Q145" i="3"/>
  <c r="S125" i="3"/>
  <c r="S126" i="3" s="1"/>
  <c r="T122" i="3" s="1"/>
  <c r="Q143" i="3"/>
  <c r="AG69" i="3"/>
  <c r="AG56" i="3"/>
  <c r="AH55" i="3" s="1"/>
  <c r="AH59" i="3" s="1"/>
  <c r="R136" i="3"/>
  <c r="R139" i="3" s="1"/>
  <c r="O169" i="3" l="1"/>
  <c r="O172" i="3" s="1"/>
  <c r="AF155" i="3"/>
  <c r="AF137" i="3"/>
  <c r="AG110" i="3"/>
  <c r="AG118" i="3"/>
  <c r="Q146" i="3"/>
  <c r="P164" i="3"/>
  <c r="Q156" i="3"/>
  <c r="R140" i="3"/>
  <c r="R145" i="3" s="1"/>
  <c r="T123" i="3"/>
  <c r="T125" i="3" s="1"/>
  <c r="T126" i="3" s="1"/>
  <c r="U122" i="3" s="1"/>
  <c r="S129" i="3"/>
  <c r="S127" i="3"/>
  <c r="P161" i="3"/>
  <c r="P159" i="3"/>
  <c r="Q153" i="3" s="1"/>
  <c r="Q154" i="3" s="1"/>
  <c r="AH69" i="3"/>
  <c r="AH56" i="3"/>
  <c r="AI55" i="3" s="1"/>
  <c r="AI59" i="3" s="1"/>
  <c r="Q147" i="3" l="1"/>
  <c r="Q148" i="3" s="1"/>
  <c r="Q158" i="3" s="1"/>
  <c r="Q163" i="3" s="1"/>
  <c r="AG155" i="3"/>
  <c r="AG137" i="3"/>
  <c r="P165" i="3"/>
  <c r="P166" i="3" s="1"/>
  <c r="P169" i="3" s="1"/>
  <c r="O103" i="3"/>
  <c r="O105" i="3" s="1"/>
  <c r="O111" i="3" s="1"/>
  <c r="O109" i="3" s="1"/>
  <c r="AH110" i="3"/>
  <c r="AH118" i="3"/>
  <c r="R143" i="3"/>
  <c r="R141" i="3"/>
  <c r="S135" i="3" s="1"/>
  <c r="S136" i="3" s="1"/>
  <c r="U123" i="3"/>
  <c r="U125" i="3" s="1"/>
  <c r="U126" i="3" s="1"/>
  <c r="V122" i="3" s="1"/>
  <c r="S130" i="3"/>
  <c r="S138" i="3"/>
  <c r="T127" i="3"/>
  <c r="T129" i="3"/>
  <c r="Q157" i="3"/>
  <c r="R146" i="3"/>
  <c r="R156" i="3"/>
  <c r="AI56" i="3"/>
  <c r="AJ55" i="3" s="1"/>
  <c r="AJ59" i="3" s="1"/>
  <c r="AI69" i="3"/>
  <c r="P171" i="3" l="1"/>
  <c r="P96" i="3" s="1"/>
  <c r="AH155" i="3"/>
  <c r="AH137" i="3"/>
  <c r="AI110" i="3"/>
  <c r="AI118" i="3"/>
  <c r="S140" i="3"/>
  <c r="S143" i="3" s="1"/>
  <c r="R147" i="3"/>
  <c r="R148" i="3" s="1"/>
  <c r="V123" i="3"/>
  <c r="Q164" i="3"/>
  <c r="T138" i="3"/>
  <c r="T130" i="3"/>
  <c r="Q161" i="3"/>
  <c r="U127" i="3"/>
  <c r="U129" i="3"/>
  <c r="Q159" i="3"/>
  <c r="R153" i="3" s="1"/>
  <c r="R154" i="3" s="1"/>
  <c r="S139" i="3"/>
  <c r="AJ56" i="3"/>
  <c r="AK55" i="3" s="1"/>
  <c r="AK59" i="3" s="1"/>
  <c r="AJ69" i="3"/>
  <c r="P172" i="3" l="1"/>
  <c r="R158" i="3"/>
  <c r="R161" i="3" s="1"/>
  <c r="P103" i="3"/>
  <c r="P105" i="3" s="1"/>
  <c r="AI155" i="3"/>
  <c r="AI137" i="3"/>
  <c r="S141" i="3"/>
  <c r="T135" i="3" s="1"/>
  <c r="T136" i="3" s="1"/>
  <c r="T139" i="3" s="1"/>
  <c r="AJ110" i="3"/>
  <c r="AJ118" i="3"/>
  <c r="S145" i="3"/>
  <c r="S146" i="3" s="1"/>
  <c r="P98" i="3"/>
  <c r="Q165" i="3"/>
  <c r="Q166" i="3" s="1"/>
  <c r="U130" i="3"/>
  <c r="U138" i="3"/>
  <c r="V125" i="3"/>
  <c r="V126" i="3" s="1"/>
  <c r="W122" i="3" s="1"/>
  <c r="R157" i="3"/>
  <c r="AK56" i="3"/>
  <c r="AL55" i="3" s="1"/>
  <c r="AL59" i="3" s="1"/>
  <c r="AK69" i="3"/>
  <c r="R163" i="3" l="1"/>
  <c r="R164" i="3" s="1"/>
  <c r="R159" i="3"/>
  <c r="S153" i="3" s="1"/>
  <c r="S154" i="3" s="1"/>
  <c r="P111" i="3"/>
  <c r="P109" i="3" s="1"/>
  <c r="AJ137" i="3"/>
  <c r="AJ155" i="3"/>
  <c r="Q171" i="3"/>
  <c r="Q96" i="3" s="1"/>
  <c r="S156" i="3"/>
  <c r="AK110" i="3"/>
  <c r="AK118" i="3"/>
  <c r="Q169" i="3"/>
  <c r="S147" i="3"/>
  <c r="S148" i="3" s="1"/>
  <c r="T140" i="3"/>
  <c r="T141" i="3" s="1"/>
  <c r="U135" i="3" s="1"/>
  <c r="W123" i="3"/>
  <c r="W125" i="3" s="1"/>
  <c r="V127" i="3"/>
  <c r="V129" i="3"/>
  <c r="AL69" i="3"/>
  <c r="AL56" i="3"/>
  <c r="AM55" i="3" s="1"/>
  <c r="AM59" i="3" s="1"/>
  <c r="S157" i="3" l="1"/>
  <c r="Q172" i="3"/>
  <c r="Q103" i="3"/>
  <c r="Q105" i="3" s="1"/>
  <c r="AK137" i="3"/>
  <c r="AK155" i="3"/>
  <c r="AL110" i="3"/>
  <c r="AL118" i="3"/>
  <c r="Q98" i="3"/>
  <c r="S158" i="3"/>
  <c r="S159" i="3" s="1"/>
  <c r="T153" i="3" s="1"/>
  <c r="T145" i="3"/>
  <c r="T146" i="3" s="1"/>
  <c r="R165" i="3"/>
  <c r="R166" i="3" s="1"/>
  <c r="V138" i="3"/>
  <c r="V130" i="3"/>
  <c r="W129" i="3"/>
  <c r="W127" i="3"/>
  <c r="W126" i="3"/>
  <c r="X122" i="3" s="1"/>
  <c r="T143" i="3"/>
  <c r="AM56" i="3"/>
  <c r="AN55" i="3" s="1"/>
  <c r="AN59" i="3" s="1"/>
  <c r="AM69" i="3"/>
  <c r="U136" i="3"/>
  <c r="U140" i="3" s="1"/>
  <c r="Q111" i="3" l="1"/>
  <c r="Q109" i="3" s="1"/>
  <c r="AL137" i="3"/>
  <c r="AL155" i="3"/>
  <c r="AM110" i="3"/>
  <c r="AM118" i="3"/>
  <c r="S161" i="3"/>
  <c r="S163" i="3"/>
  <c r="S164" i="3" s="1"/>
  <c r="T156" i="3"/>
  <c r="R171" i="3"/>
  <c r="R169" i="3"/>
  <c r="T147" i="3"/>
  <c r="T148" i="3" s="1"/>
  <c r="W130" i="3"/>
  <c r="W138" i="3"/>
  <c r="X123" i="3"/>
  <c r="X125" i="3" s="1"/>
  <c r="U139" i="3"/>
  <c r="U141" i="3" s="1"/>
  <c r="V135" i="3" s="1"/>
  <c r="U145" i="3"/>
  <c r="U143" i="3"/>
  <c r="AN56" i="3"/>
  <c r="AO55" i="3" s="1"/>
  <c r="AO59" i="3" s="1"/>
  <c r="AN69" i="3"/>
  <c r="L20" i="1" s="1" a="1"/>
  <c r="L20" i="1" s="1"/>
  <c r="T154" i="3"/>
  <c r="AM137" i="3" l="1"/>
  <c r="AM155" i="3"/>
  <c r="T157" i="3"/>
  <c r="AN110" i="3"/>
  <c r="AN118" i="3"/>
  <c r="R172" i="3"/>
  <c r="R96" i="3"/>
  <c r="R103" i="3" s="1"/>
  <c r="S165" i="3"/>
  <c r="S166" i="3" s="1"/>
  <c r="S169" i="3" s="1"/>
  <c r="X129" i="3"/>
  <c r="X127" i="3"/>
  <c r="X126" i="3"/>
  <c r="Y122" i="3" s="1"/>
  <c r="AO56" i="3"/>
  <c r="AP55" i="3" s="1"/>
  <c r="AP59" i="3" s="1"/>
  <c r="AO69" i="3"/>
  <c r="V136" i="3"/>
  <c r="V139" i="3" s="1"/>
  <c r="T158" i="3"/>
  <c r="U146" i="3"/>
  <c r="U156" i="3"/>
  <c r="AN155" i="3" l="1"/>
  <c r="AN137" i="3"/>
  <c r="R105" i="3"/>
  <c r="AO110" i="3"/>
  <c r="AO118" i="3"/>
  <c r="S171" i="3"/>
  <c r="S172" i="3" s="1"/>
  <c r="R98" i="3"/>
  <c r="U147" i="3"/>
  <c r="U148" i="3" s="1"/>
  <c r="V140" i="3"/>
  <c r="V143" i="3" s="1"/>
  <c r="Y123" i="3"/>
  <c r="X130" i="3"/>
  <c r="X138" i="3"/>
  <c r="T159" i="3"/>
  <c r="U153" i="3" s="1"/>
  <c r="T163" i="3"/>
  <c r="T161" i="3"/>
  <c r="AP69" i="3"/>
  <c r="AP56" i="3"/>
  <c r="AQ55" i="3" s="1"/>
  <c r="AQ59" i="3" s="1"/>
  <c r="R111" i="3" l="1"/>
  <c r="R109" i="3" s="1"/>
  <c r="AO155" i="3"/>
  <c r="AO137" i="3"/>
  <c r="AP110" i="3"/>
  <c r="AP118" i="3"/>
  <c r="T164" i="3"/>
  <c r="S96" i="3"/>
  <c r="V141" i="3"/>
  <c r="W135" i="3" s="1"/>
  <c r="W136" i="3" s="1"/>
  <c r="W139" i="3" s="1"/>
  <c r="V145" i="3"/>
  <c r="Y125" i="3"/>
  <c r="AQ69" i="3"/>
  <c r="AQ56" i="3"/>
  <c r="AR55" i="3" s="1"/>
  <c r="AR59" i="3" s="1"/>
  <c r="U154" i="3"/>
  <c r="U158" i="3" s="1"/>
  <c r="S103" i="3" l="1"/>
  <c r="S105" i="3" s="1"/>
  <c r="AP155" i="3"/>
  <c r="AP137" i="3"/>
  <c r="T165" i="3"/>
  <c r="T166" i="3" s="1"/>
  <c r="T171" i="3" s="1"/>
  <c r="AQ110" i="3"/>
  <c r="AQ118" i="3"/>
  <c r="V146" i="3"/>
  <c r="V147" i="3" s="1"/>
  <c r="V148" i="3" s="1"/>
  <c r="S98" i="3"/>
  <c r="U157" i="3"/>
  <c r="U159" i="3" s="1"/>
  <c r="V153" i="3" s="1"/>
  <c r="V154" i="3" s="1"/>
  <c r="W140" i="3"/>
  <c r="W141" i="3" s="1"/>
  <c r="X135" i="3" s="1"/>
  <c r="X136" i="3" s="1"/>
  <c r="X139" i="3" s="1"/>
  <c r="V156" i="3"/>
  <c r="Y129" i="3"/>
  <c r="Y127" i="3"/>
  <c r="Y126" i="3"/>
  <c r="Z122" i="3" s="1"/>
  <c r="U161" i="3"/>
  <c r="U163" i="3"/>
  <c r="AR69" i="3"/>
  <c r="AR56" i="3"/>
  <c r="AS55" i="3" s="1"/>
  <c r="AS59" i="3" s="1"/>
  <c r="S111" i="3" l="1"/>
  <c r="S109" i="3" s="1"/>
  <c r="AR118" i="3"/>
  <c r="AR155" i="3" s="1"/>
  <c r="T169" i="3"/>
  <c r="T172" i="3" s="1"/>
  <c r="AQ155" i="3"/>
  <c r="AQ137" i="3"/>
  <c r="T96" i="3"/>
  <c r="W145" i="3"/>
  <c r="W143" i="3"/>
  <c r="V157" i="3"/>
  <c r="X140" i="3"/>
  <c r="V158" i="3"/>
  <c r="V161" i="3" s="1"/>
  <c r="Y138" i="3"/>
  <c r="Y130" i="3"/>
  <c r="Z123" i="3"/>
  <c r="Z125" i="3" s="1"/>
  <c r="Z126" i="3" s="1"/>
  <c r="AA122" i="3" s="1"/>
  <c r="L41" i="1" a="1"/>
  <c r="L41" i="1" s="1"/>
  <c r="AR110" i="3"/>
  <c r="U164" i="3"/>
  <c r="AS56" i="3"/>
  <c r="AT55" i="3" s="1"/>
  <c r="AT59" i="3" s="1"/>
  <c r="AS69" i="3"/>
  <c r="AR137" i="3" l="1"/>
  <c r="T103" i="3"/>
  <c r="T105" i="3" s="1"/>
  <c r="AS110" i="3"/>
  <c r="AS118" i="3"/>
  <c r="T98" i="3"/>
  <c r="W146" i="3"/>
  <c r="W156" i="3"/>
  <c r="U165" i="3"/>
  <c r="U166" i="3" s="1"/>
  <c r="U171" i="3" s="1"/>
  <c r="V163" i="3"/>
  <c r="V159" i="3"/>
  <c r="W153" i="3" s="1"/>
  <c r="W154" i="3" s="1"/>
  <c r="AA123" i="3"/>
  <c r="AA125" i="3" s="1"/>
  <c r="AA126" i="3" s="1"/>
  <c r="AB122" i="3" s="1"/>
  <c r="Z127" i="3"/>
  <c r="Z129" i="3"/>
  <c r="AT69" i="3"/>
  <c r="AT56" i="3"/>
  <c r="AU55" i="3" s="1"/>
  <c r="AU59" i="3" s="1"/>
  <c r="X143" i="3"/>
  <c r="X145" i="3"/>
  <c r="X141" i="3"/>
  <c r="Y135" i="3" s="1"/>
  <c r="T111" i="3" l="1"/>
  <c r="T109" i="3" s="1"/>
  <c r="AS137" i="3"/>
  <c r="AS155" i="3"/>
  <c r="W147" i="3"/>
  <c r="W148" i="3" s="1"/>
  <c r="W158" i="3" s="1"/>
  <c r="W163" i="3" s="1"/>
  <c r="AT110" i="3"/>
  <c r="AT118" i="3"/>
  <c r="U169" i="3"/>
  <c r="U96" i="3"/>
  <c r="U98" i="3" s="1"/>
  <c r="V164" i="3"/>
  <c r="W157" i="3"/>
  <c r="AB123" i="3"/>
  <c r="AB125" i="3" s="1"/>
  <c r="AB126" i="3" s="1"/>
  <c r="AC122" i="3" s="1"/>
  <c r="Z138" i="3"/>
  <c r="Z130" i="3"/>
  <c r="AA129" i="3"/>
  <c r="AA127" i="3"/>
  <c r="Y136" i="3"/>
  <c r="Y139" i="3" s="1"/>
  <c r="AU69" i="3"/>
  <c r="AU56" i="3"/>
  <c r="AV55" i="3" s="1"/>
  <c r="AV59" i="3" s="1"/>
  <c r="X156" i="3"/>
  <c r="X146" i="3"/>
  <c r="AT137" i="3" l="1"/>
  <c r="AT155" i="3"/>
  <c r="U103" i="3"/>
  <c r="U105" i="3" s="1"/>
  <c r="U111" i="3" s="1"/>
  <c r="U109" i="3" s="1"/>
  <c r="V165" i="3"/>
  <c r="V166" i="3" s="1"/>
  <c r="V171" i="3" s="1"/>
  <c r="AU110" i="3"/>
  <c r="AU118" i="3"/>
  <c r="U172" i="3"/>
  <c r="W164" i="3"/>
  <c r="X147" i="3"/>
  <c r="X148" i="3" s="1"/>
  <c r="W159" i="3"/>
  <c r="X153" i="3" s="1"/>
  <c r="X154" i="3" s="1"/>
  <c r="X157" i="3" s="1"/>
  <c r="W161" i="3"/>
  <c r="Y140" i="3"/>
  <c r="Y143" i="3" s="1"/>
  <c r="AA138" i="3"/>
  <c r="AA130" i="3"/>
  <c r="AC123" i="3"/>
  <c r="AC125" i="3" s="1"/>
  <c r="AC126" i="3" s="1"/>
  <c r="AD122" i="3" s="1"/>
  <c r="AB127" i="3"/>
  <c r="AB129" i="3"/>
  <c r="AV56" i="3"/>
  <c r="AW55" i="3" s="1"/>
  <c r="AW59" i="3" s="1"/>
  <c r="AV69" i="3"/>
  <c r="V169" i="3" l="1"/>
  <c r="V172" i="3" s="1"/>
  <c r="AU137" i="3"/>
  <c r="AU155" i="3"/>
  <c r="AV110" i="3"/>
  <c r="AV118" i="3"/>
  <c r="V96" i="3"/>
  <c r="W165" i="3"/>
  <c r="W166" i="3" s="1"/>
  <c r="Y141" i="3"/>
  <c r="Z135" i="3" s="1"/>
  <c r="Z136" i="3" s="1"/>
  <c r="Z139" i="3" s="1"/>
  <c r="X158" i="3"/>
  <c r="X161" i="3" s="1"/>
  <c r="Y145" i="3"/>
  <c r="Y156" i="3" s="1"/>
  <c r="AD123" i="3"/>
  <c r="AD125" i="3" s="1"/>
  <c r="AD126" i="3" s="1"/>
  <c r="AE122" i="3" s="1"/>
  <c r="AC129" i="3"/>
  <c r="AC127" i="3"/>
  <c r="AB130" i="3"/>
  <c r="AB138" i="3"/>
  <c r="AW56" i="3"/>
  <c r="AX55" i="3" s="1"/>
  <c r="AX59" i="3" s="1"/>
  <c r="AW69" i="3"/>
  <c r="AV137" i="3" l="1"/>
  <c r="AV155" i="3"/>
  <c r="V103" i="3"/>
  <c r="V105" i="3" s="1"/>
  <c r="AW110" i="3"/>
  <c r="AW118" i="3"/>
  <c r="Y146" i="3"/>
  <c r="W171" i="3"/>
  <c r="W169" i="3"/>
  <c r="V98" i="3"/>
  <c r="X163" i="3"/>
  <c r="X159" i="3"/>
  <c r="Y153" i="3" s="1"/>
  <c r="Y154" i="3" s="1"/>
  <c r="Y157" i="3" s="1"/>
  <c r="Z140" i="3"/>
  <c r="Z141" i="3" s="1"/>
  <c r="AA135" i="3" s="1"/>
  <c r="AC138" i="3"/>
  <c r="AC130" i="3"/>
  <c r="AE123" i="3"/>
  <c r="AE125" i="3" s="1"/>
  <c r="AD127" i="3"/>
  <c r="AD129" i="3"/>
  <c r="AX56" i="3"/>
  <c r="AY55" i="3" s="1"/>
  <c r="AY59" i="3" s="1"/>
  <c r="AX69" i="3"/>
  <c r="V111" i="3" l="1"/>
  <c r="V109" i="3" s="1"/>
  <c r="Y147" i="3"/>
  <c r="Y148" i="3" s="1"/>
  <c r="Y158" i="3" s="1"/>
  <c r="Y159" i="3" s="1"/>
  <c r="Z153" i="3" s="1"/>
  <c r="AW155" i="3"/>
  <c r="AW137" i="3"/>
  <c r="AX110" i="3"/>
  <c r="AX118" i="3"/>
  <c r="X164" i="3"/>
  <c r="W172" i="3"/>
  <c r="W96" i="3"/>
  <c r="W98" i="3" s="1"/>
  <c r="Z143" i="3"/>
  <c r="Z145" i="3"/>
  <c r="Z156" i="3" s="1"/>
  <c r="AE127" i="3"/>
  <c r="AE129" i="3"/>
  <c r="AE126" i="3"/>
  <c r="AF122" i="3" s="1"/>
  <c r="AD138" i="3"/>
  <c r="AD130" i="3"/>
  <c r="AA136" i="3"/>
  <c r="AA140" i="3" s="1"/>
  <c r="AY69" i="3"/>
  <c r="AY56" i="3"/>
  <c r="AZ55" i="3" s="1"/>
  <c r="AZ59" i="3" s="1"/>
  <c r="W103" i="3" l="1"/>
  <c r="W105" i="3" s="1"/>
  <c r="W111" i="3" s="1"/>
  <c r="W109" i="3" s="1"/>
  <c r="AX155" i="3"/>
  <c r="AX137" i="3"/>
  <c r="X165" i="3"/>
  <c r="X166" i="3" s="1"/>
  <c r="X169" i="3" s="1"/>
  <c r="AA139" i="3"/>
  <c r="AA141" i="3" s="1"/>
  <c r="AB135" i="3" s="1"/>
  <c r="AB136" i="3" s="1"/>
  <c r="AY110" i="3"/>
  <c r="AY118" i="3"/>
  <c r="Z146" i="3"/>
  <c r="Y161" i="3"/>
  <c r="AF123" i="3"/>
  <c r="AF125" i="3" s="1"/>
  <c r="AF126" i="3" s="1"/>
  <c r="AG122" i="3" s="1"/>
  <c r="Y163" i="3"/>
  <c r="AE130" i="3"/>
  <c r="AE138" i="3"/>
  <c r="Z154" i="3"/>
  <c r="Z157" i="3" s="1"/>
  <c r="AZ56" i="3"/>
  <c r="BA55" i="3" s="1"/>
  <c r="BA59" i="3" s="1"/>
  <c r="AZ69" i="3"/>
  <c r="AA145" i="3"/>
  <c r="AA143" i="3"/>
  <c r="AY155" i="3" l="1"/>
  <c r="AY137" i="3"/>
  <c r="X171" i="3"/>
  <c r="X96" i="3" s="1"/>
  <c r="Z147" i="3"/>
  <c r="Z148" i="3" s="1"/>
  <c r="Z158" i="3" s="1"/>
  <c r="Z163" i="3" s="1"/>
  <c r="AZ110" i="3"/>
  <c r="AZ118" i="3"/>
  <c r="AB139" i="3"/>
  <c r="AB140" i="3"/>
  <c r="AG123" i="3"/>
  <c r="AG125" i="3" s="1"/>
  <c r="AG126" i="3" s="1"/>
  <c r="AH122" i="3" s="1"/>
  <c r="AF129" i="3"/>
  <c r="AF127" i="3"/>
  <c r="Y164" i="3"/>
  <c r="BA56" i="3"/>
  <c r="BB55" i="3" s="1"/>
  <c r="BB59" i="3" s="1"/>
  <c r="BA69" i="3"/>
  <c r="AA146" i="3"/>
  <c r="AA156" i="3"/>
  <c r="X103" i="3" l="1"/>
  <c r="X105" i="3" s="1"/>
  <c r="X172" i="3"/>
  <c r="AZ137" i="3"/>
  <c r="AZ155" i="3"/>
  <c r="BA110" i="3"/>
  <c r="BA118" i="3"/>
  <c r="Z164" i="3"/>
  <c r="AB141" i="3"/>
  <c r="AC135" i="3" s="1"/>
  <c r="AC136" i="3" s="1"/>
  <c r="AC140" i="3" s="1"/>
  <c r="X98" i="3"/>
  <c r="AB145" i="3"/>
  <c r="AB146" i="3" s="1"/>
  <c r="AB143" i="3"/>
  <c r="Y165" i="3"/>
  <c r="Y166" i="3" s="1"/>
  <c r="Y171" i="3" s="1"/>
  <c r="AA147" i="3"/>
  <c r="AA148" i="3" s="1"/>
  <c r="AH123" i="3"/>
  <c r="AH125" i="3" s="1"/>
  <c r="AH126" i="3" s="1"/>
  <c r="AI122" i="3" s="1"/>
  <c r="AG127" i="3"/>
  <c r="AG129" i="3"/>
  <c r="AF138" i="3"/>
  <c r="AF130" i="3"/>
  <c r="Z159" i="3"/>
  <c r="AA153" i="3" s="1"/>
  <c r="AA154" i="3" s="1"/>
  <c r="AA157" i="3" s="1"/>
  <c r="Z161" i="3"/>
  <c r="BB69" i="3"/>
  <c r="BB56" i="3"/>
  <c r="BC55" i="3" s="1"/>
  <c r="BC59" i="3" s="1"/>
  <c r="X111" i="3" l="1"/>
  <c r="X109" i="3" s="1"/>
  <c r="BA137" i="3"/>
  <c r="BA155" i="3"/>
  <c r="Y169" i="3"/>
  <c r="Y172" i="3" s="1"/>
  <c r="BB110" i="3"/>
  <c r="BB118" i="3"/>
  <c r="Y96" i="3"/>
  <c r="Z165" i="3"/>
  <c r="Z166" i="3" s="1"/>
  <c r="AB156" i="3"/>
  <c r="AC139" i="3"/>
  <c r="AC141" i="3" s="1"/>
  <c r="AD135" i="3" s="1"/>
  <c r="AB147" i="3"/>
  <c r="AB148" i="3" s="1"/>
  <c r="AH127" i="3"/>
  <c r="AH129" i="3"/>
  <c r="AI123" i="3"/>
  <c r="AI125" i="3" s="1"/>
  <c r="AA158" i="3"/>
  <c r="AA163" i="3" s="1"/>
  <c r="AG130" i="3"/>
  <c r="AG138" i="3"/>
  <c r="BC69" i="3"/>
  <c r="BC56" i="3"/>
  <c r="BD55" i="3" s="1"/>
  <c r="BD59" i="3" s="1"/>
  <c r="AC145" i="3"/>
  <c r="AC143" i="3"/>
  <c r="Y103" i="3" l="1"/>
  <c r="Y105" i="3" s="1"/>
  <c r="BB137" i="3"/>
  <c r="BB155" i="3"/>
  <c r="BC110" i="3"/>
  <c r="BC118" i="3"/>
  <c r="AA164" i="3"/>
  <c r="Y98" i="3"/>
  <c r="Z171" i="3"/>
  <c r="Z169" i="3"/>
  <c r="AA161" i="3"/>
  <c r="AA159" i="3"/>
  <c r="AB153" i="3" s="1"/>
  <c r="AB154" i="3" s="1"/>
  <c r="AB158" i="3" s="1"/>
  <c r="AI129" i="3"/>
  <c r="AI127" i="3"/>
  <c r="AH130" i="3"/>
  <c r="AH138" i="3"/>
  <c r="AI126" i="3"/>
  <c r="AJ122" i="3" s="1"/>
  <c r="AC156" i="3"/>
  <c r="AC146" i="3"/>
  <c r="BD56" i="3"/>
  <c r="BE55" i="3" s="1"/>
  <c r="BE59" i="3" s="1"/>
  <c r="BD69" i="3"/>
  <c r="AD136" i="3"/>
  <c r="AD139" i="3" s="1"/>
  <c r="Y111" i="3" l="1"/>
  <c r="Y109" i="3" s="1"/>
  <c r="AA165" i="3"/>
  <c r="AA166" i="3" s="1"/>
  <c r="AA171" i="3" s="1"/>
  <c r="AA96" i="3" s="1"/>
  <c r="AA98" i="3" s="1"/>
  <c r="BC137" i="3"/>
  <c r="BC155" i="3"/>
  <c r="Z172" i="3"/>
  <c r="BD110" i="3"/>
  <c r="BD118" i="3"/>
  <c r="Z96" i="3"/>
  <c r="Z98" i="3" s="1"/>
  <c r="AC147" i="3"/>
  <c r="AC148" i="3" s="1"/>
  <c r="AB157" i="3"/>
  <c r="AB159" i="3" s="1"/>
  <c r="AC153" i="3" s="1"/>
  <c r="AC154" i="3" s="1"/>
  <c r="AD140" i="3"/>
  <c r="AJ123" i="3"/>
  <c r="AJ125" i="3" s="1"/>
  <c r="AJ126" i="3" s="1"/>
  <c r="AK122" i="3" s="1"/>
  <c r="AI138" i="3"/>
  <c r="AI130" i="3"/>
  <c r="AB161" i="3"/>
  <c r="AB163" i="3"/>
  <c r="BE56" i="3"/>
  <c r="BF55" i="3" s="1"/>
  <c r="BF59" i="3" s="1"/>
  <c r="BE69" i="3"/>
  <c r="Z103" i="3" l="1"/>
  <c r="Z105" i="3" s="1"/>
  <c r="Z111" i="3" s="1"/>
  <c r="Z109" i="3" s="1"/>
  <c r="AA169" i="3"/>
  <c r="AA103" i="3" s="1"/>
  <c r="AA105" i="3" s="1"/>
  <c r="AA111" i="3" s="1"/>
  <c r="AA109" i="3" s="1"/>
  <c r="BD155" i="3"/>
  <c r="BD137" i="3"/>
  <c r="BE110" i="3"/>
  <c r="BE118" i="3"/>
  <c r="AK123" i="3"/>
  <c r="AK125" i="3" s="1"/>
  <c r="AJ127" i="3"/>
  <c r="AJ129" i="3"/>
  <c r="AC157" i="3"/>
  <c r="AC158" i="3"/>
  <c r="AC161" i="3" s="1"/>
  <c r="AB164" i="3"/>
  <c r="BF56" i="3"/>
  <c r="BG55" i="3" s="1"/>
  <c r="BG59" i="3" s="1"/>
  <c r="BF69" i="3"/>
  <c r="AD141" i="3"/>
  <c r="AE135" i="3" s="1"/>
  <c r="AD145" i="3"/>
  <c r="AD143" i="3"/>
  <c r="AA172" i="3" l="1"/>
  <c r="BE155" i="3"/>
  <c r="BE137" i="3"/>
  <c r="AK126" i="3"/>
  <c r="AL122" i="3" s="1"/>
  <c r="BF110" i="3"/>
  <c r="BF118" i="3"/>
  <c r="AB165" i="3"/>
  <c r="AB166" i="3" s="1"/>
  <c r="AB171" i="3" s="1"/>
  <c r="AL123" i="3"/>
  <c r="AK127" i="3"/>
  <c r="AK129" i="3"/>
  <c r="AJ138" i="3"/>
  <c r="AJ130" i="3"/>
  <c r="AC163" i="3"/>
  <c r="AC159" i="3"/>
  <c r="AD153" i="3" s="1"/>
  <c r="AD154" i="3" s="1"/>
  <c r="BG69" i="3"/>
  <c r="BG56" i="3"/>
  <c r="BH55" i="3" s="1"/>
  <c r="BH59" i="3" s="1"/>
  <c r="AD146" i="3"/>
  <c r="AD156" i="3"/>
  <c r="AE136" i="3"/>
  <c r="AE140" i="3" s="1"/>
  <c r="AE139" i="3" l="1"/>
  <c r="AE141" i="3" s="1"/>
  <c r="AF135" i="3" s="1"/>
  <c r="AL125" i="3"/>
  <c r="AL126" i="3" s="1"/>
  <c r="AM122" i="3" s="1"/>
  <c r="AM123" i="3" s="1"/>
  <c r="AM125" i="3" s="1"/>
  <c r="AB169" i="3"/>
  <c r="AB172" i="3" s="1"/>
  <c r="BF155" i="3"/>
  <c r="BF137" i="3"/>
  <c r="BG110" i="3"/>
  <c r="BG118" i="3"/>
  <c r="AB96" i="3"/>
  <c r="AC164" i="3"/>
  <c r="AD147" i="3"/>
  <c r="AD148" i="3" s="1"/>
  <c r="AD158" i="3" s="1"/>
  <c r="AD163" i="3" s="1"/>
  <c r="AK130" i="3"/>
  <c r="AK138" i="3"/>
  <c r="AD157" i="3"/>
  <c r="BH69" i="3"/>
  <c r="BH56" i="3"/>
  <c r="BI55" i="3" s="1"/>
  <c r="BI59" i="3" s="1"/>
  <c r="AE143" i="3"/>
  <c r="AE145" i="3"/>
  <c r="AL127" i="3" l="1"/>
  <c r="AL129" i="3"/>
  <c r="AL138" i="3" s="1"/>
  <c r="BG137" i="3"/>
  <c r="BG155" i="3"/>
  <c r="AC165" i="3"/>
  <c r="AC166" i="3" s="1"/>
  <c r="AC171" i="3" s="1"/>
  <c r="AC96" i="3" s="1"/>
  <c r="AC98" i="3" s="1"/>
  <c r="AB103" i="3"/>
  <c r="AB105" i="3" s="1"/>
  <c r="BH110" i="3"/>
  <c r="BH118" i="3"/>
  <c r="AD164" i="3"/>
  <c r="AB98" i="3"/>
  <c r="AD159" i="3"/>
  <c r="AE153" i="3" s="1"/>
  <c r="AE154" i="3" s="1"/>
  <c r="AF136" i="3"/>
  <c r="AF139" i="3" s="1"/>
  <c r="AM127" i="3"/>
  <c r="AM129" i="3"/>
  <c r="AM126" i="3"/>
  <c r="AN122" i="3" s="1"/>
  <c r="AD161" i="3"/>
  <c r="AE146" i="3"/>
  <c r="AE156" i="3"/>
  <c r="BI69" i="3"/>
  <c r="BI56" i="3"/>
  <c r="BJ55" i="3" s="1"/>
  <c r="BJ59" i="3" s="1"/>
  <c r="AF140" i="3" l="1"/>
  <c r="AF145" i="3" s="1"/>
  <c r="AF156" i="3" s="1"/>
  <c r="AL130" i="3"/>
  <c r="AB111" i="3"/>
  <c r="AB109" i="3" s="1"/>
  <c r="BH137" i="3"/>
  <c r="BH155" i="3"/>
  <c r="AC169" i="3"/>
  <c r="AC103" i="3" s="1"/>
  <c r="AC105" i="3" s="1"/>
  <c r="AC111" i="3" s="1"/>
  <c r="AC109" i="3" s="1"/>
  <c r="BI110" i="3"/>
  <c r="BI118" i="3"/>
  <c r="AD165" i="3"/>
  <c r="AD166" i="3" s="1"/>
  <c r="AE147" i="3"/>
  <c r="AE148" i="3" s="1"/>
  <c r="AE158" i="3" s="1"/>
  <c r="AE161" i="3" s="1"/>
  <c r="AN123" i="3"/>
  <c r="AN125" i="3" s="1"/>
  <c r="AM130" i="3"/>
  <c r="AM138" i="3"/>
  <c r="AE157" i="3"/>
  <c r="BJ69" i="3"/>
  <c r="BJ56" i="3"/>
  <c r="BK55" i="3" s="1"/>
  <c r="BK59" i="3" s="1"/>
  <c r="AF146" i="3" l="1"/>
  <c r="AF147" i="3" s="1"/>
  <c r="AF148" i="3" s="1"/>
  <c r="AF143" i="3"/>
  <c r="AF141" i="3"/>
  <c r="AG135" i="3" s="1"/>
  <c r="AG136" i="3" s="1"/>
  <c r="AG140" i="3" s="1"/>
  <c r="AG143" i="3" s="1"/>
  <c r="AC172" i="3"/>
  <c r="BI137" i="3"/>
  <c r="BI155" i="3"/>
  <c r="BJ110" i="3"/>
  <c r="BJ118" i="3"/>
  <c r="AD169" i="3"/>
  <c r="AD171" i="3"/>
  <c r="AN127" i="3"/>
  <c r="AN129" i="3"/>
  <c r="AN126" i="3"/>
  <c r="AO122" i="3" s="1"/>
  <c r="AG139" i="3"/>
  <c r="BK56" i="3"/>
  <c r="BL55" i="3" s="1"/>
  <c r="BL59" i="3" s="1"/>
  <c r="BK69" i="3"/>
  <c r="AE159" i="3"/>
  <c r="AF153" i="3" s="1"/>
  <c r="AE163" i="3"/>
  <c r="AG141" i="3" l="1"/>
  <c r="AH135" i="3" s="1"/>
  <c r="AH136" i="3" s="1"/>
  <c r="AH139" i="3" s="1"/>
  <c r="AG145" i="3"/>
  <c r="AG156" i="3" s="1"/>
  <c r="BJ137" i="3"/>
  <c r="BJ155" i="3"/>
  <c r="BK110" i="3"/>
  <c r="BK118" i="3"/>
  <c r="AD96" i="3"/>
  <c r="AD98" i="3" s="1"/>
  <c r="AD172" i="3"/>
  <c r="AO123" i="3"/>
  <c r="AN138" i="3"/>
  <c r="AN130" i="3"/>
  <c r="AE164" i="3"/>
  <c r="AF154" i="3"/>
  <c r="AF157" i="3" s="1"/>
  <c r="BL69" i="3"/>
  <c r="BL56" i="3"/>
  <c r="BM55" i="3" s="1"/>
  <c r="BM59" i="3" s="1"/>
  <c r="AG146" i="3" l="1"/>
  <c r="AG147" i="3" s="1"/>
  <c r="AG148" i="3" s="1"/>
  <c r="BK137" i="3"/>
  <c r="BK155" i="3"/>
  <c r="AH140" i="3"/>
  <c r="AH143" i="3" s="1"/>
  <c r="AD103" i="3"/>
  <c r="AD105" i="3" s="1"/>
  <c r="AD111" i="3" s="1"/>
  <c r="AD109" i="3" s="1"/>
  <c r="BL110" i="3"/>
  <c r="BL118" i="3"/>
  <c r="AE165" i="3"/>
  <c r="AE166" i="3" s="1"/>
  <c r="AE171" i="3" s="1"/>
  <c r="AF158" i="3"/>
  <c r="AF159" i="3" s="1"/>
  <c r="AG153" i="3" s="1"/>
  <c r="AO125" i="3"/>
  <c r="BM69" i="3"/>
  <c r="BM56" i="3"/>
  <c r="BN55" i="3" s="1"/>
  <c r="BN59" i="3" s="1"/>
  <c r="AH141" i="3" l="1"/>
  <c r="AI135" i="3" s="1"/>
  <c r="AI136" i="3" s="1"/>
  <c r="AI139" i="3" s="1"/>
  <c r="AH145" i="3"/>
  <c r="AH156" i="3" s="1"/>
  <c r="BL137" i="3"/>
  <c r="BL155" i="3"/>
  <c r="BM110" i="3"/>
  <c r="BM118" i="3"/>
  <c r="AE169" i="3"/>
  <c r="AE96" i="3"/>
  <c r="AF163" i="3"/>
  <c r="AF161" i="3"/>
  <c r="AO129" i="3"/>
  <c r="AO127" i="3"/>
  <c r="AO126" i="3"/>
  <c r="AP122" i="3" s="1"/>
  <c r="AG154" i="3"/>
  <c r="AG157" i="3" s="1"/>
  <c r="BN69" i="3"/>
  <c r="BN56" i="3"/>
  <c r="BO55" i="3" s="1"/>
  <c r="BO59" i="3" s="1"/>
  <c r="AH146" i="3" l="1"/>
  <c r="AH147" i="3" s="1"/>
  <c r="AH148" i="3" s="1"/>
  <c r="AI140" i="3"/>
  <c r="AI145" i="3" s="1"/>
  <c r="AE172" i="3"/>
  <c r="AE103" i="3"/>
  <c r="AE105" i="3" s="1"/>
  <c r="BM155" i="3"/>
  <c r="BM137" i="3"/>
  <c r="BN110" i="3"/>
  <c r="BN118" i="3"/>
  <c r="AE98" i="3"/>
  <c r="AF164" i="3"/>
  <c r="AF165" i="3" s="1"/>
  <c r="AF166" i="3" s="1"/>
  <c r="AF169" i="3" s="1"/>
  <c r="AG158" i="3"/>
  <c r="AG159" i="3" s="1"/>
  <c r="AH153" i="3" s="1"/>
  <c r="AP123" i="3"/>
  <c r="AP125" i="3" s="1"/>
  <c r="AP126" i="3" s="1"/>
  <c r="AQ122" i="3" s="1"/>
  <c r="AO138" i="3"/>
  <c r="AO130" i="3"/>
  <c r="BO56" i="3"/>
  <c r="BP55" i="3" s="1"/>
  <c r="BP59" i="3" s="1"/>
  <c r="AI141" i="3" l="1"/>
  <c r="AJ135" i="3" s="1"/>
  <c r="AJ136" i="3" s="1"/>
  <c r="AJ139" i="3" s="1"/>
  <c r="AI143" i="3"/>
  <c r="AE111" i="3"/>
  <c r="AE109" i="3" s="1"/>
  <c r="BN155" i="3"/>
  <c r="BN137" i="3"/>
  <c r="AF171" i="3"/>
  <c r="AF172" i="3" s="1"/>
  <c r="AG161" i="3"/>
  <c r="AG163" i="3"/>
  <c r="AP129" i="3"/>
  <c r="AP127" i="3"/>
  <c r="AQ123" i="3"/>
  <c r="AQ125" i="3" s="1"/>
  <c r="AQ126" i="3" s="1"/>
  <c r="AR122" i="3" s="1"/>
  <c r="AI146" i="3"/>
  <c r="AI156" i="3"/>
  <c r="BP56" i="3"/>
  <c r="BQ55" i="3" s="1"/>
  <c r="BQ59" i="3" s="1"/>
  <c r="BP69" i="3"/>
  <c r="BO65" i="3"/>
  <c r="BO67" i="3" s="1"/>
  <c r="BP62" i="3" s="1"/>
  <c r="BP67" i="3" s="1"/>
  <c r="BQ62" i="3" s="1"/>
  <c r="BQ67" i="3" s="1"/>
  <c r="BR62" i="3" s="1"/>
  <c r="BR67" i="3" s="1"/>
  <c r="BS62" i="3" s="1"/>
  <c r="BS67" i="3" s="1"/>
  <c r="BT62" i="3" s="1"/>
  <c r="BT67" i="3" s="1"/>
  <c r="BU62" i="3" s="1"/>
  <c r="BU67" i="3" s="1"/>
  <c r="BV62" i="3" s="1"/>
  <c r="BV67" i="3" s="1"/>
  <c r="BW62" i="3" s="1"/>
  <c r="BW67" i="3" s="1"/>
  <c r="BX62" i="3" s="1"/>
  <c r="BX67" i="3" s="1"/>
  <c r="BY62" i="3" s="1"/>
  <c r="BY67" i="3" s="1"/>
  <c r="BZ62" i="3" s="1"/>
  <c r="BZ67" i="3" s="1"/>
  <c r="CA62" i="3" s="1"/>
  <c r="CA67" i="3" s="1"/>
  <c r="CB62" i="3" s="1"/>
  <c r="CB67" i="3" s="1"/>
  <c r="CC62" i="3" s="1"/>
  <c r="CC67" i="3" s="1"/>
  <c r="CD62" i="3" s="1"/>
  <c r="CD67" i="3" s="1"/>
  <c r="CE62" i="3" s="1"/>
  <c r="CE67" i="3" s="1"/>
  <c r="CF62" i="3" s="1"/>
  <c r="CF67" i="3" s="1"/>
  <c r="CG62" i="3" s="1"/>
  <c r="CG67" i="3" s="1"/>
  <c r="CH62" i="3" s="1"/>
  <c r="CH67" i="3" s="1"/>
  <c r="CI62" i="3" s="1"/>
  <c r="CI67" i="3" s="1"/>
  <c r="CJ62" i="3" s="1"/>
  <c r="CJ67" i="3" s="1"/>
  <c r="CK62" i="3" s="1"/>
  <c r="CK67" i="3" s="1"/>
  <c r="CL62" i="3" s="1"/>
  <c r="CL67" i="3" s="1"/>
  <c r="CM62" i="3" s="1"/>
  <c r="CM67" i="3" s="1"/>
  <c r="CN62" i="3" s="1"/>
  <c r="CN67" i="3" s="1"/>
  <c r="CO62" i="3" s="1"/>
  <c r="CO67" i="3" s="1"/>
  <c r="CP62" i="3" s="1"/>
  <c r="CP67" i="3" s="1"/>
  <c r="CQ62" i="3" s="1"/>
  <c r="CQ67" i="3" s="1"/>
  <c r="CR62" i="3" s="1"/>
  <c r="CR67" i="3" s="1"/>
  <c r="CS62" i="3" s="1"/>
  <c r="CS67" i="3" s="1"/>
  <c r="CT62" i="3" s="1"/>
  <c r="CT67" i="3" s="1"/>
  <c r="CU62" i="3" s="1"/>
  <c r="CU67" i="3" s="1"/>
  <c r="CV62" i="3" s="1"/>
  <c r="CV67" i="3" s="1"/>
  <c r="CW62" i="3" s="1"/>
  <c r="CW67" i="3" s="1"/>
  <c r="CX62" i="3" s="1"/>
  <c r="CX67" i="3" s="1"/>
  <c r="CY62" i="3" s="1"/>
  <c r="CY67" i="3" s="1"/>
  <c r="CZ62" i="3" s="1"/>
  <c r="CZ67" i="3" s="1"/>
  <c r="DA62" i="3" s="1"/>
  <c r="DA67" i="3" s="1"/>
  <c r="DB62" i="3" s="1"/>
  <c r="DB67" i="3" s="1"/>
  <c r="DC62" i="3" s="1"/>
  <c r="AH154" i="3"/>
  <c r="AH158" i="3" s="1"/>
  <c r="BP110" i="3" l="1"/>
  <c r="BP118" i="3"/>
  <c r="AG164" i="3"/>
  <c r="AG165" i="3" s="1"/>
  <c r="AG166" i="3" s="1"/>
  <c r="AG169" i="3" s="1"/>
  <c r="AF96" i="3"/>
  <c r="AI147" i="3"/>
  <c r="AI148" i="3" s="1"/>
  <c r="AJ140" i="3"/>
  <c r="AJ145" i="3" s="1"/>
  <c r="AQ127" i="3"/>
  <c r="AQ129" i="3"/>
  <c r="AR123" i="3"/>
  <c r="AR125" i="3" s="1"/>
  <c r="AP130" i="3"/>
  <c r="AP138" i="3"/>
  <c r="BO69" i="3"/>
  <c r="AH163" i="3"/>
  <c r="AH161" i="3"/>
  <c r="BQ69" i="3"/>
  <c r="BQ56" i="3"/>
  <c r="BR55" i="3" s="1"/>
  <c r="BR59" i="3" s="1"/>
  <c r="AH157" i="3"/>
  <c r="AH159" i="3" s="1"/>
  <c r="AI153" i="3" s="1"/>
  <c r="BP137" i="3" l="1"/>
  <c r="BP155" i="3"/>
  <c r="AF103" i="3"/>
  <c r="AF105" i="3" s="1"/>
  <c r="BO110" i="3"/>
  <c r="BO118" i="3"/>
  <c r="BQ110" i="3"/>
  <c r="BQ118" i="3"/>
  <c r="AF98" i="3"/>
  <c r="AH164" i="3"/>
  <c r="AG171" i="3"/>
  <c r="AJ141" i="3"/>
  <c r="AK135" i="3" s="1"/>
  <c r="AK136" i="3" s="1"/>
  <c r="AK139" i="3" s="1"/>
  <c r="AJ143" i="3"/>
  <c r="AR127" i="3"/>
  <c r="AR129" i="3"/>
  <c r="AQ138" i="3"/>
  <c r="AQ130" i="3"/>
  <c r="AR126" i="3"/>
  <c r="AS122" i="3" s="1"/>
  <c r="AJ156" i="3"/>
  <c r="AJ146" i="3"/>
  <c r="AI154" i="3"/>
  <c r="AI157" i="3" s="1"/>
  <c r="BR69" i="3"/>
  <c r="BR56" i="3"/>
  <c r="BS55" i="3" s="1"/>
  <c r="BS59" i="3" s="1"/>
  <c r="AF111" i="3" l="1"/>
  <c r="AF109" i="3" s="1"/>
  <c r="BO137" i="3"/>
  <c r="BO155" i="3"/>
  <c r="AH165" i="3"/>
  <c r="AH166" i="3" s="1"/>
  <c r="AH169" i="3" s="1"/>
  <c r="BQ137" i="3"/>
  <c r="BQ155" i="3"/>
  <c r="BR110" i="3"/>
  <c r="BR118" i="3"/>
  <c r="AG96" i="3"/>
  <c r="AG172" i="3"/>
  <c r="AJ147" i="3"/>
  <c r="AJ148" i="3" s="1"/>
  <c r="AK140" i="3"/>
  <c r="AK141" i="3" s="1"/>
  <c r="AL135" i="3" s="1"/>
  <c r="AS123" i="3"/>
  <c r="AS125" i="3" s="1"/>
  <c r="AS126" i="3" s="1"/>
  <c r="AT122" i="3" s="1"/>
  <c r="AR138" i="3"/>
  <c r="AR130" i="3"/>
  <c r="AI158" i="3"/>
  <c r="AI159" i="3" s="1"/>
  <c r="AJ153" i="3" s="1"/>
  <c r="BS56" i="3"/>
  <c r="BT55" i="3" s="1"/>
  <c r="BT59" i="3" s="1"/>
  <c r="BS69" i="3"/>
  <c r="AH171" i="3" l="1"/>
  <c r="AH172" i="3" s="1"/>
  <c r="AG103" i="3"/>
  <c r="AG105" i="3" s="1"/>
  <c r="BR137" i="3"/>
  <c r="BR155" i="3"/>
  <c r="BS110" i="3"/>
  <c r="BS118" i="3"/>
  <c r="AH96" i="3"/>
  <c r="AG98" i="3"/>
  <c r="AI163" i="3"/>
  <c r="AI161" i="3"/>
  <c r="AK143" i="3"/>
  <c r="AK145" i="3"/>
  <c r="AT123" i="3"/>
  <c r="AT125" i="3" s="1"/>
  <c r="AT126" i="3" s="1"/>
  <c r="AU122" i="3" s="1"/>
  <c r="AS129" i="3"/>
  <c r="AS127" i="3"/>
  <c r="AL136" i="3"/>
  <c r="AL139" i="3" s="1"/>
  <c r="AJ154" i="3"/>
  <c r="AJ157" i="3" s="1"/>
  <c r="BT56" i="3"/>
  <c r="BU55" i="3" s="1"/>
  <c r="BU59" i="3" s="1"/>
  <c r="BT69" i="3"/>
  <c r="AG111" i="3" l="1"/>
  <c r="AG109" i="3" s="1"/>
  <c r="BS137" i="3"/>
  <c r="BS155" i="3"/>
  <c r="AH103" i="3"/>
  <c r="AH105" i="3" s="1"/>
  <c r="BT110" i="3"/>
  <c r="BT118" i="3"/>
  <c r="AK146" i="3"/>
  <c r="AI164" i="3"/>
  <c r="AH98" i="3"/>
  <c r="AK156" i="3"/>
  <c r="AL140" i="3"/>
  <c r="AL143" i="3" s="1"/>
  <c r="AU123" i="3"/>
  <c r="AU125" i="3" s="1"/>
  <c r="AU126" i="3" s="1"/>
  <c r="AV122" i="3" s="1"/>
  <c r="AS130" i="3"/>
  <c r="AS138" i="3"/>
  <c r="AT129" i="3"/>
  <c r="AT127" i="3"/>
  <c r="AJ158" i="3"/>
  <c r="AJ159" i="3" s="1"/>
  <c r="AK153" i="3" s="1"/>
  <c r="BU56" i="3"/>
  <c r="BV55" i="3" s="1"/>
  <c r="BV59" i="3" s="1"/>
  <c r="BU69" i="3"/>
  <c r="AH111" i="3" l="1"/>
  <c r="AH109" i="3" s="1"/>
  <c r="AK147" i="3"/>
  <c r="AK148" i="3" s="1"/>
  <c r="BT155" i="3"/>
  <c r="BT137" i="3"/>
  <c r="AI165" i="3"/>
  <c r="AI166" i="3" s="1"/>
  <c r="AI171" i="3" s="1"/>
  <c r="AI96" i="3" s="1"/>
  <c r="AI98" i="3" s="1"/>
  <c r="BU110" i="3"/>
  <c r="BU118" i="3"/>
  <c r="AL141" i="3"/>
  <c r="AM135" i="3" s="1"/>
  <c r="AM136" i="3" s="1"/>
  <c r="AM139" i="3" s="1"/>
  <c r="AL145" i="3"/>
  <c r="AJ161" i="3"/>
  <c r="AJ163" i="3"/>
  <c r="AV123" i="3"/>
  <c r="AV125" i="3" s="1"/>
  <c r="AV126" i="3" s="1"/>
  <c r="AW122" i="3" s="1"/>
  <c r="AT130" i="3"/>
  <c r="AT138" i="3"/>
  <c r="AU129" i="3"/>
  <c r="AU127" i="3"/>
  <c r="BV69" i="3"/>
  <c r="BV56" i="3"/>
  <c r="BW55" i="3" s="1"/>
  <c r="BW59" i="3" s="1"/>
  <c r="AK154" i="3"/>
  <c r="AK157" i="3" s="1"/>
  <c r="BU155" i="3" l="1"/>
  <c r="BU137" i="3"/>
  <c r="AI169" i="3"/>
  <c r="AI103" i="3" s="1"/>
  <c r="AI105" i="3" s="1"/>
  <c r="AI111" i="3" s="1"/>
  <c r="AI109" i="3" s="1"/>
  <c r="BV110" i="3"/>
  <c r="BV118" i="3"/>
  <c r="AL146" i="3"/>
  <c r="AL156" i="3"/>
  <c r="AJ164" i="3"/>
  <c r="AM140" i="3"/>
  <c r="AM145" i="3" s="1"/>
  <c r="AW123" i="3"/>
  <c r="AW125" i="3" s="1"/>
  <c r="AW126" i="3" s="1"/>
  <c r="AX122" i="3" s="1"/>
  <c r="AV129" i="3"/>
  <c r="AV127" i="3"/>
  <c r="AU130" i="3"/>
  <c r="AU138" i="3"/>
  <c r="AK158" i="3"/>
  <c r="AK159" i="3" s="1"/>
  <c r="AL153" i="3" s="1"/>
  <c r="BW56" i="3"/>
  <c r="BX55" i="3" s="1"/>
  <c r="BX59" i="3" s="1"/>
  <c r="BW69" i="3"/>
  <c r="BV155" i="3" l="1"/>
  <c r="BV137" i="3"/>
  <c r="AL147" i="3"/>
  <c r="AL148" i="3" s="1"/>
  <c r="AI172" i="3"/>
  <c r="BW110" i="3"/>
  <c r="BW118" i="3"/>
  <c r="AM141" i="3"/>
  <c r="AN135" i="3" s="1"/>
  <c r="AN136" i="3" s="1"/>
  <c r="AN140" i="3" s="1"/>
  <c r="AJ165" i="3"/>
  <c r="AJ166" i="3" s="1"/>
  <c r="AM143" i="3"/>
  <c r="AK161" i="3"/>
  <c r="AK163" i="3"/>
  <c r="AX123" i="3"/>
  <c r="AX125" i="3" s="1"/>
  <c r="AX126" i="3" s="1"/>
  <c r="AY122" i="3" s="1"/>
  <c r="AV138" i="3"/>
  <c r="AV130" i="3"/>
  <c r="AW127" i="3"/>
  <c r="AW129" i="3"/>
  <c r="AM156" i="3"/>
  <c r="AM146" i="3"/>
  <c r="BX69" i="3"/>
  <c r="BX56" i="3"/>
  <c r="BY55" i="3" s="1"/>
  <c r="BY59" i="3" s="1"/>
  <c r="AL154" i="3"/>
  <c r="BW155" i="3" l="1"/>
  <c r="BW137" i="3"/>
  <c r="AL158" i="3"/>
  <c r="AL161" i="3" s="1"/>
  <c r="BX110" i="3"/>
  <c r="BX118" i="3"/>
  <c r="AK164" i="3"/>
  <c r="AJ171" i="3"/>
  <c r="AJ169" i="3"/>
  <c r="AM147" i="3"/>
  <c r="AM148" i="3" s="1"/>
  <c r="AY123" i="3"/>
  <c r="AW138" i="3"/>
  <c r="AW130" i="3"/>
  <c r="AX127" i="3"/>
  <c r="AX129" i="3"/>
  <c r="AL157" i="3"/>
  <c r="AN143" i="3"/>
  <c r="AN145" i="3"/>
  <c r="AN139" i="3"/>
  <c r="AN141" i="3" s="1"/>
  <c r="AO135" i="3" s="1"/>
  <c r="BY56" i="3"/>
  <c r="BZ55" i="3" s="1"/>
  <c r="BZ59" i="3" s="1"/>
  <c r="BY69" i="3"/>
  <c r="AL159" i="3" l="1"/>
  <c r="AM153" i="3" s="1"/>
  <c r="AM154" i="3" s="1"/>
  <c r="AM158" i="3" s="1"/>
  <c r="AK165" i="3"/>
  <c r="AK166" i="3" s="1"/>
  <c r="AK171" i="3" s="1"/>
  <c r="AL163" i="3"/>
  <c r="AL164" i="3" s="1"/>
  <c r="BX137" i="3"/>
  <c r="BX155" i="3"/>
  <c r="BY110" i="3"/>
  <c r="BY118" i="3"/>
  <c r="AJ172" i="3"/>
  <c r="AJ96" i="3"/>
  <c r="AJ98" i="3" s="1"/>
  <c r="AX138" i="3"/>
  <c r="AX130" i="3"/>
  <c r="AY125" i="3"/>
  <c r="AY126" i="3" s="1"/>
  <c r="AZ122" i="3" s="1"/>
  <c r="AO136" i="3"/>
  <c r="AO139" i="3" s="1"/>
  <c r="AN156" i="3"/>
  <c r="AN146" i="3"/>
  <c r="BZ69" i="3"/>
  <c r="BZ56" i="3"/>
  <c r="CA55" i="3" s="1"/>
  <c r="CA59" i="3" s="1"/>
  <c r="AJ103" i="3" l="1"/>
  <c r="AJ105" i="3" s="1"/>
  <c r="AJ111" i="3" s="1"/>
  <c r="AJ109" i="3" s="1"/>
  <c r="AK169" i="3"/>
  <c r="AK172" i="3" s="1"/>
  <c r="BY137" i="3"/>
  <c r="BY155" i="3"/>
  <c r="BZ110" i="3"/>
  <c r="BZ118" i="3"/>
  <c r="AK96" i="3"/>
  <c r="AL165" i="3"/>
  <c r="AL166" i="3" s="1"/>
  <c r="AN147" i="3"/>
  <c r="AN148" i="3" s="1"/>
  <c r="AM157" i="3"/>
  <c r="AM159" i="3" s="1"/>
  <c r="AN153" i="3" s="1"/>
  <c r="AO140" i="3"/>
  <c r="AO141" i="3" s="1"/>
  <c r="AP135" i="3" s="1"/>
  <c r="AZ123" i="3"/>
  <c r="AZ125" i="3" s="1"/>
  <c r="AY129" i="3"/>
  <c r="AY127" i="3"/>
  <c r="CA69" i="3"/>
  <c r="CA56" i="3"/>
  <c r="CB55" i="3" s="1"/>
  <c r="CB59" i="3" s="1"/>
  <c r="AM163" i="3"/>
  <c r="AM161" i="3"/>
  <c r="BZ137" i="3" l="1"/>
  <c r="BZ155" i="3"/>
  <c r="AK103" i="3"/>
  <c r="AK105" i="3" s="1"/>
  <c r="CA110" i="3"/>
  <c r="CA118" i="3"/>
  <c r="AL171" i="3"/>
  <c r="AL169" i="3"/>
  <c r="AM164" i="3"/>
  <c r="AK98" i="3"/>
  <c r="AO143" i="3"/>
  <c r="AO145" i="3"/>
  <c r="AZ129" i="3"/>
  <c r="AZ127" i="3"/>
  <c r="AY130" i="3"/>
  <c r="AY138" i="3"/>
  <c r="AZ126" i="3"/>
  <c r="BA122" i="3" s="1"/>
  <c r="AP136" i="3"/>
  <c r="AP140" i="3" s="1"/>
  <c r="CB69" i="3"/>
  <c r="CB56" i="3"/>
  <c r="CC55" i="3" s="1"/>
  <c r="CC59" i="3" s="1"/>
  <c r="AN154" i="3"/>
  <c r="AN157" i="3" s="1"/>
  <c r="AK111" i="3" l="1"/>
  <c r="AK109" i="3" s="1"/>
  <c r="CA137" i="3"/>
  <c r="CA155" i="3"/>
  <c r="CB110" i="3"/>
  <c r="CB118" i="3"/>
  <c r="AO156" i="3"/>
  <c r="AL96" i="3"/>
  <c r="AL98" i="3" s="1"/>
  <c r="AL172" i="3"/>
  <c r="AM165" i="3"/>
  <c r="AM166" i="3" s="1"/>
  <c r="AM171" i="3" s="1"/>
  <c r="AP139" i="3"/>
  <c r="AP141" i="3" s="1"/>
  <c r="AQ135" i="3" s="1"/>
  <c r="AO146" i="3"/>
  <c r="BA123" i="3"/>
  <c r="BA125" i="3" s="1"/>
  <c r="AZ130" i="3"/>
  <c r="AZ138" i="3"/>
  <c r="AP145" i="3"/>
  <c r="AP143" i="3"/>
  <c r="AN158" i="3"/>
  <c r="AN163" i="3" s="1"/>
  <c r="CC69" i="3"/>
  <c r="CC56" i="3"/>
  <c r="CD55" i="3" s="1"/>
  <c r="CD59" i="3" s="1"/>
  <c r="CB137" i="3" l="1"/>
  <c r="CB155" i="3"/>
  <c r="AL103" i="3"/>
  <c r="AL105" i="3" s="1"/>
  <c r="AL111" i="3" s="1"/>
  <c r="AL109" i="3" s="1"/>
  <c r="CC110" i="3"/>
  <c r="CC118" i="3"/>
  <c r="AM96" i="3"/>
  <c r="AM98" i="3" s="1"/>
  <c r="AM169" i="3"/>
  <c r="AO147" i="3"/>
  <c r="AO148" i="3" s="1"/>
  <c r="BA127" i="3"/>
  <c r="BA129" i="3"/>
  <c r="BA126" i="3"/>
  <c r="BB122" i="3" s="1"/>
  <c r="AN161" i="3"/>
  <c r="AN159" i="3"/>
  <c r="AO153" i="3" s="1"/>
  <c r="AO154" i="3" s="1"/>
  <c r="AO157" i="3" s="1"/>
  <c r="AQ136" i="3"/>
  <c r="AQ139" i="3" s="1"/>
  <c r="AP146" i="3"/>
  <c r="AP156" i="3"/>
  <c r="CD56" i="3"/>
  <c r="CE55" i="3" s="1"/>
  <c r="CE59" i="3" s="1"/>
  <c r="CD69" i="3"/>
  <c r="AN164" i="3"/>
  <c r="AM103" i="3" l="1"/>
  <c r="AM105" i="3" s="1"/>
  <c r="AM111" i="3" s="1"/>
  <c r="AM109" i="3" s="1"/>
  <c r="CC155" i="3"/>
  <c r="CC137" i="3"/>
  <c r="CD110" i="3"/>
  <c r="CD118" i="3"/>
  <c r="AM172" i="3"/>
  <c r="AN165" i="3"/>
  <c r="AN166" i="3" s="1"/>
  <c r="AP147" i="3"/>
  <c r="AP148" i="3" s="1"/>
  <c r="AQ140" i="3"/>
  <c r="AQ143" i="3" s="1"/>
  <c r="BB123" i="3"/>
  <c r="BA138" i="3"/>
  <c r="BA130" i="3"/>
  <c r="AO158" i="3"/>
  <c r="AO159" i="3" s="1"/>
  <c r="AP153" i="3" s="1"/>
  <c r="CE56" i="3"/>
  <c r="CF55" i="3" s="1"/>
  <c r="CF59" i="3" s="1"/>
  <c r="CE69" i="3"/>
  <c r="CD155" i="3" l="1"/>
  <c r="CD137" i="3"/>
  <c r="CE110" i="3"/>
  <c r="CE118" i="3"/>
  <c r="AN169" i="3"/>
  <c r="AN171" i="3"/>
  <c r="AO161" i="3"/>
  <c r="AO163" i="3"/>
  <c r="AO164" i="3" s="1"/>
  <c r="BB125" i="3"/>
  <c r="AQ145" i="3"/>
  <c r="AQ141" i="3"/>
  <c r="AR135" i="3" s="1"/>
  <c r="AR136" i="3" s="1"/>
  <c r="AR139" i="3" s="1"/>
  <c r="CF56" i="3"/>
  <c r="CG55" i="3" s="1"/>
  <c r="CG59" i="3" s="1"/>
  <c r="CF69" i="3"/>
  <c r="AP154" i="3"/>
  <c r="AP157" i="3" s="1"/>
  <c r="AN172" i="3" l="1"/>
  <c r="CE155" i="3"/>
  <c r="CE137" i="3"/>
  <c r="CF110" i="3"/>
  <c r="CF118" i="3"/>
  <c r="AN96" i="3"/>
  <c r="AQ156" i="3"/>
  <c r="AO165" i="3"/>
  <c r="AO166" i="3" s="1"/>
  <c r="AO169" i="3" s="1"/>
  <c r="AR140" i="3"/>
  <c r="AR145" i="3" s="1"/>
  <c r="AQ146" i="3"/>
  <c r="BB127" i="3"/>
  <c r="BB129" i="3"/>
  <c r="BB126" i="3"/>
  <c r="BC122" i="3" s="1"/>
  <c r="CG69" i="3"/>
  <c r="CG56" i="3"/>
  <c r="CH55" i="3" s="1"/>
  <c r="CH59" i="3" s="1"/>
  <c r="AP158" i="3"/>
  <c r="AN103" i="3" l="1"/>
  <c r="AN105" i="3" s="1"/>
  <c r="CF137" i="3"/>
  <c r="CF155" i="3"/>
  <c r="CG110" i="3"/>
  <c r="CG118" i="3"/>
  <c r="AN98" i="3"/>
  <c r="AO171" i="3"/>
  <c r="AO96" i="3" s="1"/>
  <c r="AO98" i="3" s="1"/>
  <c r="AR143" i="3"/>
  <c r="AQ147" i="3"/>
  <c r="AQ148" i="3" s="1"/>
  <c r="AR141" i="3"/>
  <c r="AS135" i="3" s="1"/>
  <c r="AS136" i="3" s="1"/>
  <c r="AS139" i="3" s="1"/>
  <c r="BC123" i="3"/>
  <c r="BB130" i="3"/>
  <c r="BB138" i="3"/>
  <c r="AR156" i="3"/>
  <c r="AR146" i="3"/>
  <c r="CH56" i="3"/>
  <c r="CI55" i="3" s="1"/>
  <c r="CI59" i="3" s="1"/>
  <c r="CH69" i="3"/>
  <c r="AP163" i="3"/>
  <c r="AP161" i="3"/>
  <c r="AP159" i="3"/>
  <c r="AQ153" i="3" s="1"/>
  <c r="AN111" i="3" l="1"/>
  <c r="AN109" i="3" s="1"/>
  <c r="AO172" i="3"/>
  <c r="CG137" i="3"/>
  <c r="CG155" i="3"/>
  <c r="AO103" i="3"/>
  <c r="AO105" i="3" s="1"/>
  <c r="AO111" i="3" s="1"/>
  <c r="AO109" i="3" s="1"/>
  <c r="CH110" i="3"/>
  <c r="CH118" i="3"/>
  <c r="AR147" i="3"/>
  <c r="AR148" i="3" s="1"/>
  <c r="AS140" i="3"/>
  <c r="AS141" i="3" s="1"/>
  <c r="AT135" i="3" s="1"/>
  <c r="BC125" i="3"/>
  <c r="AQ154" i="3"/>
  <c r="AQ157" i="3" s="1"/>
  <c r="CI56" i="3"/>
  <c r="CJ55" i="3" s="1"/>
  <c r="CJ59" i="3" s="1"/>
  <c r="CI69" i="3"/>
  <c r="AP164" i="3"/>
  <c r="CH137" i="3" l="1"/>
  <c r="CH155" i="3"/>
  <c r="CI110" i="3"/>
  <c r="CI118" i="3"/>
  <c r="AS143" i="3"/>
  <c r="AS145" i="3"/>
  <c r="AS156" i="3" s="1"/>
  <c r="AP165" i="3"/>
  <c r="AP166" i="3" s="1"/>
  <c r="AQ158" i="3"/>
  <c r="AQ161" i="3" s="1"/>
  <c r="BC127" i="3"/>
  <c r="BC129" i="3"/>
  <c r="BC126" i="3"/>
  <c r="BD122" i="3" s="1"/>
  <c r="AT136" i="3"/>
  <c r="AT139" i="3" s="1"/>
  <c r="CJ56" i="3"/>
  <c r="CK55" i="3" s="1"/>
  <c r="CK59" i="3" s="1"/>
  <c r="CJ69" i="3"/>
  <c r="CI137" i="3" l="1"/>
  <c r="CI155" i="3"/>
  <c r="AP169" i="3"/>
  <c r="AP171" i="3"/>
  <c r="AP96" i="3" s="1"/>
  <c r="CJ110" i="3"/>
  <c r="CJ118" i="3"/>
  <c r="AS146" i="3"/>
  <c r="AQ163" i="3"/>
  <c r="AQ164" i="3" s="1"/>
  <c r="AQ159" i="3"/>
  <c r="AR153" i="3" s="1"/>
  <c r="AR154" i="3" s="1"/>
  <c r="AR157" i="3" s="1"/>
  <c r="AT140" i="3"/>
  <c r="AT145" i="3" s="1"/>
  <c r="BD123" i="3"/>
  <c r="BD125" i="3" s="1"/>
  <c r="BC138" i="3"/>
  <c r="BC130" i="3"/>
  <c r="CK69" i="3"/>
  <c r="CK56" i="3"/>
  <c r="CL55" i="3" s="1"/>
  <c r="CL59" i="3" s="1"/>
  <c r="CJ155" i="3" l="1"/>
  <c r="CJ137" i="3"/>
  <c r="AP103" i="3"/>
  <c r="AP105" i="3" s="1"/>
  <c r="AS147" i="3"/>
  <c r="AS148" i="3" s="1"/>
  <c r="AP172" i="3"/>
  <c r="CK110" i="3"/>
  <c r="CK118" i="3"/>
  <c r="AP98" i="3"/>
  <c r="AT141" i="3"/>
  <c r="AU135" i="3" s="1"/>
  <c r="AU136" i="3" s="1"/>
  <c r="AU139" i="3" s="1"/>
  <c r="AQ165" i="3"/>
  <c r="AQ166" i="3" s="1"/>
  <c r="AQ171" i="3" s="1"/>
  <c r="AT143" i="3"/>
  <c r="BD127" i="3"/>
  <c r="BD129" i="3"/>
  <c r="BD126" i="3"/>
  <c r="BE122" i="3" s="1"/>
  <c r="AR158" i="3"/>
  <c r="AR159" i="3" s="1"/>
  <c r="AS153" i="3" s="1"/>
  <c r="AT156" i="3"/>
  <c r="AT146" i="3"/>
  <c r="CL56" i="3"/>
  <c r="CM55" i="3" s="1"/>
  <c r="CM59" i="3" s="1"/>
  <c r="CL69" i="3"/>
  <c r="AP111" i="3" l="1"/>
  <c r="AP109" i="3" s="1"/>
  <c r="CK155" i="3"/>
  <c r="CK137" i="3"/>
  <c r="CL110" i="3"/>
  <c r="CL118" i="3"/>
  <c r="AQ96" i="3"/>
  <c r="AQ98" i="3" s="1"/>
  <c r="AQ169" i="3"/>
  <c r="AT147" i="3"/>
  <c r="AT148" i="3" s="1"/>
  <c r="AU140" i="3"/>
  <c r="AU143" i="3" s="1"/>
  <c r="AR161" i="3"/>
  <c r="BE123" i="3"/>
  <c r="AR163" i="3"/>
  <c r="BD138" i="3"/>
  <c r="BD130" i="3"/>
  <c r="CM69" i="3"/>
  <c r="CM56" i="3"/>
  <c r="CN55" i="3" s="1"/>
  <c r="CN59" i="3" s="1"/>
  <c r="AS154" i="3"/>
  <c r="AS157" i="3" s="1"/>
  <c r="AQ103" i="3" l="1"/>
  <c r="AQ105" i="3" s="1"/>
  <c r="AQ111" i="3" s="1"/>
  <c r="AQ109" i="3" s="1"/>
  <c r="CL155" i="3"/>
  <c r="CL137" i="3"/>
  <c r="AQ172" i="3"/>
  <c r="CM110" i="3"/>
  <c r="CM118" i="3"/>
  <c r="AR164" i="3"/>
  <c r="AU141" i="3"/>
  <c r="AV135" i="3" s="1"/>
  <c r="AV136" i="3" s="1"/>
  <c r="AV139" i="3" s="1"/>
  <c r="AU145" i="3"/>
  <c r="AU146" i="3" s="1"/>
  <c r="AS158" i="3"/>
  <c r="AS159" i="3" s="1"/>
  <c r="AT153" i="3" s="1"/>
  <c r="BE125" i="3"/>
  <c r="BE126" i="3" s="1"/>
  <c r="BF122" i="3" s="1"/>
  <c r="CN69" i="3"/>
  <c r="CN56" i="3"/>
  <c r="CO55" i="3" s="1"/>
  <c r="CO59" i="3" s="1"/>
  <c r="CM155" i="3" l="1"/>
  <c r="CM137" i="3"/>
  <c r="CN110" i="3"/>
  <c r="CN118" i="3"/>
  <c r="AU156" i="3"/>
  <c r="AR165" i="3"/>
  <c r="AR166" i="3" s="1"/>
  <c r="AR171" i="3" s="1"/>
  <c r="AU147" i="3"/>
  <c r="AU148" i="3" s="1"/>
  <c r="AS161" i="3"/>
  <c r="AS163" i="3"/>
  <c r="AV140" i="3"/>
  <c r="AV145" i="3" s="1"/>
  <c r="BF123" i="3"/>
  <c r="BF125" i="3" s="1"/>
  <c r="BE129" i="3"/>
  <c r="BE127" i="3"/>
  <c r="CO69" i="3"/>
  <c r="CO56" i="3"/>
  <c r="CP55" i="3" s="1"/>
  <c r="CP59" i="3" s="1"/>
  <c r="AT154" i="3"/>
  <c r="AT157" i="3" s="1"/>
  <c r="CN137" i="3" l="1"/>
  <c r="CN155" i="3"/>
  <c r="CO110" i="3"/>
  <c r="CO118" i="3"/>
  <c r="AT158" i="3"/>
  <c r="AT163" i="3" s="1"/>
  <c r="AR169" i="3"/>
  <c r="AS164" i="3"/>
  <c r="AR96" i="3"/>
  <c r="AR98" i="3" s="1"/>
  <c r="AV141" i="3"/>
  <c r="AW135" i="3" s="1"/>
  <c r="AW136" i="3" s="1"/>
  <c r="AW139" i="3" s="1"/>
  <c r="AV143" i="3"/>
  <c r="BF127" i="3"/>
  <c r="BF129" i="3"/>
  <c r="BF126" i="3"/>
  <c r="BG122" i="3" s="1"/>
  <c r="BE130" i="3"/>
  <c r="BE138" i="3"/>
  <c r="AV146" i="3"/>
  <c r="AV156" i="3"/>
  <c r="CP69" i="3"/>
  <c r="CP56" i="3"/>
  <c r="CQ55" i="3" s="1"/>
  <c r="CQ59" i="3" s="1"/>
  <c r="AS165" i="3" l="1"/>
  <c r="AS166" i="3" s="1"/>
  <c r="AS169" i="3" s="1"/>
  <c r="CO137" i="3"/>
  <c r="CO155" i="3"/>
  <c r="AR103" i="3"/>
  <c r="AR105" i="3" s="1"/>
  <c r="AR111" i="3" s="1"/>
  <c r="AR109" i="3" s="1"/>
  <c r="AT159" i="3"/>
  <c r="AU153" i="3" s="1"/>
  <c r="AU154" i="3" s="1"/>
  <c r="AU157" i="3" s="1"/>
  <c r="CP110" i="3"/>
  <c r="CP118" i="3"/>
  <c r="AT161" i="3"/>
  <c r="AR172" i="3"/>
  <c r="AV147" i="3"/>
  <c r="AV148" i="3" s="1"/>
  <c r="AW140" i="3"/>
  <c r="AW145" i="3" s="1"/>
  <c r="BF130" i="3"/>
  <c r="BF138" i="3"/>
  <c r="BG123" i="3"/>
  <c r="BG125" i="3" s="1"/>
  <c r="CQ56" i="3"/>
  <c r="CR55" i="3" s="1"/>
  <c r="CR59" i="3" s="1"/>
  <c r="CQ69" i="3"/>
  <c r="AT164" i="3"/>
  <c r="AS171" i="3" l="1"/>
  <c r="AS172" i="3" s="1"/>
  <c r="CP137" i="3"/>
  <c r="CP155" i="3"/>
  <c r="CQ110" i="3"/>
  <c r="CQ118" i="3"/>
  <c r="AT165" i="3"/>
  <c r="AT166" i="3" s="1"/>
  <c r="AT169" i="3" s="1"/>
  <c r="AW141" i="3"/>
  <c r="AX135" i="3" s="1"/>
  <c r="AX136" i="3" s="1"/>
  <c r="AX139" i="3" s="1"/>
  <c r="AW143" i="3"/>
  <c r="BG127" i="3"/>
  <c r="BG129" i="3"/>
  <c r="BG126" i="3"/>
  <c r="BH122" i="3" s="1"/>
  <c r="AW146" i="3"/>
  <c r="AW156" i="3"/>
  <c r="AU158" i="3"/>
  <c r="AU163" i="3" s="1"/>
  <c r="CR56" i="3"/>
  <c r="CS55" i="3" s="1"/>
  <c r="CS59" i="3" s="1"/>
  <c r="CR69" i="3"/>
  <c r="AS96" i="3" l="1"/>
  <c r="AS98" i="3" s="1"/>
  <c r="CQ137" i="3"/>
  <c r="CQ155" i="3"/>
  <c r="CR110" i="3"/>
  <c r="CR118" i="3"/>
  <c r="AT171" i="3"/>
  <c r="AW147" i="3"/>
  <c r="AW148" i="3" s="1"/>
  <c r="AX140" i="3"/>
  <c r="AX145" i="3" s="1"/>
  <c r="BH123" i="3"/>
  <c r="BH125" i="3" s="1"/>
  <c r="BG138" i="3"/>
  <c r="BG130" i="3"/>
  <c r="AU159" i="3"/>
  <c r="AV153" i="3" s="1"/>
  <c r="AV154" i="3" s="1"/>
  <c r="AV157" i="3" s="1"/>
  <c r="AU161" i="3"/>
  <c r="CS56" i="3"/>
  <c r="CT55" i="3" s="1"/>
  <c r="CT59" i="3" s="1"/>
  <c r="CS69" i="3"/>
  <c r="AU164" i="3"/>
  <c r="AS103" i="3" l="1"/>
  <c r="AS105" i="3" s="1"/>
  <c r="AS111" i="3" s="1"/>
  <c r="AS109" i="3" s="1"/>
  <c r="CR155" i="3"/>
  <c r="CR137" i="3"/>
  <c r="AT172" i="3"/>
  <c r="CS110" i="3"/>
  <c r="CS118" i="3"/>
  <c r="AT96" i="3"/>
  <c r="AX141" i="3"/>
  <c r="AY135" i="3" s="1"/>
  <c r="AY136" i="3" s="1"/>
  <c r="AY139" i="3" s="1"/>
  <c r="AU165" i="3"/>
  <c r="AU166" i="3" s="1"/>
  <c r="AX143" i="3"/>
  <c r="BH127" i="3"/>
  <c r="BH129" i="3"/>
  <c r="BH126" i="3"/>
  <c r="BI122" i="3" s="1"/>
  <c r="AV158" i="3"/>
  <c r="AV159" i="3" s="1"/>
  <c r="AW153" i="3" s="1"/>
  <c r="AX146" i="3"/>
  <c r="AX156" i="3"/>
  <c r="CT69" i="3"/>
  <c r="CT56" i="3"/>
  <c r="CU55" i="3" s="1"/>
  <c r="CU59" i="3" s="1"/>
  <c r="AT103" i="3" l="1"/>
  <c r="AT105" i="3" s="1"/>
  <c r="CS155" i="3"/>
  <c r="CS137" i="3"/>
  <c r="CT110" i="3"/>
  <c r="CT118" i="3"/>
  <c r="AU169" i="3"/>
  <c r="AT98" i="3"/>
  <c r="AU171" i="3"/>
  <c r="AX147" i="3"/>
  <c r="AX148" i="3" s="1"/>
  <c r="AY140" i="3"/>
  <c r="AY145" i="3" s="1"/>
  <c r="BI123" i="3"/>
  <c r="BI125" i="3" s="1"/>
  <c r="BH130" i="3"/>
  <c r="BH138" i="3"/>
  <c r="AV161" i="3"/>
  <c r="AV163" i="3"/>
  <c r="AW154" i="3"/>
  <c r="AW157" i="3" s="1"/>
  <c r="CU56" i="3"/>
  <c r="CV55" i="3" s="1"/>
  <c r="CV59" i="3" s="1"/>
  <c r="CU69" i="3"/>
  <c r="AT111" i="3" l="1"/>
  <c r="AT109" i="3" s="1"/>
  <c r="CT155" i="3"/>
  <c r="CT137" i="3"/>
  <c r="AU172" i="3"/>
  <c r="CU110" i="3"/>
  <c r="CU118" i="3"/>
  <c r="AV164" i="3"/>
  <c r="AU96" i="3"/>
  <c r="AY143" i="3"/>
  <c r="AY141" i="3"/>
  <c r="AZ135" i="3" s="1"/>
  <c r="AZ136" i="3" s="1"/>
  <c r="AZ139" i="3" s="1"/>
  <c r="BI129" i="3"/>
  <c r="BI127" i="3"/>
  <c r="BI126" i="3"/>
  <c r="BJ122" i="3" s="1"/>
  <c r="AW158" i="3"/>
  <c r="AW161" i="3" s="1"/>
  <c r="AY156" i="3"/>
  <c r="AY146" i="3"/>
  <c r="CV69" i="3"/>
  <c r="CV56" i="3"/>
  <c r="CW55" i="3" s="1"/>
  <c r="CW59" i="3" s="1"/>
  <c r="CU155" i="3" l="1"/>
  <c r="CU137" i="3"/>
  <c r="AV165" i="3"/>
  <c r="AV166" i="3" s="1"/>
  <c r="AV171" i="3" s="1"/>
  <c r="AU103" i="3"/>
  <c r="AU105" i="3" s="1"/>
  <c r="CV110" i="3"/>
  <c r="CV118" i="3"/>
  <c r="AU98" i="3"/>
  <c r="AY147" i="3"/>
  <c r="AY148" i="3" s="1"/>
  <c r="AW163" i="3"/>
  <c r="AZ140" i="3"/>
  <c r="AZ145" i="3" s="1"/>
  <c r="BJ123" i="3"/>
  <c r="BJ125" i="3" s="1"/>
  <c r="BJ126" i="3" s="1"/>
  <c r="BK122" i="3" s="1"/>
  <c r="AW159" i="3"/>
  <c r="AX153" i="3" s="1"/>
  <c r="AX154" i="3" s="1"/>
  <c r="BI130" i="3"/>
  <c r="BI138" i="3"/>
  <c r="CW69" i="3"/>
  <c r="CW56" i="3"/>
  <c r="CX55" i="3" s="1"/>
  <c r="CX59" i="3" s="1"/>
  <c r="AU111" i="3" l="1"/>
  <c r="AU109" i="3" s="1"/>
  <c r="AV169" i="3"/>
  <c r="AV172" i="3" s="1"/>
  <c r="CV137" i="3"/>
  <c r="CV155" i="3"/>
  <c r="CW110" i="3"/>
  <c r="CW118" i="3"/>
  <c r="AW164" i="3"/>
  <c r="AV96" i="3"/>
  <c r="AV98" i="3" s="1"/>
  <c r="AZ141" i="3"/>
  <c r="BA135" i="3" s="1"/>
  <c r="BA136" i="3" s="1"/>
  <c r="BA139" i="3" s="1"/>
  <c r="AZ143" i="3"/>
  <c r="BK123" i="3"/>
  <c r="BK125" i="3" s="1"/>
  <c r="AX158" i="3"/>
  <c r="AX163" i="3" s="1"/>
  <c r="BJ129" i="3"/>
  <c r="BJ127" i="3"/>
  <c r="AX157" i="3"/>
  <c r="AZ156" i="3"/>
  <c r="AZ146" i="3"/>
  <c r="CX56" i="3"/>
  <c r="CY55" i="3" s="1"/>
  <c r="CY59" i="3" s="1"/>
  <c r="CX69" i="3"/>
  <c r="AW165" i="3" l="1"/>
  <c r="AW166" i="3" s="1"/>
  <c r="AW171" i="3" s="1"/>
  <c r="CW137" i="3"/>
  <c r="CW155" i="3"/>
  <c r="AV103" i="3"/>
  <c r="AV105" i="3" s="1"/>
  <c r="AV111" i="3" s="1"/>
  <c r="AV109" i="3" s="1"/>
  <c r="CX110" i="3"/>
  <c r="CX118" i="3"/>
  <c r="AZ147" i="3"/>
  <c r="AZ148" i="3" s="1"/>
  <c r="BA140" i="3"/>
  <c r="BA141" i="3" s="1"/>
  <c r="BB135" i="3" s="1"/>
  <c r="AX164" i="3"/>
  <c r="BK127" i="3"/>
  <c r="BK129" i="3"/>
  <c r="BK126" i="3"/>
  <c r="BL122" i="3" s="1"/>
  <c r="AX159" i="3"/>
  <c r="AY153" i="3" s="1"/>
  <c r="BJ138" i="3"/>
  <c r="BJ130" i="3"/>
  <c r="AX161" i="3"/>
  <c r="CY56" i="3"/>
  <c r="CZ55" i="3" s="1"/>
  <c r="CZ59" i="3" s="1"/>
  <c r="CY69" i="3"/>
  <c r="AW169" i="3" l="1"/>
  <c r="AW172" i="3" s="1"/>
  <c r="CX137" i="3"/>
  <c r="CX155" i="3"/>
  <c r="AX165" i="3"/>
  <c r="AX166" i="3" s="1"/>
  <c r="AX169" i="3" s="1"/>
  <c r="CY110" i="3"/>
  <c r="CY118" i="3"/>
  <c r="BA143" i="3"/>
  <c r="BA145" i="3"/>
  <c r="BA146" i="3" s="1"/>
  <c r="AW96" i="3"/>
  <c r="AY154" i="3"/>
  <c r="AY158" i="3" s="1"/>
  <c r="BL123" i="3"/>
  <c r="BL125" i="3" s="1"/>
  <c r="BK138" i="3"/>
  <c r="BK130" i="3"/>
  <c r="BB136" i="3"/>
  <c r="BB140" i="3" s="1"/>
  <c r="CZ56" i="3"/>
  <c r="DA55" i="3" s="1"/>
  <c r="DA59" i="3" s="1"/>
  <c r="CZ69" i="3"/>
  <c r="BA156" i="3" l="1"/>
  <c r="CY137" i="3"/>
  <c r="CY155" i="3"/>
  <c r="AX171" i="3"/>
  <c r="AX96" i="3" s="1"/>
  <c r="AW103" i="3"/>
  <c r="AW105" i="3" s="1"/>
  <c r="CZ110" i="3"/>
  <c r="CZ118" i="3"/>
  <c r="AW98" i="3"/>
  <c r="BA147" i="3"/>
  <c r="BA148" i="3" s="1"/>
  <c r="BB139" i="3"/>
  <c r="BB141" i="3" s="1"/>
  <c r="BC135" i="3" s="1"/>
  <c r="AY157" i="3"/>
  <c r="AY159" i="3" s="1"/>
  <c r="AZ153" i="3" s="1"/>
  <c r="AZ154" i="3" s="1"/>
  <c r="AZ157" i="3" s="1"/>
  <c r="AY161" i="3"/>
  <c r="AY163" i="3"/>
  <c r="BL127" i="3"/>
  <c r="BL129" i="3"/>
  <c r="BL126" i="3"/>
  <c r="BM122" i="3" s="1"/>
  <c r="BB143" i="3"/>
  <c r="BB145" i="3"/>
  <c r="DA56" i="3"/>
  <c r="DB55" i="3" s="1"/>
  <c r="DB59" i="3" s="1"/>
  <c r="DA69" i="3"/>
  <c r="AW111" i="3" l="1"/>
  <c r="AW109" i="3" s="1"/>
  <c r="AX103" i="3"/>
  <c r="AX105" i="3" s="1"/>
  <c r="AX172" i="3"/>
  <c r="CZ137" i="3"/>
  <c r="CZ155" i="3"/>
  <c r="DA110" i="3"/>
  <c r="DA118" i="3"/>
  <c r="AX98" i="3"/>
  <c r="AZ158" i="3"/>
  <c r="AZ161" i="3" s="1"/>
  <c r="BC136" i="3"/>
  <c r="BC139" i="3" s="1"/>
  <c r="BM123" i="3"/>
  <c r="BM125" i="3" s="1"/>
  <c r="AY164" i="3"/>
  <c r="BL130" i="3"/>
  <c r="BL138" i="3"/>
  <c r="BB156" i="3"/>
  <c r="BB146" i="3"/>
  <c r="DB56" i="3"/>
  <c r="DC55" i="3" s="1"/>
  <c r="DC59" i="3" s="1"/>
  <c r="DB69" i="3"/>
  <c r="DC65" i="3"/>
  <c r="DC67" i="3" s="1"/>
  <c r="DD62" i="3" s="1"/>
  <c r="DD67" i="3" s="1"/>
  <c r="DE62" i="3" s="1"/>
  <c r="DE67" i="3" s="1"/>
  <c r="DF62" i="3" s="1"/>
  <c r="DF67" i="3" s="1"/>
  <c r="DG62" i="3" s="1"/>
  <c r="DG67" i="3" s="1"/>
  <c r="DH62" i="3" s="1"/>
  <c r="DH67" i="3" s="1"/>
  <c r="DI62" i="3" s="1"/>
  <c r="DI67" i="3" s="1"/>
  <c r="DJ62" i="3" s="1"/>
  <c r="DJ67" i="3" s="1"/>
  <c r="DK62" i="3" s="1"/>
  <c r="DK67" i="3" s="1"/>
  <c r="DL62" i="3" s="1"/>
  <c r="DL67" i="3" s="1"/>
  <c r="DM62" i="3" s="1"/>
  <c r="DM67" i="3" s="1"/>
  <c r="DN62" i="3" s="1"/>
  <c r="DN67" i="3" s="1"/>
  <c r="DO62" i="3" s="1"/>
  <c r="DO67" i="3" s="1"/>
  <c r="DP62" i="3" s="1"/>
  <c r="DP67" i="3" s="1"/>
  <c r="DQ62" i="3" s="1"/>
  <c r="DQ67" i="3" s="1"/>
  <c r="DR62" i="3" s="1"/>
  <c r="DR67" i="3" s="1"/>
  <c r="DS62" i="3" s="1"/>
  <c r="DS67" i="3" s="1"/>
  <c r="DT62" i="3" s="1"/>
  <c r="DT67" i="3" s="1"/>
  <c r="DU62" i="3" s="1"/>
  <c r="DU67" i="3" s="1"/>
  <c r="DV62" i="3" s="1"/>
  <c r="DV67" i="3" s="1"/>
  <c r="DW62" i="3" s="1"/>
  <c r="AX111" i="3" l="1"/>
  <c r="AX109" i="3" s="1"/>
  <c r="BC140" i="3"/>
  <c r="BC141" i="3" s="1"/>
  <c r="BD135" i="3" s="1"/>
  <c r="DA155" i="3"/>
  <c r="DA137" i="3"/>
  <c r="DB110" i="3"/>
  <c r="DB118" i="3"/>
  <c r="AZ159" i="3"/>
  <c r="BA153" i="3" s="1"/>
  <c r="BA154" i="3" s="1"/>
  <c r="BA158" i="3" s="1"/>
  <c r="BA163" i="3" s="1"/>
  <c r="AZ163" i="3"/>
  <c r="BB147" i="3"/>
  <c r="BB148" i="3" s="1"/>
  <c r="AY165" i="3"/>
  <c r="AY166" i="3" s="1"/>
  <c r="BM126" i="3"/>
  <c r="BN122" i="3" s="1"/>
  <c r="BN123" i="3" s="1"/>
  <c r="BM127" i="3"/>
  <c r="BM129" i="3"/>
  <c r="DC56" i="3"/>
  <c r="DD55" i="3" s="1"/>
  <c r="DD59" i="3" s="1"/>
  <c r="DC69" i="3"/>
  <c r="BN125" i="3" l="1"/>
  <c r="BN126" i="3" s="1"/>
  <c r="BO122" i="3" s="1"/>
  <c r="BO123" i="3" s="1"/>
  <c r="BO125" i="3" s="1"/>
  <c r="BC143" i="3"/>
  <c r="BC145" i="3"/>
  <c r="BC146" i="3" s="1"/>
  <c r="DB155" i="3"/>
  <c r="DB137" i="3"/>
  <c r="BA157" i="3"/>
  <c r="BA159" i="3" s="1"/>
  <c r="BB153" i="3" s="1"/>
  <c r="BB154" i="3" s="1"/>
  <c r="BB157" i="3" s="1"/>
  <c r="DC110" i="3"/>
  <c r="DC118" i="3"/>
  <c r="BA161" i="3"/>
  <c r="AZ164" i="3"/>
  <c r="BA164" i="3"/>
  <c r="AY169" i="3"/>
  <c r="AY171" i="3"/>
  <c r="BM138" i="3"/>
  <c r="BM130" i="3"/>
  <c r="BD136" i="3"/>
  <c r="BD139" i="3" s="1"/>
  <c r="DD56" i="3"/>
  <c r="DE55" i="3" s="1"/>
  <c r="DE59" i="3" s="1"/>
  <c r="DD69" i="3"/>
  <c r="BN127" i="3" l="1"/>
  <c r="BN129" i="3"/>
  <c r="BN138" i="3" s="1"/>
  <c r="BC156" i="3"/>
  <c r="BB158" i="3"/>
  <c r="BB159" i="3" s="1"/>
  <c r="BC153" i="3" s="1"/>
  <c r="BC154" i="3" s="1"/>
  <c r="DC137" i="3"/>
  <c r="DC155" i="3"/>
  <c r="DD110" i="3"/>
  <c r="DD118" i="3"/>
  <c r="AY172" i="3"/>
  <c r="AZ165" i="3"/>
  <c r="AZ166" i="3" s="1"/>
  <c r="AY96" i="3"/>
  <c r="AY103" i="3" s="1"/>
  <c r="BA165" i="3"/>
  <c r="BA166" i="3" s="1"/>
  <c r="BA171" i="3" s="1"/>
  <c r="BC147" i="3"/>
  <c r="BC148" i="3" s="1"/>
  <c r="BD140" i="3"/>
  <c r="BD143" i="3" s="1"/>
  <c r="BO127" i="3"/>
  <c r="BO129" i="3"/>
  <c r="BO126" i="3"/>
  <c r="BP122" i="3" s="1"/>
  <c r="DE56" i="3"/>
  <c r="DF55" i="3" s="1"/>
  <c r="DF59" i="3" s="1"/>
  <c r="DE69" i="3"/>
  <c r="BN130" i="3" l="1"/>
  <c r="BC157" i="3"/>
  <c r="BB163" i="3"/>
  <c r="BB161" i="3"/>
  <c r="AY105" i="3"/>
  <c r="DD137" i="3"/>
  <c r="DD155" i="3"/>
  <c r="DE110" i="3"/>
  <c r="DE118" i="3"/>
  <c r="BA96" i="3"/>
  <c r="BA98" i="3" s="1"/>
  <c r="AZ171" i="3"/>
  <c r="AZ169" i="3"/>
  <c r="BA169" i="3"/>
  <c r="AY98" i="3"/>
  <c r="BB164" i="3"/>
  <c r="BD141" i="3"/>
  <c r="BE135" i="3" s="1"/>
  <c r="BE136" i="3" s="1"/>
  <c r="BE139" i="3" s="1"/>
  <c r="BD145" i="3"/>
  <c r="BP123" i="3"/>
  <c r="BP125" i="3" s="1"/>
  <c r="BO130" i="3"/>
  <c r="BO138" i="3"/>
  <c r="DF69" i="3"/>
  <c r="DF56" i="3"/>
  <c r="DG55" i="3" s="1"/>
  <c r="DG59" i="3" s="1"/>
  <c r="BC158" i="3"/>
  <c r="AY111" i="3" l="1"/>
  <c r="AY109" i="3" s="1"/>
  <c r="DE137" i="3"/>
  <c r="DE155" i="3"/>
  <c r="BA103" i="3"/>
  <c r="BA105" i="3" s="1"/>
  <c r="BA111" i="3" s="1"/>
  <c r="BA109" i="3" s="1"/>
  <c r="DF110" i="3"/>
  <c r="DF118" i="3"/>
  <c r="AZ172" i="3"/>
  <c r="BD156" i="3"/>
  <c r="BA172" i="3"/>
  <c r="AZ96" i="3"/>
  <c r="BD146" i="3"/>
  <c r="BB165" i="3"/>
  <c r="BB166" i="3" s="1"/>
  <c r="BE140" i="3"/>
  <c r="BE145" i="3" s="1"/>
  <c r="BP129" i="3"/>
  <c r="BP127" i="3"/>
  <c r="BP126" i="3"/>
  <c r="BQ122" i="3" s="1"/>
  <c r="DG56" i="3"/>
  <c r="DH55" i="3" s="1"/>
  <c r="DH59" i="3" s="1"/>
  <c r="DG69" i="3"/>
  <c r="BC163" i="3"/>
  <c r="BC161" i="3"/>
  <c r="BC159" i="3"/>
  <c r="BD153" i="3" s="1"/>
  <c r="DF137" i="3" l="1"/>
  <c r="DF155" i="3"/>
  <c r="AZ103" i="3"/>
  <c r="AZ105" i="3" s="1"/>
  <c r="DG110" i="3"/>
  <c r="DG118" i="3"/>
  <c r="BE141" i="3"/>
  <c r="BF135" i="3" s="1"/>
  <c r="BF136" i="3" s="1"/>
  <c r="BF139" i="3" s="1"/>
  <c r="AZ98" i="3"/>
  <c r="BC164" i="3"/>
  <c r="BD147" i="3"/>
  <c r="BD148" i="3" s="1"/>
  <c r="BB169" i="3"/>
  <c r="BB171" i="3"/>
  <c r="BE143" i="3"/>
  <c r="BQ123" i="3"/>
  <c r="BQ125" i="3" s="1"/>
  <c r="BQ126" i="3" s="1"/>
  <c r="BR122" i="3" s="1"/>
  <c r="BP130" i="3"/>
  <c r="BP138" i="3"/>
  <c r="BE156" i="3"/>
  <c r="BE146" i="3"/>
  <c r="BD154" i="3"/>
  <c r="BD157" i="3" s="1"/>
  <c r="DH69" i="3"/>
  <c r="DH56" i="3"/>
  <c r="DI55" i="3" s="1"/>
  <c r="DI59" i="3" s="1"/>
  <c r="AZ111" i="3" l="1"/>
  <c r="AZ109" i="3" s="1"/>
  <c r="DG137" i="3"/>
  <c r="DG155" i="3"/>
  <c r="DH110" i="3"/>
  <c r="DH118" i="3"/>
  <c r="BB172" i="3"/>
  <c r="BC165" i="3"/>
  <c r="BC166" i="3" s="1"/>
  <c r="BC169" i="3" s="1"/>
  <c r="BB96" i="3"/>
  <c r="BD158" i="3"/>
  <c r="BD163" i="3" s="1"/>
  <c r="BE147" i="3"/>
  <c r="BE148" i="3" s="1"/>
  <c r="BF140" i="3"/>
  <c r="BF143" i="3" s="1"/>
  <c r="BR123" i="3"/>
  <c r="BQ129" i="3"/>
  <c r="BQ127" i="3"/>
  <c r="DI69" i="3"/>
  <c r="DI56" i="3"/>
  <c r="DJ55" i="3" s="1"/>
  <c r="DJ59" i="3" s="1"/>
  <c r="DH137" i="3" l="1"/>
  <c r="DH155" i="3"/>
  <c r="BB103" i="3"/>
  <c r="BB105" i="3" s="1"/>
  <c r="DI110" i="3"/>
  <c r="DI118" i="3"/>
  <c r="BC171" i="3"/>
  <c r="BC96" i="3" s="1"/>
  <c r="BF145" i="3"/>
  <c r="BF156" i="3" s="1"/>
  <c r="BF141" i="3"/>
  <c r="BG135" i="3" s="1"/>
  <c r="BG136" i="3" s="1"/>
  <c r="BG139" i="3" s="1"/>
  <c r="BD164" i="3"/>
  <c r="BD159" i="3"/>
  <c r="BE153" i="3" s="1"/>
  <c r="BE154" i="3" s="1"/>
  <c r="BB98" i="3"/>
  <c r="BD161" i="3"/>
  <c r="BQ138" i="3"/>
  <c r="BQ130" i="3"/>
  <c r="BR125" i="3"/>
  <c r="DJ69" i="3"/>
  <c r="DJ56" i="3"/>
  <c r="DK55" i="3" s="1"/>
  <c r="DK59" i="3" s="1"/>
  <c r="BB111" i="3" l="1"/>
  <c r="BB109" i="3" s="1"/>
  <c r="BC98" i="3"/>
  <c r="BC103" i="3"/>
  <c r="BC105" i="3" s="1"/>
  <c r="BD165" i="3"/>
  <c r="BD166" i="3" s="1"/>
  <c r="BD171" i="3" s="1"/>
  <c r="DI155" i="3"/>
  <c r="DI137" i="3"/>
  <c r="BF146" i="3"/>
  <c r="BF147" i="3" s="1"/>
  <c r="BF148" i="3" s="1"/>
  <c r="DJ110" i="3"/>
  <c r="DJ118" i="3"/>
  <c r="BC172" i="3"/>
  <c r="BE157" i="3"/>
  <c r="BE158" i="3"/>
  <c r="BG140" i="3"/>
  <c r="BG143" i="3" s="1"/>
  <c r="BR127" i="3"/>
  <c r="BR129" i="3"/>
  <c r="BR126" i="3"/>
  <c r="BS122" i="3" s="1"/>
  <c r="DK69" i="3"/>
  <c r="DK56" i="3"/>
  <c r="DL55" i="3" s="1"/>
  <c r="DL59" i="3" s="1"/>
  <c r="BE159" i="3" l="1"/>
  <c r="BF153" i="3" s="1"/>
  <c r="BF154" i="3" s="1"/>
  <c r="BF157" i="3" s="1"/>
  <c r="BC111" i="3"/>
  <c r="BC109" i="3" s="1"/>
  <c r="BD169" i="3"/>
  <c r="BD172" i="3" s="1"/>
  <c r="DJ155" i="3"/>
  <c r="DJ137" i="3"/>
  <c r="BE161" i="3"/>
  <c r="DK110" i="3"/>
  <c r="DK118" i="3"/>
  <c r="BE163" i="3"/>
  <c r="BE164" i="3" s="1"/>
  <c r="BD96" i="3"/>
  <c r="BG145" i="3"/>
  <c r="BG141" i="3"/>
  <c r="BH135" i="3" s="1"/>
  <c r="BH136" i="3" s="1"/>
  <c r="BR138" i="3"/>
  <c r="BR130" i="3"/>
  <c r="BS123" i="3"/>
  <c r="BS125" i="3" s="1"/>
  <c r="DL69" i="3"/>
  <c r="DL56" i="3"/>
  <c r="DM55" i="3" s="1"/>
  <c r="DM59" i="3" s="1"/>
  <c r="BF158" i="3" l="1"/>
  <c r="BF159" i="3" s="1"/>
  <c r="BG153" i="3" s="1"/>
  <c r="BG154" i="3" s="1"/>
  <c r="BE165" i="3"/>
  <c r="BE166" i="3" s="1"/>
  <c r="BE171" i="3" s="1"/>
  <c r="DK155" i="3"/>
  <c r="DK137" i="3"/>
  <c r="BD103" i="3"/>
  <c r="BD105" i="3" s="1"/>
  <c r="DL110" i="3"/>
  <c r="DL118" i="3"/>
  <c r="BG146" i="3"/>
  <c r="BD98" i="3"/>
  <c r="BH140" i="3"/>
  <c r="BH145" i="3" s="1"/>
  <c r="BH139" i="3"/>
  <c r="BG156" i="3"/>
  <c r="BF161" i="3"/>
  <c r="BF163" i="3"/>
  <c r="BS129" i="3"/>
  <c r="BS127" i="3"/>
  <c r="BS126" i="3"/>
  <c r="BT122" i="3" s="1"/>
  <c r="DM56" i="3"/>
  <c r="DN55" i="3" s="1"/>
  <c r="DN59" i="3" s="1"/>
  <c r="DM69" i="3"/>
  <c r="BE169" i="3" l="1"/>
  <c r="BE172" i="3" s="1"/>
  <c r="BD111" i="3"/>
  <c r="BD109" i="3" s="1"/>
  <c r="DL137" i="3"/>
  <c r="DL155" i="3"/>
  <c r="BG147" i="3"/>
  <c r="BG148" i="3" s="1"/>
  <c r="BG158" i="3" s="1"/>
  <c r="BG163" i="3" s="1"/>
  <c r="DM110" i="3"/>
  <c r="DM118" i="3"/>
  <c r="BH141" i="3"/>
  <c r="BI135" i="3" s="1"/>
  <c r="BI136" i="3" s="1"/>
  <c r="BF164" i="3"/>
  <c r="BH143" i="3"/>
  <c r="BE96" i="3"/>
  <c r="BG157" i="3"/>
  <c r="BT123" i="3"/>
  <c r="BS130" i="3"/>
  <c r="BS138" i="3"/>
  <c r="BH156" i="3"/>
  <c r="BH146" i="3"/>
  <c r="DN69" i="3"/>
  <c r="DN56" i="3"/>
  <c r="DO55" i="3" s="1"/>
  <c r="DO59" i="3" s="1"/>
  <c r="DM137" i="3" l="1"/>
  <c r="DM155" i="3"/>
  <c r="BE103" i="3"/>
  <c r="BE105" i="3" s="1"/>
  <c r="BI139" i="3"/>
  <c r="BI140" i="3"/>
  <c r="BI143" i="3" s="1"/>
  <c r="DN110" i="3"/>
  <c r="DN118" i="3"/>
  <c r="BE98" i="3"/>
  <c r="BG164" i="3"/>
  <c r="BF165" i="3"/>
  <c r="BF166" i="3" s="1"/>
  <c r="BH147" i="3"/>
  <c r="BH148" i="3" s="1"/>
  <c r="BT125" i="3"/>
  <c r="BG161" i="3"/>
  <c r="BG159" i="3"/>
  <c r="BH153" i="3" s="1"/>
  <c r="BH154" i="3" s="1"/>
  <c r="BH157" i="3" s="1"/>
  <c r="DO56" i="3"/>
  <c r="DP55" i="3" s="1"/>
  <c r="DP59" i="3" s="1"/>
  <c r="DO69" i="3"/>
  <c r="BE111" i="3" l="1"/>
  <c r="BE109" i="3" s="1"/>
  <c r="BG165" i="3"/>
  <c r="BG166" i="3" s="1"/>
  <c r="BG169" i="3" s="1"/>
  <c r="DN137" i="3"/>
  <c r="DN155" i="3"/>
  <c r="BI145" i="3"/>
  <c r="BI156" i="3" s="1"/>
  <c r="BI141" i="3"/>
  <c r="BJ135" i="3" s="1"/>
  <c r="BJ136" i="3" s="1"/>
  <c r="BJ139" i="3" s="1"/>
  <c r="DO110" i="3"/>
  <c r="DO118" i="3"/>
  <c r="BF171" i="3"/>
  <c r="BF169" i="3"/>
  <c r="BT129" i="3"/>
  <c r="BT127" i="3"/>
  <c r="BH158" i="3"/>
  <c r="BH159" i="3" s="1"/>
  <c r="BI153" i="3" s="1"/>
  <c r="BI154" i="3" s="1"/>
  <c r="BT126" i="3"/>
  <c r="BU122" i="3" s="1"/>
  <c r="DP56" i="3"/>
  <c r="DQ55" i="3" s="1"/>
  <c r="DQ59" i="3" s="1"/>
  <c r="DP69" i="3"/>
  <c r="BG171" i="3" l="1"/>
  <c r="DO137" i="3"/>
  <c r="DO155" i="3"/>
  <c r="BI146" i="3"/>
  <c r="BI147" i="3" s="1"/>
  <c r="BI148" i="3" s="1"/>
  <c r="BI158" i="3" s="1"/>
  <c r="BI163" i="3" s="1"/>
  <c r="BJ140" i="3"/>
  <c r="BJ143" i="3" s="1"/>
  <c r="DP110" i="3"/>
  <c r="DP118" i="3"/>
  <c r="BG96" i="3"/>
  <c r="BF172" i="3"/>
  <c r="BF96" i="3"/>
  <c r="BF103" i="3" s="1"/>
  <c r="BI157" i="3"/>
  <c r="BH161" i="3"/>
  <c r="BH163" i="3"/>
  <c r="BT138" i="3"/>
  <c r="BT130" i="3"/>
  <c r="BU123" i="3"/>
  <c r="BU125" i="3" s="1"/>
  <c r="BG172" i="3"/>
  <c r="DQ56" i="3"/>
  <c r="DR55" i="3" s="1"/>
  <c r="DR59" i="3" s="1"/>
  <c r="DQ69" i="3"/>
  <c r="DP155" i="3" l="1"/>
  <c r="DP137" i="3"/>
  <c r="BJ145" i="3"/>
  <c r="BJ156" i="3" s="1"/>
  <c r="BF105" i="3"/>
  <c r="BJ141" i="3"/>
  <c r="BK135" i="3" s="1"/>
  <c r="BK136" i="3" s="1"/>
  <c r="BK139" i="3" s="1"/>
  <c r="BG103" i="3"/>
  <c r="BG105" i="3" s="1"/>
  <c r="DQ110" i="3"/>
  <c r="DQ118" i="3"/>
  <c r="BI164" i="3"/>
  <c r="BF98" i="3"/>
  <c r="BG98" i="3"/>
  <c r="BH164" i="3"/>
  <c r="BU127" i="3"/>
  <c r="BU129" i="3"/>
  <c r="BU126" i="3"/>
  <c r="BV122" i="3" s="1"/>
  <c r="BI161" i="3"/>
  <c r="BI159" i="3"/>
  <c r="BJ153" i="3" s="1"/>
  <c r="BJ154" i="3" s="1"/>
  <c r="DR69" i="3"/>
  <c r="DR56" i="3"/>
  <c r="DS55" i="3" s="1"/>
  <c r="DS59" i="3" s="1"/>
  <c r="BG111" i="3" l="1"/>
  <c r="BG109" i="3" s="1"/>
  <c r="BF111" i="3"/>
  <c r="BF109" i="3" s="1"/>
  <c r="BJ157" i="3"/>
  <c r="BJ146" i="3"/>
  <c r="BH165" i="3"/>
  <c r="BH166" i="3" s="1"/>
  <c r="BH171" i="3" s="1"/>
  <c r="BH96" i="3" s="1"/>
  <c r="BH98" i="3" s="1"/>
  <c r="BK140" i="3"/>
  <c r="BK143" i="3" s="1"/>
  <c r="DQ155" i="3"/>
  <c r="DQ137" i="3"/>
  <c r="DR110" i="3"/>
  <c r="DR118" i="3"/>
  <c r="BI165" i="3"/>
  <c r="BI166" i="3" s="1"/>
  <c r="BV123" i="3"/>
  <c r="BV125" i="3" s="1"/>
  <c r="BU138" i="3"/>
  <c r="BU130" i="3"/>
  <c r="DS56" i="3"/>
  <c r="DT55" i="3" s="1"/>
  <c r="DT59" i="3" s="1"/>
  <c r="DS69" i="3"/>
  <c r="BK141" i="3" l="1"/>
  <c r="BL135" i="3" s="1"/>
  <c r="BL136" i="3" s="1"/>
  <c r="BL139" i="3" s="1"/>
  <c r="DR155" i="3"/>
  <c r="DR137" i="3"/>
  <c r="BK145" i="3"/>
  <c r="BK146" i="3" s="1"/>
  <c r="BH169" i="3"/>
  <c r="BJ147" i="3"/>
  <c r="BJ148" i="3" s="1"/>
  <c r="BJ158" i="3" s="1"/>
  <c r="BJ163" i="3" s="1"/>
  <c r="BJ164" i="3" s="1"/>
  <c r="DS110" i="3"/>
  <c r="DS118" i="3"/>
  <c r="BI171" i="3"/>
  <c r="BI169" i="3"/>
  <c r="BV129" i="3"/>
  <c r="BV127" i="3"/>
  <c r="BV126" i="3"/>
  <c r="BW122" i="3" s="1"/>
  <c r="DT69" i="3"/>
  <c r="DT56" i="3"/>
  <c r="DU55" i="3" s="1"/>
  <c r="DU59" i="3" s="1"/>
  <c r="BK156" i="3" l="1"/>
  <c r="BL140" i="3"/>
  <c r="BL141" i="3" s="1"/>
  <c r="BM135" i="3" s="1"/>
  <c r="BJ165" i="3"/>
  <c r="BJ166" i="3" s="1"/>
  <c r="BJ169" i="3" s="1"/>
  <c r="BH172" i="3"/>
  <c r="BH103" i="3"/>
  <c r="BH105" i="3" s="1"/>
  <c r="BH111" i="3" s="1"/>
  <c r="BH109" i="3" s="1"/>
  <c r="BJ161" i="3"/>
  <c r="BJ159" i="3"/>
  <c r="BK153" i="3" s="1"/>
  <c r="BK154" i="3" s="1"/>
  <c r="DS137" i="3"/>
  <c r="DS155" i="3"/>
  <c r="DT110" i="3"/>
  <c r="DT118" i="3"/>
  <c r="BI172" i="3"/>
  <c r="BI96" i="3"/>
  <c r="BI98" i="3" s="1"/>
  <c r="BK147" i="3"/>
  <c r="BK148" i="3" s="1"/>
  <c r="BW123" i="3"/>
  <c r="BV138" i="3"/>
  <c r="BV130" i="3"/>
  <c r="DU56" i="3"/>
  <c r="DV55" i="3" s="1"/>
  <c r="DV59" i="3" s="1"/>
  <c r="DU69" i="3"/>
  <c r="BK158" i="3" l="1"/>
  <c r="BK163" i="3" s="1"/>
  <c r="BL143" i="3"/>
  <c r="BL145" i="3"/>
  <c r="BL156" i="3" s="1"/>
  <c r="BI103" i="3"/>
  <c r="BI105" i="3" s="1"/>
  <c r="BI111" i="3" s="1"/>
  <c r="BI109" i="3" s="1"/>
  <c r="BJ171" i="3"/>
  <c r="BJ96" i="3" s="1"/>
  <c r="BJ98" i="3" s="1"/>
  <c r="DT137" i="3"/>
  <c r="DT155" i="3"/>
  <c r="BK157" i="3"/>
  <c r="DU110" i="3"/>
  <c r="DU118" i="3"/>
  <c r="BM136" i="3"/>
  <c r="BM139" i="3" s="1"/>
  <c r="BW125" i="3"/>
  <c r="DV69" i="3"/>
  <c r="DV56" i="3"/>
  <c r="DW55" i="3" s="1"/>
  <c r="DW59" i="3" s="1"/>
  <c r="DW65" i="3"/>
  <c r="BK159" i="3" l="1"/>
  <c r="BL153" i="3" s="1"/>
  <c r="BL154" i="3" s="1"/>
  <c r="BK161" i="3"/>
  <c r="BL146" i="3"/>
  <c r="BL147" i="3" s="1"/>
  <c r="BL148" i="3" s="1"/>
  <c r="DW67" i="3"/>
  <c r="DX62" i="3" s="1"/>
  <c r="DX67" i="3" s="1"/>
  <c r="DY62" i="3" s="1"/>
  <c r="DY67" i="3" s="1"/>
  <c r="DZ62" i="3" s="1"/>
  <c r="DZ67" i="3" s="1"/>
  <c r="EA62" i="3" s="1"/>
  <c r="EA67" i="3" s="1"/>
  <c r="EB62" i="3" s="1"/>
  <c r="EB67" i="3" s="1"/>
  <c r="EC62" i="3" s="1"/>
  <c r="EC67" i="3" s="1"/>
  <c r="ED62" i="3" s="1"/>
  <c r="ED67" i="3" s="1"/>
  <c r="EE62" i="3" s="1"/>
  <c r="EE67" i="3" s="1"/>
  <c r="EF62" i="3" s="1"/>
  <c r="EF67" i="3" s="1"/>
  <c r="EG62" i="3" s="1"/>
  <c r="EG67" i="3" s="1"/>
  <c r="EH62" i="3" s="1"/>
  <c r="EH67" i="3" s="1"/>
  <c r="EI62" i="3" s="1"/>
  <c r="EI67" i="3" s="1"/>
  <c r="G14" i="32"/>
  <c r="H14" i="32"/>
  <c r="I14" i="32"/>
  <c r="J14" i="32"/>
  <c r="K14" i="32"/>
  <c r="BJ172" i="3"/>
  <c r="BJ103" i="3"/>
  <c r="BJ105" i="3" s="1"/>
  <c r="BJ111" i="3" s="1"/>
  <c r="BJ109" i="3" s="1"/>
  <c r="DU137" i="3"/>
  <c r="DU155" i="3"/>
  <c r="DV110" i="3"/>
  <c r="DV118" i="3"/>
  <c r="BM140" i="3"/>
  <c r="BM145" i="3" s="1"/>
  <c r="BK164" i="3"/>
  <c r="BW127" i="3"/>
  <c r="BW129" i="3"/>
  <c r="BW126" i="3"/>
  <c r="BX122" i="3" s="1"/>
  <c r="DW56" i="3"/>
  <c r="DX55" i="3" s="1"/>
  <c r="DX59" i="3" s="1"/>
  <c r="DW69" i="3"/>
  <c r="BL158" i="3" l="1"/>
  <c r="BL161" i="3" s="1"/>
  <c r="BL157" i="3"/>
  <c r="G18" i="32"/>
  <c r="H18" i="32"/>
  <c r="I18" i="32"/>
  <c r="J18" i="32"/>
  <c r="K18" i="32"/>
  <c r="BM141" i="3"/>
  <c r="BN135" i="3" s="1"/>
  <c r="BN136" i="3" s="1"/>
  <c r="BN140" i="3" s="1"/>
  <c r="DV137" i="3"/>
  <c r="DV155" i="3"/>
  <c r="BM143" i="3"/>
  <c r="DW110" i="3"/>
  <c r="DW118" i="3"/>
  <c r="BM146" i="3"/>
  <c r="BM156" i="3"/>
  <c r="BK165" i="3"/>
  <c r="BK166" i="3" s="1"/>
  <c r="BX123" i="3"/>
  <c r="BW138" i="3"/>
  <c r="BW130" i="3"/>
  <c r="DX56" i="3"/>
  <c r="DY55" i="3" s="1"/>
  <c r="DY59" i="3" s="1"/>
  <c r="DX69" i="3"/>
  <c r="BL163" i="3" l="1"/>
  <c r="BL164" i="3" s="1"/>
  <c r="BL159" i="3"/>
  <c r="BM153" i="3" s="1"/>
  <c r="BM154" i="3" s="1"/>
  <c r="BM147" i="3"/>
  <c r="BM148" i="3" s="1"/>
  <c r="DW137" i="3"/>
  <c r="DW155" i="3"/>
  <c r="DX110" i="3"/>
  <c r="DX118" i="3"/>
  <c r="BN145" i="3"/>
  <c r="BN143" i="3"/>
  <c r="BN139" i="3"/>
  <c r="BN141" i="3" s="1"/>
  <c r="BO135" i="3" s="1"/>
  <c r="BK171" i="3"/>
  <c r="BK169" i="3"/>
  <c r="BX125" i="3"/>
  <c r="DY56" i="3"/>
  <c r="DZ55" i="3" s="1"/>
  <c r="DZ59" i="3" s="1"/>
  <c r="DY69" i="3"/>
  <c r="BM158" i="3" l="1"/>
  <c r="BM163" i="3" s="1"/>
  <c r="BM164" i="3" s="1"/>
  <c r="BM157" i="3"/>
  <c r="DX155" i="3"/>
  <c r="DX137" i="3"/>
  <c r="DY110" i="3"/>
  <c r="DY118" i="3"/>
  <c r="BK172" i="3"/>
  <c r="BK96" i="3"/>
  <c r="BK98" i="3" s="1"/>
  <c r="BO136" i="3"/>
  <c r="BO140" i="3" s="1"/>
  <c r="BL165" i="3"/>
  <c r="BL166" i="3" s="1"/>
  <c r="BN146" i="3"/>
  <c r="BN156" i="3"/>
  <c r="BX129" i="3"/>
  <c r="BX127" i="3"/>
  <c r="BX126" i="3"/>
  <c r="BY122" i="3" s="1"/>
  <c r="DZ69" i="3"/>
  <c r="DZ56" i="3"/>
  <c r="EA55" i="3" s="1"/>
  <c r="EA59" i="3" s="1"/>
  <c r="BM161" i="3" l="1"/>
  <c r="BM159" i="3"/>
  <c r="BN153" i="3" s="1"/>
  <c r="BN154" i="3" s="1"/>
  <c r="BK103" i="3"/>
  <c r="BK105" i="3" s="1"/>
  <c r="BK111" i="3" s="1"/>
  <c r="BK109" i="3" s="1"/>
  <c r="DY155" i="3"/>
  <c r="DY137" i="3"/>
  <c r="BM165" i="3"/>
  <c r="BM166" i="3" s="1"/>
  <c r="BM171" i="3" s="1"/>
  <c r="DZ110" i="3"/>
  <c r="DZ118" i="3"/>
  <c r="BO139" i="3"/>
  <c r="BO141" i="3" s="1"/>
  <c r="BP135" i="3" s="1"/>
  <c r="BL169" i="3"/>
  <c r="BL171" i="3"/>
  <c r="BO143" i="3"/>
  <c r="BO145" i="3"/>
  <c r="BN147" i="3"/>
  <c r="BN148" i="3" s="1"/>
  <c r="BN158" i="3" s="1"/>
  <c r="BN157" i="3"/>
  <c r="BY123" i="3"/>
  <c r="BX138" i="3"/>
  <c r="BX130" i="3"/>
  <c r="EA69" i="3"/>
  <c r="EA56" i="3"/>
  <c r="EB55" i="3" s="1"/>
  <c r="EB59" i="3" s="1"/>
  <c r="DZ155" i="3" l="1"/>
  <c r="DZ137" i="3"/>
  <c r="BM169" i="3"/>
  <c r="BM172" i="3" s="1"/>
  <c r="EA110" i="3"/>
  <c r="EA118" i="3"/>
  <c r="BN159" i="3"/>
  <c r="BO153" i="3" s="1"/>
  <c r="BO154" i="3" s="1"/>
  <c r="BN163" i="3"/>
  <c r="BN161" i="3"/>
  <c r="BL96" i="3"/>
  <c r="BL98" i="3" s="1"/>
  <c r="BL172" i="3"/>
  <c r="BO146" i="3"/>
  <c r="BO156" i="3"/>
  <c r="BM96" i="3"/>
  <c r="BP136" i="3"/>
  <c r="BP139" i="3" s="1"/>
  <c r="BY125" i="3"/>
  <c r="EB56" i="3"/>
  <c r="EC55" i="3" s="1"/>
  <c r="EC59" i="3" s="1"/>
  <c r="EB69" i="3"/>
  <c r="EA155" i="3" l="1"/>
  <c r="EA137" i="3"/>
  <c r="BO147" i="3"/>
  <c r="BO148" i="3" s="1"/>
  <c r="BO158" i="3" s="1"/>
  <c r="BO161" i="3" s="1"/>
  <c r="BM103" i="3"/>
  <c r="BM105" i="3" s="1"/>
  <c r="BL103" i="3"/>
  <c r="BL105" i="3" s="1"/>
  <c r="BL111" i="3" s="1"/>
  <c r="BL109" i="3" s="1"/>
  <c r="BP140" i="3"/>
  <c r="BP141" i="3" s="1"/>
  <c r="BQ135" i="3" s="1"/>
  <c r="EB110" i="3"/>
  <c r="EB118" i="3"/>
  <c r="BO157" i="3"/>
  <c r="BM98" i="3"/>
  <c r="BN164" i="3"/>
  <c r="BY129" i="3"/>
  <c r="BY127" i="3"/>
  <c r="BY126" i="3"/>
  <c r="BZ122" i="3" s="1"/>
  <c r="EC56" i="3"/>
  <c r="ED55" i="3" s="1"/>
  <c r="ED59" i="3" s="1"/>
  <c r="EC69" i="3"/>
  <c r="BM111" i="3" l="1"/>
  <c r="BM109" i="3" s="1"/>
  <c r="BP145" i="3"/>
  <c r="BP146" i="3" s="1"/>
  <c r="BP143" i="3"/>
  <c r="EB137" i="3"/>
  <c r="EB155" i="3"/>
  <c r="EC110" i="3"/>
  <c r="EC118" i="3"/>
  <c r="BQ136" i="3"/>
  <c r="BQ139" i="3" s="1"/>
  <c r="BN165" i="3"/>
  <c r="BN166" i="3" s="1"/>
  <c r="BZ123" i="3"/>
  <c r="BY130" i="3"/>
  <c r="BY138" i="3"/>
  <c r="ED56" i="3"/>
  <c r="EE55" i="3" s="1"/>
  <c r="EE59" i="3" s="1"/>
  <c r="ED69" i="3"/>
  <c r="BO163" i="3"/>
  <c r="BO159" i="3"/>
  <c r="BP153" i="3" s="1"/>
  <c r="BP154" i="3" s="1"/>
  <c r="BP156" i="3" l="1"/>
  <c r="BP157" i="3" s="1"/>
  <c r="EC137" i="3"/>
  <c r="EC155" i="3"/>
  <c r="BQ140" i="3"/>
  <c r="BQ143" i="3" s="1"/>
  <c r="ED110" i="3"/>
  <c r="ED118" i="3"/>
  <c r="BN171" i="3"/>
  <c r="BN169" i="3"/>
  <c r="BO164" i="3"/>
  <c r="BP147" i="3"/>
  <c r="BP148" i="3" s="1"/>
  <c r="BZ125" i="3"/>
  <c r="EE69" i="3"/>
  <c r="EE56" i="3"/>
  <c r="EF55" i="3" s="1"/>
  <c r="EF59" i="3" s="1"/>
  <c r="BP158" i="3" l="1"/>
  <c r="BP161" i="3" s="1"/>
  <c r="BQ145" i="3"/>
  <c r="ED137" i="3"/>
  <c r="ED155" i="3"/>
  <c r="BQ141" i="3"/>
  <c r="BR135" i="3" s="1"/>
  <c r="BR136" i="3" s="1"/>
  <c r="BR139" i="3" s="1"/>
  <c r="EE110" i="3"/>
  <c r="EE118" i="3"/>
  <c r="BO165" i="3"/>
  <c r="BO166" i="3" s="1"/>
  <c r="BN172" i="3"/>
  <c r="BN96" i="3"/>
  <c r="BN103" i="3" s="1"/>
  <c r="BZ129" i="3"/>
  <c r="BZ127" i="3"/>
  <c r="BZ126" i="3"/>
  <c r="CA122" i="3" s="1"/>
  <c r="EF69" i="3"/>
  <c r="EF56" i="3"/>
  <c r="EG55" i="3" s="1"/>
  <c r="EG59" i="3" s="1"/>
  <c r="BP163" i="3" l="1"/>
  <c r="BP164" i="3" s="1"/>
  <c r="BP159" i="3"/>
  <c r="BQ153" i="3" s="1"/>
  <c r="BQ154" i="3" s="1"/>
  <c r="BQ146" i="3"/>
  <c r="BQ147" i="3" s="1"/>
  <c r="BQ148" i="3" s="1"/>
  <c r="BQ156" i="3"/>
  <c r="BN105" i="3"/>
  <c r="BR140" i="3"/>
  <c r="BR145" i="3" s="1"/>
  <c r="EE137" i="3"/>
  <c r="EE155" i="3"/>
  <c r="EF110" i="3"/>
  <c r="EF118" i="3"/>
  <c r="BN98" i="3"/>
  <c r="BO169" i="3"/>
  <c r="BO171" i="3"/>
  <c r="BZ138" i="3"/>
  <c r="BZ130" i="3"/>
  <c r="CA123" i="3"/>
  <c r="CA125" i="3" s="1"/>
  <c r="CA126" i="3" s="1"/>
  <c r="CB122" i="3" s="1"/>
  <c r="EG56" i="3"/>
  <c r="EH55" i="3" s="1"/>
  <c r="EH59" i="3" s="1"/>
  <c r="EG69" i="3"/>
  <c r="BQ157" i="3" l="1"/>
  <c r="BQ158" i="3"/>
  <c r="BQ163" i="3" s="1"/>
  <c r="BQ164" i="3" s="1"/>
  <c r="BN111" i="3"/>
  <c r="BN109" i="3" s="1"/>
  <c r="BR143" i="3"/>
  <c r="BR141" i="3"/>
  <c r="BS135" i="3" s="1"/>
  <c r="BS136" i="3" s="1"/>
  <c r="BS139" i="3" s="1"/>
  <c r="EF155" i="3"/>
  <c r="EF137" i="3"/>
  <c r="EG110" i="3"/>
  <c r="EG118" i="3"/>
  <c r="BO172" i="3"/>
  <c r="BO96" i="3"/>
  <c r="BO98" i="3" s="1"/>
  <c r="BR146" i="3"/>
  <c r="BR147" i="3" s="1"/>
  <c r="BR148" i="3" s="1"/>
  <c r="BR156" i="3"/>
  <c r="BP165" i="3"/>
  <c r="BP166" i="3" s="1"/>
  <c r="CB123" i="3"/>
  <c r="CB125" i="3" s="1"/>
  <c r="CA127" i="3"/>
  <c r="CA129" i="3"/>
  <c r="EH69" i="3"/>
  <c r="EH56" i="3"/>
  <c r="EI55" i="3" s="1"/>
  <c r="EI59" i="3" s="1"/>
  <c r="BQ161" i="3" l="1"/>
  <c r="BQ159" i="3"/>
  <c r="BR153" i="3" s="1"/>
  <c r="BR154" i="3" s="1"/>
  <c r="BS140" i="3"/>
  <c r="BS141" i="3" s="1"/>
  <c r="BT135" i="3" s="1"/>
  <c r="BT136" i="3" s="1"/>
  <c r="BT139" i="3" s="1"/>
  <c r="BO103" i="3"/>
  <c r="BO105" i="3" s="1"/>
  <c r="BO111" i="3" s="1"/>
  <c r="BO109" i="3" s="1"/>
  <c r="EG155" i="3"/>
  <c r="EG137" i="3"/>
  <c r="BQ165" i="3"/>
  <c r="BQ166" i="3" s="1"/>
  <c r="BQ171" i="3" s="1"/>
  <c r="BQ96" i="3" s="1"/>
  <c r="BQ98" i="3" s="1"/>
  <c r="EH110" i="3"/>
  <c r="EH118" i="3"/>
  <c r="BP169" i="3"/>
  <c r="BP171" i="3"/>
  <c r="CB127" i="3"/>
  <c r="CB129" i="3"/>
  <c r="CB126" i="3"/>
  <c r="CC122" i="3" s="1"/>
  <c r="CA138" i="3"/>
  <c r="CA130" i="3"/>
  <c r="EI56" i="3"/>
  <c r="EI69" i="3"/>
  <c r="BR158" i="3" l="1"/>
  <c r="BR163" i="3" s="1"/>
  <c r="BR157" i="3"/>
  <c r="BS143" i="3"/>
  <c r="BS145" i="3"/>
  <c r="BS156" i="3" s="1"/>
  <c r="EI118" i="3"/>
  <c r="EI155" i="3" s="1"/>
  <c r="G71" i="3"/>
  <c r="E23" i="32" s="1"/>
  <c r="EH155" i="3"/>
  <c r="EH137" i="3"/>
  <c r="BQ169" i="3"/>
  <c r="BQ103" i="3" s="1"/>
  <c r="BQ105" i="3" s="1"/>
  <c r="BQ111" i="3" s="1"/>
  <c r="BQ109" i="3" s="1"/>
  <c r="BT140" i="3"/>
  <c r="BT145" i="3" s="1"/>
  <c r="BP96" i="3"/>
  <c r="BP98" i="3" s="1"/>
  <c r="BP172" i="3"/>
  <c r="CC123" i="3"/>
  <c r="CC125" i="3" s="1"/>
  <c r="CB138" i="3"/>
  <c r="CB130" i="3"/>
  <c r="EI110" i="3"/>
  <c r="E110" i="3" s="1"/>
  <c r="G72" i="3"/>
  <c r="BR161" i="3" l="1"/>
  <c r="BR159" i="3"/>
  <c r="BS153" i="3" s="1"/>
  <c r="BS154" i="3" s="1"/>
  <c r="BS157" i="3" s="1"/>
  <c r="BS146" i="3"/>
  <c r="BS147" i="3" s="1"/>
  <c r="BS148" i="3" s="1"/>
  <c r="EI137" i="3"/>
  <c r="BP103" i="3"/>
  <c r="BP105" i="3" s="1"/>
  <c r="BP111" i="3" s="1"/>
  <c r="BP109" i="3" s="1"/>
  <c r="E183" i="1"/>
  <c r="G73" i="3"/>
  <c r="E184" i="1" s="1"/>
  <c r="BQ172" i="3"/>
  <c r="BT141" i="3"/>
  <c r="BU135" i="3" s="1"/>
  <c r="BU136" i="3" s="1"/>
  <c r="BU139" i="3" s="1"/>
  <c r="BT143" i="3"/>
  <c r="BR164" i="3"/>
  <c r="BT156" i="3"/>
  <c r="BT146" i="3"/>
  <c r="CC129" i="3"/>
  <c r="CC127" i="3"/>
  <c r="CC126" i="3"/>
  <c r="CD122" i="3" s="1"/>
  <c r="K9" i="1" l="1"/>
  <c r="D199" i="1"/>
  <c r="K8" i="1"/>
  <c r="D189" i="1"/>
  <c r="K22" i="32"/>
  <c r="BR165" i="3"/>
  <c r="BR166" i="3" s="1"/>
  <c r="BR169" i="3" s="1"/>
  <c r="BU140" i="3"/>
  <c r="BU145" i="3" s="1"/>
  <c r="BT147" i="3"/>
  <c r="BT148" i="3" s="1"/>
  <c r="CD123" i="3"/>
  <c r="CD125" i="3" s="1"/>
  <c r="CC130" i="3"/>
  <c r="CC138" i="3"/>
  <c r="BS158" i="3"/>
  <c r="BS163" i="3" s="1"/>
  <c r="BR171" i="3" l="1"/>
  <c r="BR172" i="3" s="1"/>
  <c r="BU141" i="3"/>
  <c r="BV135" i="3" s="1"/>
  <c r="BV136" i="3" s="1"/>
  <c r="BV140" i="3" s="1"/>
  <c r="BV143" i="3" s="1"/>
  <c r="BU143" i="3"/>
  <c r="BU146" i="3"/>
  <c r="BU156" i="3"/>
  <c r="CD127" i="3"/>
  <c r="CD129" i="3"/>
  <c r="CD126" i="3"/>
  <c r="CE122" i="3" s="1"/>
  <c r="BS159" i="3"/>
  <c r="BT153" i="3" s="1"/>
  <c r="BT154" i="3" s="1"/>
  <c r="BT157" i="3" s="1"/>
  <c r="BS161" i="3"/>
  <c r="BS164" i="3"/>
  <c r="BR96" i="3" l="1"/>
  <c r="BR103" i="3" s="1"/>
  <c r="BR105" i="3" s="1"/>
  <c r="BV145" i="3"/>
  <c r="BV146" i="3" s="1"/>
  <c r="BV139" i="3"/>
  <c r="BV141" i="3" s="1"/>
  <c r="BW135" i="3" s="1"/>
  <c r="BW136" i="3" s="1"/>
  <c r="BW139" i="3" s="1"/>
  <c r="BS165" i="3"/>
  <c r="BS166" i="3" s="1"/>
  <c r="BS169" i="3" s="1"/>
  <c r="BU147" i="3"/>
  <c r="BU148" i="3" s="1"/>
  <c r="CE123" i="3"/>
  <c r="CD130" i="3"/>
  <c r="CD138" i="3"/>
  <c r="BT158" i="3"/>
  <c r="BT159" i="3" s="1"/>
  <c r="BU153" i="3" s="1"/>
  <c r="BV156" i="3" l="1"/>
  <c r="BR98" i="3"/>
  <c r="BR111" i="3" s="1"/>
  <c r="BR109" i="3" s="1"/>
  <c r="BW140" i="3"/>
  <c r="BW141" i="3" s="1"/>
  <c r="BX135" i="3" s="1"/>
  <c r="BS171" i="3"/>
  <c r="BS172" i="3" s="1"/>
  <c r="BV147" i="3"/>
  <c r="BV148" i="3" s="1"/>
  <c r="CE125" i="3"/>
  <c r="BT161" i="3"/>
  <c r="BT163" i="3"/>
  <c r="BU154" i="3"/>
  <c r="BU157" i="3" s="1"/>
  <c r="BS96" i="3" l="1"/>
  <c r="BS103" i="3" s="1"/>
  <c r="BS105" i="3" s="1"/>
  <c r="BW143" i="3"/>
  <c r="BW145" i="3"/>
  <c r="BW156" i="3" s="1"/>
  <c r="BT164" i="3"/>
  <c r="BT165" i="3" s="1"/>
  <c r="BT166" i="3" s="1"/>
  <c r="BT169" i="3" s="1"/>
  <c r="BX136" i="3"/>
  <c r="BX139" i="3" s="1"/>
  <c r="CE129" i="3"/>
  <c r="CE127" i="3"/>
  <c r="CE126" i="3"/>
  <c r="CF122" i="3" s="1"/>
  <c r="BU158" i="3"/>
  <c r="BS98" i="3" l="1"/>
  <c r="BS111" i="3" s="1"/>
  <c r="BS109" i="3" s="1"/>
  <c r="BW146" i="3"/>
  <c r="BW147" i="3" s="1"/>
  <c r="BW148" i="3" s="1"/>
  <c r="BT171" i="3"/>
  <c r="BT96" i="3" s="1"/>
  <c r="BX140" i="3"/>
  <c r="CF123" i="3"/>
  <c r="CF125" i="3" s="1"/>
  <c r="CE130" i="3"/>
  <c r="CE138" i="3"/>
  <c r="BU163" i="3"/>
  <c r="BU161" i="3"/>
  <c r="BU159" i="3"/>
  <c r="BV153" i="3" s="1"/>
  <c r="BT103" i="3" l="1"/>
  <c r="BT105" i="3" s="1"/>
  <c r="BT172" i="3"/>
  <c r="BU164" i="3"/>
  <c r="BU165" i="3" s="1"/>
  <c r="BU166" i="3" s="1"/>
  <c r="BT98" i="3"/>
  <c r="BX145" i="3"/>
  <c r="BX143" i="3"/>
  <c r="BX141" i="3"/>
  <c r="BY135" i="3" s="1"/>
  <c r="CF129" i="3"/>
  <c r="CF127" i="3"/>
  <c r="CF126" i="3"/>
  <c r="CG122" i="3" s="1"/>
  <c r="BV154" i="3"/>
  <c r="BV157" i="3" s="1"/>
  <c r="BT111" i="3" l="1"/>
  <c r="BT109" i="3" s="1"/>
  <c r="BY136" i="3"/>
  <c r="BY140" i="3" s="1"/>
  <c r="BY145" i="3" s="1"/>
  <c r="BX156" i="3"/>
  <c r="BX146" i="3"/>
  <c r="CG123" i="3"/>
  <c r="CG125" i="3" s="1"/>
  <c r="CF138" i="3"/>
  <c r="CF130" i="3"/>
  <c r="BV158" i="3"/>
  <c r="BV163" i="3" s="1"/>
  <c r="BU171" i="3"/>
  <c r="BU169" i="3"/>
  <c r="BY139" i="3" l="1"/>
  <c r="BY141" i="3" s="1"/>
  <c r="BZ135" i="3" s="1"/>
  <c r="BZ136" i="3" s="1"/>
  <c r="BZ139" i="3" s="1"/>
  <c r="BU96" i="3"/>
  <c r="BX147" i="3"/>
  <c r="BX148" i="3" s="1"/>
  <c r="BY156" i="3"/>
  <c r="BY146" i="3"/>
  <c r="BY143" i="3"/>
  <c r="CG127" i="3"/>
  <c r="CG129" i="3"/>
  <c r="CG126" i="3"/>
  <c r="CH122" i="3" s="1"/>
  <c r="BV161" i="3"/>
  <c r="BV159" i="3"/>
  <c r="BW153" i="3" s="1"/>
  <c r="BW154" i="3" s="1"/>
  <c r="BW157" i="3" s="1"/>
  <c r="BU172" i="3"/>
  <c r="BV164" i="3"/>
  <c r="BU103" i="3" l="1"/>
  <c r="BU105" i="3" s="1"/>
  <c r="BU98" i="3"/>
  <c r="BZ140" i="3"/>
  <c r="BZ141" i="3" s="1"/>
  <c r="CA135" i="3" s="1"/>
  <c r="BV165" i="3"/>
  <c r="BV166" i="3" s="1"/>
  <c r="BV169" i="3" s="1"/>
  <c r="BY147" i="3"/>
  <c r="BY148" i="3" s="1"/>
  <c r="CH123" i="3"/>
  <c r="CH125" i="3" s="1"/>
  <c r="CG130" i="3"/>
  <c r="CG138" i="3"/>
  <c r="BW158" i="3"/>
  <c r="BW161" i="3" s="1"/>
  <c r="BU111" i="3" l="1"/>
  <c r="BU109" i="3" s="1"/>
  <c r="BZ143" i="3"/>
  <c r="BZ145" i="3"/>
  <c r="BV171" i="3"/>
  <c r="BV172" i="3" s="1"/>
  <c r="CA136" i="3"/>
  <c r="CA139" i="3" s="1"/>
  <c r="BZ156" i="3"/>
  <c r="BZ146" i="3"/>
  <c r="CH127" i="3"/>
  <c r="CH129" i="3"/>
  <c r="CH126" i="3"/>
  <c r="CI122" i="3" s="1"/>
  <c r="BW159" i="3"/>
  <c r="BX153" i="3" s="1"/>
  <c r="BX154" i="3" s="1"/>
  <c r="BX158" i="3" s="1"/>
  <c r="BW163" i="3"/>
  <c r="CA140" i="3" l="1"/>
  <c r="CA143" i="3" s="1"/>
  <c r="BW164" i="3"/>
  <c r="BW165" i="3" s="1"/>
  <c r="BW166" i="3" s="1"/>
  <c r="BV96" i="3"/>
  <c r="BZ147" i="3"/>
  <c r="BZ148" i="3" s="1"/>
  <c r="CH130" i="3"/>
  <c r="CH138" i="3"/>
  <c r="CI123" i="3"/>
  <c r="CI125" i="3" s="1"/>
  <c r="BX157" i="3"/>
  <c r="BX159" i="3" s="1"/>
  <c r="BY153" i="3" s="1"/>
  <c r="BX161" i="3"/>
  <c r="BX163" i="3"/>
  <c r="CA141" i="3" l="1"/>
  <c r="CB135" i="3" s="1"/>
  <c r="CB136" i="3" s="1"/>
  <c r="CB139" i="3" s="1"/>
  <c r="CA145" i="3"/>
  <c r="CA156" i="3" s="1"/>
  <c r="BV103" i="3"/>
  <c r="BV105" i="3" s="1"/>
  <c r="BV98" i="3"/>
  <c r="BX164" i="3"/>
  <c r="BX165" i="3" s="1"/>
  <c r="BX166" i="3" s="1"/>
  <c r="BW169" i="3"/>
  <c r="BW171" i="3"/>
  <c r="CI127" i="3"/>
  <c r="CI129" i="3"/>
  <c r="CI126" i="3"/>
  <c r="CJ122" i="3" s="1"/>
  <c r="BY154" i="3"/>
  <c r="BY158" i="3" s="1"/>
  <c r="CA146" i="3" l="1"/>
  <c r="CA147" i="3" s="1"/>
  <c r="CA148" i="3" s="1"/>
  <c r="BV111" i="3"/>
  <c r="BV109" i="3" s="1"/>
  <c r="BW96" i="3"/>
  <c r="BW172" i="3"/>
  <c r="CB140" i="3"/>
  <c r="CJ123" i="3"/>
  <c r="CJ125" i="3" s="1"/>
  <c r="CI130" i="3"/>
  <c r="CI138" i="3"/>
  <c r="BY157" i="3"/>
  <c r="BY159" i="3" s="1"/>
  <c r="BZ153" i="3" s="1"/>
  <c r="BX169" i="3"/>
  <c r="BX171" i="3"/>
  <c r="BY163" i="3"/>
  <c r="BY161" i="3"/>
  <c r="BW103" i="3" l="1"/>
  <c r="BW105" i="3" s="1"/>
  <c r="BY164" i="3"/>
  <c r="BY165" i="3" s="1"/>
  <c r="BY166" i="3" s="1"/>
  <c r="BX96" i="3"/>
  <c r="BW98" i="3"/>
  <c r="CB145" i="3"/>
  <c r="CB143" i="3"/>
  <c r="CB141" i="3"/>
  <c r="CC135" i="3" s="1"/>
  <c r="CJ127" i="3"/>
  <c r="CJ129" i="3"/>
  <c r="CJ126" i="3"/>
  <c r="CK122" i="3" s="1"/>
  <c r="BZ154" i="3"/>
  <c r="BZ157" i="3" s="1"/>
  <c r="BX172" i="3"/>
  <c r="BW111" i="3" l="1"/>
  <c r="BW109" i="3" s="1"/>
  <c r="BX103" i="3"/>
  <c r="BX105" i="3" s="1"/>
  <c r="BX98" i="3"/>
  <c r="CC136" i="3"/>
  <c r="CC139" i="3" s="1"/>
  <c r="CB156" i="3"/>
  <c r="CB146" i="3"/>
  <c r="CJ130" i="3"/>
  <c r="CJ138" i="3"/>
  <c r="CK123" i="3"/>
  <c r="CK125" i="3" s="1"/>
  <c r="BZ158" i="3"/>
  <c r="BY169" i="3"/>
  <c r="BY171" i="3"/>
  <c r="CC140" i="3" l="1"/>
  <c r="CC145" i="3" s="1"/>
  <c r="BX111" i="3"/>
  <c r="BX109" i="3" s="1"/>
  <c r="BY96" i="3"/>
  <c r="CB147" i="3"/>
  <c r="CB148" i="3" s="1"/>
  <c r="CK127" i="3"/>
  <c r="CK129" i="3"/>
  <c r="CK126" i="3"/>
  <c r="CL122" i="3" s="1"/>
  <c r="BZ161" i="3"/>
  <c r="BZ163" i="3"/>
  <c r="BZ159" i="3"/>
  <c r="CA153" i="3" s="1"/>
  <c r="BY172" i="3"/>
  <c r="CC141" i="3" l="1"/>
  <c r="CD135" i="3" s="1"/>
  <c r="CD136" i="3" s="1"/>
  <c r="CD139" i="3" s="1"/>
  <c r="CC143" i="3"/>
  <c r="BY103" i="3"/>
  <c r="BY105" i="3" s="1"/>
  <c r="BY98" i="3"/>
  <c r="CC146" i="3"/>
  <c r="CC156" i="3"/>
  <c r="CK138" i="3"/>
  <c r="CK130" i="3"/>
  <c r="CL123" i="3"/>
  <c r="CL125" i="3" s="1"/>
  <c r="CA154" i="3"/>
  <c r="CA157" i="3" s="1"/>
  <c r="BZ164" i="3"/>
  <c r="CD140" i="3" l="1"/>
  <c r="CD143" i="3" s="1"/>
  <c r="BY111" i="3"/>
  <c r="BY109" i="3" s="1"/>
  <c r="CC147" i="3"/>
  <c r="CC148" i="3" s="1"/>
  <c r="BZ165" i="3"/>
  <c r="BZ166" i="3" s="1"/>
  <c r="BZ169" i="3" s="1"/>
  <c r="CL127" i="3"/>
  <c r="CL129" i="3"/>
  <c r="CL126" i="3"/>
  <c r="CM122" i="3" s="1"/>
  <c r="CA158" i="3"/>
  <c r="CA163" i="3" s="1"/>
  <c r="CD141" i="3" l="1"/>
  <c r="CE135" i="3" s="1"/>
  <c r="CE136" i="3" s="1"/>
  <c r="CE139" i="3" s="1"/>
  <c r="CD145" i="3"/>
  <c r="CD146" i="3" s="1"/>
  <c r="BZ171" i="3"/>
  <c r="BZ172" i="3" s="1"/>
  <c r="CL138" i="3"/>
  <c r="CL130" i="3"/>
  <c r="CM123" i="3"/>
  <c r="CM125" i="3" s="1"/>
  <c r="CA159" i="3"/>
  <c r="CB153" i="3" s="1"/>
  <c r="CB154" i="3" s="1"/>
  <c r="CB157" i="3" s="1"/>
  <c r="CA161" i="3"/>
  <c r="CA164" i="3"/>
  <c r="CD156" i="3" l="1"/>
  <c r="CE140" i="3"/>
  <c r="CE145" i="3" s="1"/>
  <c r="BZ96" i="3"/>
  <c r="CA165" i="3"/>
  <c r="CA166" i="3" s="1"/>
  <c r="CA169" i="3" s="1"/>
  <c r="CD147" i="3"/>
  <c r="CD148" i="3" s="1"/>
  <c r="CM126" i="3"/>
  <c r="CN122" i="3" s="1"/>
  <c r="CM127" i="3"/>
  <c r="CM129" i="3"/>
  <c r="CB158" i="3"/>
  <c r="CB159" i="3" s="1"/>
  <c r="CC153" i="3" s="1"/>
  <c r="CE141" i="3" l="1"/>
  <c r="CF135" i="3" s="1"/>
  <c r="CF136" i="3" s="1"/>
  <c r="CF139" i="3" s="1"/>
  <c r="CE143" i="3"/>
  <c r="BZ98" i="3"/>
  <c r="BZ103" i="3"/>
  <c r="BZ105" i="3" s="1"/>
  <c r="CA171" i="3"/>
  <c r="CA172" i="3" s="1"/>
  <c r="CE156" i="3"/>
  <c r="CE146" i="3"/>
  <c r="CM138" i="3"/>
  <c r="CM130" i="3"/>
  <c r="CN123" i="3"/>
  <c r="CB163" i="3"/>
  <c r="CB161" i="3"/>
  <c r="CC154" i="3"/>
  <c r="CC158" i="3" s="1"/>
  <c r="BZ111" i="3" l="1"/>
  <c r="BZ109" i="3" s="1"/>
  <c r="CA96" i="3"/>
  <c r="CB164" i="3"/>
  <c r="CE147" i="3"/>
  <c r="CE148" i="3" s="1"/>
  <c r="CF140" i="3"/>
  <c r="CN125" i="3"/>
  <c r="CC157" i="3"/>
  <c r="CC159" i="3" s="1"/>
  <c r="CD153" i="3" s="1"/>
  <c r="CC161" i="3"/>
  <c r="CC163" i="3"/>
  <c r="CA103" i="3" l="1"/>
  <c r="CA105" i="3" s="1"/>
  <c r="CB165" i="3"/>
  <c r="CB166" i="3" s="1"/>
  <c r="CB171" i="3" s="1"/>
  <c r="CB96" i="3" s="1"/>
  <c r="CB98" i="3" s="1"/>
  <c r="CC164" i="3"/>
  <c r="CA98" i="3"/>
  <c r="CF145" i="3"/>
  <c r="CF143" i="3"/>
  <c r="CF141" i="3"/>
  <c r="CG135" i="3" s="1"/>
  <c r="CN129" i="3"/>
  <c r="CN127" i="3"/>
  <c r="CN126" i="3"/>
  <c r="CO122" i="3" s="1"/>
  <c r="CD154" i="3"/>
  <c r="CD157" i="3" s="1"/>
  <c r="CA111" i="3" l="1"/>
  <c r="CA109" i="3" s="1"/>
  <c r="CB169" i="3"/>
  <c r="CB172" i="3" s="1"/>
  <c r="CC165" i="3"/>
  <c r="CC166" i="3" s="1"/>
  <c r="CC169" i="3" s="1"/>
  <c r="CG136" i="3"/>
  <c r="CG139" i="3" s="1"/>
  <c r="CF156" i="3"/>
  <c r="CF146" i="3"/>
  <c r="CO123" i="3"/>
  <c r="CO125" i="3" s="1"/>
  <c r="CN130" i="3"/>
  <c r="CN138" i="3"/>
  <c r="CD158" i="3"/>
  <c r="CD163" i="3" s="1"/>
  <c r="CG140" i="3" l="1"/>
  <c r="CG143" i="3" s="1"/>
  <c r="CC171" i="3"/>
  <c r="CC172" i="3" s="1"/>
  <c r="CB103" i="3"/>
  <c r="CB105" i="3" s="1"/>
  <c r="CB111" i="3" s="1"/>
  <c r="CB109" i="3" s="1"/>
  <c r="CD164" i="3"/>
  <c r="CD165" i="3" s="1"/>
  <c r="CD166" i="3" s="1"/>
  <c r="CF147" i="3"/>
  <c r="CF148" i="3" s="1"/>
  <c r="CO129" i="3"/>
  <c r="CO127" i="3"/>
  <c r="CO126" i="3"/>
  <c r="CP122" i="3" s="1"/>
  <c r="CD159" i="3"/>
  <c r="CE153" i="3" s="1"/>
  <c r="CE154" i="3" s="1"/>
  <c r="CE157" i="3" s="1"/>
  <c r="CD161" i="3"/>
  <c r="CC96" i="3" l="1"/>
  <c r="CC98" i="3" s="1"/>
  <c r="CG145" i="3"/>
  <c r="CG146" i="3" s="1"/>
  <c r="CG141" i="3"/>
  <c r="CH135" i="3" s="1"/>
  <c r="CH136" i="3" s="1"/>
  <c r="CH139" i="3" s="1"/>
  <c r="CD171" i="3"/>
  <c r="CD169" i="3"/>
  <c r="CO138" i="3"/>
  <c r="CO130" i="3"/>
  <c r="CP123" i="3"/>
  <c r="CP125" i="3" s="1"/>
  <c r="CE158" i="3"/>
  <c r="CE161" i="3" s="1"/>
  <c r="CD172" i="3" l="1"/>
  <c r="CC103" i="3"/>
  <c r="CC105" i="3" s="1"/>
  <c r="CC111" i="3" s="1"/>
  <c r="CC109" i="3" s="1"/>
  <c r="CG156" i="3"/>
  <c r="CD96" i="3"/>
  <c r="CG147" i="3"/>
  <c r="CG148" i="3" s="1"/>
  <c r="CH140" i="3"/>
  <c r="CP129" i="3"/>
  <c r="CP127" i="3"/>
  <c r="CP126" i="3"/>
  <c r="CQ122" i="3" s="1"/>
  <c r="CE159" i="3"/>
  <c r="CF153" i="3" s="1"/>
  <c r="CF154" i="3" s="1"/>
  <c r="CE163" i="3"/>
  <c r="CD103" i="3" l="1"/>
  <c r="CD105" i="3" s="1"/>
  <c r="CE164" i="3"/>
  <c r="CD98" i="3"/>
  <c r="CH143" i="3"/>
  <c r="CH145" i="3"/>
  <c r="CH141" i="3"/>
  <c r="CI135" i="3" s="1"/>
  <c r="CQ123" i="3"/>
  <c r="CQ125" i="3" s="1"/>
  <c r="CP138" i="3"/>
  <c r="CP130" i="3"/>
  <c r="CF157" i="3"/>
  <c r="CF158" i="3"/>
  <c r="CF163" i="3" s="1"/>
  <c r="CD111" i="3" l="1"/>
  <c r="CD109" i="3" s="1"/>
  <c r="CE165" i="3"/>
  <c r="CE166" i="3" s="1"/>
  <c r="CE169" i="3" s="1"/>
  <c r="CH146" i="3"/>
  <c r="CH156" i="3"/>
  <c r="CI136" i="3"/>
  <c r="CI139" i="3" s="1"/>
  <c r="CQ129" i="3"/>
  <c r="CQ127" i="3"/>
  <c r="CQ126" i="3"/>
  <c r="CR122" i="3" s="1"/>
  <c r="CF161" i="3"/>
  <c r="CF159" i="3"/>
  <c r="CG153" i="3" s="1"/>
  <c r="CG154" i="3" s="1"/>
  <c r="CG158" i="3" s="1"/>
  <c r="CF164" i="3"/>
  <c r="CE171" i="3" l="1"/>
  <c r="CE96" i="3" s="1"/>
  <c r="CE103" i="3" s="1"/>
  <c r="CE105" i="3" s="1"/>
  <c r="CF165" i="3"/>
  <c r="CF166" i="3" s="1"/>
  <c r="CF171" i="3" s="1"/>
  <c r="CH147" i="3"/>
  <c r="CH148" i="3" s="1"/>
  <c r="CI140" i="3"/>
  <c r="CR123" i="3"/>
  <c r="CQ130" i="3"/>
  <c r="CQ138" i="3"/>
  <c r="CG157" i="3"/>
  <c r="CG159" i="3" s="1"/>
  <c r="CH153" i="3" s="1"/>
  <c r="CG163" i="3"/>
  <c r="CG161" i="3"/>
  <c r="CE172" i="3" l="1"/>
  <c r="CE98" i="3"/>
  <c r="CE111" i="3" s="1"/>
  <c r="CE109" i="3" s="1"/>
  <c r="CF96" i="3"/>
  <c r="CF98" i="3" s="1"/>
  <c r="CF169" i="3"/>
  <c r="CI143" i="3"/>
  <c r="CI145" i="3"/>
  <c r="CI141" i="3"/>
  <c r="CJ135" i="3" s="1"/>
  <c r="CR125" i="3"/>
  <c r="CG164" i="3"/>
  <c r="CH154" i="3"/>
  <c r="CH157" i="3" s="1"/>
  <c r="CF103" i="3" l="1"/>
  <c r="CF105" i="3" s="1"/>
  <c r="CF111" i="3" s="1"/>
  <c r="CF109" i="3" s="1"/>
  <c r="CF172" i="3"/>
  <c r="CG165" i="3"/>
  <c r="CG166" i="3" s="1"/>
  <c r="CG171" i="3" s="1"/>
  <c r="CJ136" i="3"/>
  <c r="CJ139" i="3" s="1"/>
  <c r="CI156" i="3"/>
  <c r="CI146" i="3"/>
  <c r="CR127" i="3"/>
  <c r="CR129" i="3"/>
  <c r="CR126" i="3"/>
  <c r="CS122" i="3" s="1"/>
  <c r="CH158" i="3"/>
  <c r="CH163" i="3" s="1"/>
  <c r="CG169" i="3" l="1"/>
  <c r="CG172" i="3" s="1"/>
  <c r="CG96" i="3"/>
  <c r="CI147" i="3"/>
  <c r="CI148" i="3" s="1"/>
  <c r="CJ140" i="3"/>
  <c r="CS123" i="3"/>
  <c r="CR138" i="3"/>
  <c r="CR130" i="3"/>
  <c r="CH159" i="3"/>
  <c r="CI153" i="3" s="1"/>
  <c r="CI154" i="3" s="1"/>
  <c r="CI157" i="3" s="1"/>
  <c r="CH161" i="3"/>
  <c r="CH164" i="3"/>
  <c r="CG103" i="3" l="1"/>
  <c r="CG105" i="3" s="1"/>
  <c r="CG98" i="3"/>
  <c r="CH165" i="3"/>
  <c r="CH166" i="3" s="1"/>
  <c r="CH169" i="3" s="1"/>
  <c r="CJ143" i="3"/>
  <c r="CJ145" i="3"/>
  <c r="CJ141" i="3"/>
  <c r="CK135" i="3" s="1"/>
  <c r="CS125" i="3"/>
  <c r="CI158" i="3"/>
  <c r="CI159" i="3" s="1"/>
  <c r="CJ153" i="3" s="1"/>
  <c r="CJ154" i="3" s="1"/>
  <c r="CG111" i="3" l="1"/>
  <c r="CG109" i="3" s="1"/>
  <c r="CH171" i="3"/>
  <c r="CH172" i="3" s="1"/>
  <c r="CK136" i="3"/>
  <c r="CK139" i="3" s="1"/>
  <c r="CJ146" i="3"/>
  <c r="CJ156" i="3"/>
  <c r="CJ157" i="3" s="1"/>
  <c r="CS127" i="3"/>
  <c r="CS129" i="3"/>
  <c r="CS126" i="3"/>
  <c r="CT122" i="3" s="1"/>
  <c r="CI163" i="3"/>
  <c r="CI161" i="3"/>
  <c r="CK140" i="3" l="1"/>
  <c r="CK145" i="3" s="1"/>
  <c r="CI164" i="3"/>
  <c r="CI165" i="3" s="1"/>
  <c r="CI166" i="3" s="1"/>
  <c r="CI171" i="3" s="1"/>
  <c r="CH96" i="3"/>
  <c r="CJ147" i="3"/>
  <c r="CJ148" i="3" s="1"/>
  <c r="CJ158" i="3" s="1"/>
  <c r="CS130" i="3"/>
  <c r="CS138" i="3"/>
  <c r="CT123" i="3"/>
  <c r="CT125" i="3" s="1"/>
  <c r="CK141" i="3" l="1"/>
  <c r="CL135" i="3" s="1"/>
  <c r="CL136" i="3" s="1"/>
  <c r="CL140" i="3" s="1"/>
  <c r="CK143" i="3"/>
  <c r="CH103" i="3"/>
  <c r="CH105" i="3" s="1"/>
  <c r="CI169" i="3"/>
  <c r="CI172" i="3" s="1"/>
  <c r="CH98" i="3"/>
  <c r="CI96" i="3"/>
  <c r="CI98" i="3" s="1"/>
  <c r="CJ163" i="3"/>
  <c r="CJ161" i="3"/>
  <c r="CJ159" i="3"/>
  <c r="CK153" i="3" s="1"/>
  <c r="CK154" i="3" s="1"/>
  <c r="CK156" i="3"/>
  <c r="CK146" i="3"/>
  <c r="CT129" i="3"/>
  <c r="CT127" i="3"/>
  <c r="CT126" i="3"/>
  <c r="CU122" i="3" s="1"/>
  <c r="CH111" i="3" l="1"/>
  <c r="CH109" i="3" s="1"/>
  <c r="CI103" i="3"/>
  <c r="CI105" i="3" s="1"/>
  <c r="CI111" i="3" s="1"/>
  <c r="CI109" i="3" s="1"/>
  <c r="CK157" i="3"/>
  <c r="CL139" i="3"/>
  <c r="CL141" i="3" s="1"/>
  <c r="CM135" i="3" s="1"/>
  <c r="CJ164" i="3"/>
  <c r="CJ165" i="3" s="1"/>
  <c r="CJ166" i="3" s="1"/>
  <c r="CK147" i="3"/>
  <c r="CK148" i="3" s="1"/>
  <c r="CK158" i="3" s="1"/>
  <c r="CK163" i="3" s="1"/>
  <c r="CL145" i="3"/>
  <c r="CL143" i="3"/>
  <c r="CU123" i="3"/>
  <c r="CU125" i="3" s="1"/>
  <c r="CT138" i="3"/>
  <c r="CT130" i="3"/>
  <c r="CK159" i="3" l="1"/>
  <c r="CL153" i="3" s="1"/>
  <c r="CL154" i="3" s="1"/>
  <c r="CK164" i="3"/>
  <c r="CK161" i="3"/>
  <c r="CJ169" i="3"/>
  <c r="CJ171" i="3"/>
  <c r="CM136" i="3"/>
  <c r="CM139" i="3" s="1"/>
  <c r="CL156" i="3"/>
  <c r="CL146" i="3"/>
  <c r="CU129" i="3"/>
  <c r="CU127" i="3"/>
  <c r="CU126" i="3"/>
  <c r="CV122" i="3" s="1"/>
  <c r="CJ96" i="3" l="1"/>
  <c r="CK165" i="3"/>
  <c r="CK166" i="3" s="1"/>
  <c r="CK169" i="3" s="1"/>
  <c r="CJ172" i="3"/>
  <c r="CL147" i="3"/>
  <c r="CL148" i="3" s="1"/>
  <c r="CL158" i="3" s="1"/>
  <c r="CL163" i="3" s="1"/>
  <c r="CL157" i="3"/>
  <c r="CM140" i="3"/>
  <c r="CM141" i="3" s="1"/>
  <c r="CN135" i="3" s="1"/>
  <c r="CV123" i="3"/>
  <c r="CV125" i="3" s="1"/>
  <c r="CU138" i="3"/>
  <c r="CU130" i="3"/>
  <c r="CJ103" i="3" l="1"/>
  <c r="CJ105" i="3" s="1"/>
  <c r="CK171" i="3"/>
  <c r="CK172" i="3" s="1"/>
  <c r="CL164" i="3"/>
  <c r="CJ98" i="3"/>
  <c r="CL159" i="3"/>
  <c r="CM153" i="3" s="1"/>
  <c r="CM154" i="3" s="1"/>
  <c r="CL161" i="3"/>
  <c r="CN136" i="3"/>
  <c r="CN140" i="3" s="1"/>
  <c r="CN143" i="3" s="1"/>
  <c r="CM145" i="3"/>
  <c r="CM143" i="3"/>
  <c r="CV129" i="3"/>
  <c r="CV127" i="3"/>
  <c r="CV126" i="3"/>
  <c r="CW122" i="3" s="1"/>
  <c r="CK96" i="3" l="1"/>
  <c r="CK98" i="3" s="1"/>
  <c r="CJ111" i="3"/>
  <c r="CJ109" i="3" s="1"/>
  <c r="CN139" i="3"/>
  <c r="CN141" i="3" s="1"/>
  <c r="CO135" i="3" s="1"/>
  <c r="CO136" i="3" s="1"/>
  <c r="CO139" i="3" s="1"/>
  <c r="CL165" i="3"/>
  <c r="CL166" i="3" s="1"/>
  <c r="CM146" i="3"/>
  <c r="CM156" i="3"/>
  <c r="CN145" i="3"/>
  <c r="CW123" i="3"/>
  <c r="CV138" i="3"/>
  <c r="CV130" i="3"/>
  <c r="CK103" i="3" l="1"/>
  <c r="CK105" i="3" s="1"/>
  <c r="CK111" i="3" s="1"/>
  <c r="CK109" i="3" s="1"/>
  <c r="CO140" i="3"/>
  <c r="CO143" i="3" s="1"/>
  <c r="CL169" i="3"/>
  <c r="CL171" i="3"/>
  <c r="CM147" i="3"/>
  <c r="CM148" i="3" s="1"/>
  <c r="CM158" i="3" s="1"/>
  <c r="CM163" i="3" s="1"/>
  <c r="CM157" i="3"/>
  <c r="CN156" i="3"/>
  <c r="CN146" i="3"/>
  <c r="CW125" i="3"/>
  <c r="CO145" i="3" l="1"/>
  <c r="CO146" i="3" s="1"/>
  <c r="CO141" i="3"/>
  <c r="CP135" i="3" s="1"/>
  <c r="CP136" i="3" s="1"/>
  <c r="CP139" i="3" s="1"/>
  <c r="CM164" i="3"/>
  <c r="CL96" i="3"/>
  <c r="CL98" i="3" s="1"/>
  <c r="CL172" i="3"/>
  <c r="CN147" i="3"/>
  <c r="CN148" i="3" s="1"/>
  <c r="CM159" i="3"/>
  <c r="CN153" i="3" s="1"/>
  <c r="CM161" i="3"/>
  <c r="CW129" i="3"/>
  <c r="CW127" i="3"/>
  <c r="CW126" i="3"/>
  <c r="CX122" i="3" s="1"/>
  <c r="CO156" i="3" l="1"/>
  <c r="CL103" i="3"/>
  <c r="CL105" i="3" s="1"/>
  <c r="CL111" i="3" s="1"/>
  <c r="CL109" i="3" s="1"/>
  <c r="CP140" i="3"/>
  <c r="CP143" i="3" s="1"/>
  <c r="CM165" i="3"/>
  <c r="CM166" i="3" s="1"/>
  <c r="CO147" i="3"/>
  <c r="CO148" i="3" s="1"/>
  <c r="CN154" i="3"/>
  <c r="CN157" i="3" s="1"/>
  <c r="CW138" i="3"/>
  <c r="CW130" i="3"/>
  <c r="CX123" i="3"/>
  <c r="CX125" i="3" s="1"/>
  <c r="CP141" i="3" l="1"/>
  <c r="CQ135" i="3" s="1"/>
  <c r="CQ136" i="3" s="1"/>
  <c r="CQ139" i="3" s="1"/>
  <c r="CP145" i="3"/>
  <c r="CP156" i="3" s="1"/>
  <c r="CN158" i="3"/>
  <c r="CN159" i="3" s="1"/>
  <c r="CO153" i="3" s="1"/>
  <c r="CM171" i="3"/>
  <c r="CM169" i="3"/>
  <c r="CX129" i="3"/>
  <c r="CX127" i="3"/>
  <c r="CX126" i="3"/>
  <c r="CY122" i="3" s="1"/>
  <c r="CP146" i="3" l="1"/>
  <c r="CP147" i="3" s="1"/>
  <c r="CP148" i="3" s="1"/>
  <c r="CN161" i="3"/>
  <c r="CQ140" i="3"/>
  <c r="CQ145" i="3" s="1"/>
  <c r="CN163" i="3"/>
  <c r="CN164" i="3" s="1"/>
  <c r="CM96" i="3"/>
  <c r="CM98" i="3" s="1"/>
  <c r="CM172" i="3"/>
  <c r="CO154" i="3"/>
  <c r="CO158" i="3" s="1"/>
  <c r="CY123" i="3"/>
  <c r="CY125" i="3" s="1"/>
  <c r="CX130" i="3"/>
  <c r="CX138" i="3"/>
  <c r="CQ141" i="3" l="1"/>
  <c r="CR135" i="3" s="1"/>
  <c r="CR136" i="3" s="1"/>
  <c r="CR139" i="3" s="1"/>
  <c r="CQ143" i="3"/>
  <c r="CM103" i="3"/>
  <c r="CM105" i="3" s="1"/>
  <c r="CM111" i="3" s="1"/>
  <c r="CM109" i="3" s="1"/>
  <c r="CO157" i="3"/>
  <c r="CN165" i="3"/>
  <c r="CN166" i="3" s="1"/>
  <c r="CO159" i="3"/>
  <c r="CP153" i="3" s="1"/>
  <c r="CP154" i="3" s="1"/>
  <c r="CP157" i="3" s="1"/>
  <c r="CQ146" i="3"/>
  <c r="CQ156" i="3"/>
  <c r="CO163" i="3"/>
  <c r="CO161" i="3"/>
  <c r="CY127" i="3"/>
  <c r="CY129" i="3"/>
  <c r="CY126" i="3"/>
  <c r="CZ122" i="3" s="1"/>
  <c r="CR140" i="3" l="1"/>
  <c r="CR143" i="3" s="1"/>
  <c r="CN171" i="3"/>
  <c r="CN169" i="3"/>
  <c r="CQ147" i="3"/>
  <c r="CQ148" i="3" s="1"/>
  <c r="CP158" i="3"/>
  <c r="CP159" i="3" s="1"/>
  <c r="CQ153" i="3" s="1"/>
  <c r="CO164" i="3"/>
  <c r="CY138" i="3"/>
  <c r="CY130" i="3"/>
  <c r="CZ123" i="3"/>
  <c r="CR145" i="3" l="1"/>
  <c r="CR146" i="3" s="1"/>
  <c r="CR141" i="3"/>
  <c r="CS135" i="3" s="1"/>
  <c r="CS136" i="3" s="1"/>
  <c r="CS139" i="3" s="1"/>
  <c r="CN172" i="3"/>
  <c r="CP163" i="3"/>
  <c r="CN96" i="3"/>
  <c r="CP161" i="3"/>
  <c r="CQ154" i="3"/>
  <c r="CQ157" i="3" s="1"/>
  <c r="CO165" i="3"/>
  <c r="CO166" i="3" s="1"/>
  <c r="CZ125" i="3"/>
  <c r="CR156" i="3" l="1"/>
  <c r="CN103" i="3"/>
  <c r="CN105" i="3" s="1"/>
  <c r="CQ158" i="3"/>
  <c r="CQ163" i="3" s="1"/>
  <c r="CN98" i="3"/>
  <c r="CP164" i="3"/>
  <c r="CR147" i="3"/>
  <c r="CR148" i="3" s="1"/>
  <c r="CS140" i="3"/>
  <c r="CS143" i="3" s="1"/>
  <c r="CO169" i="3"/>
  <c r="CO171" i="3"/>
  <c r="CZ129" i="3"/>
  <c r="CZ127" i="3"/>
  <c r="CZ126" i="3"/>
  <c r="DA122" i="3" s="1"/>
  <c r="CN111" i="3" l="1"/>
  <c r="CN109" i="3" s="1"/>
  <c r="CQ161" i="3"/>
  <c r="CQ159" i="3"/>
  <c r="CR153" i="3" s="1"/>
  <c r="CR154" i="3" s="1"/>
  <c r="CR157" i="3" s="1"/>
  <c r="CS141" i="3"/>
  <c r="CT135" i="3" s="1"/>
  <c r="CT136" i="3" s="1"/>
  <c r="CT139" i="3" s="1"/>
  <c r="CO96" i="3"/>
  <c r="CQ164" i="3"/>
  <c r="CP165" i="3"/>
  <c r="CP166" i="3" s="1"/>
  <c r="CS145" i="3"/>
  <c r="CO172" i="3"/>
  <c r="CZ138" i="3"/>
  <c r="CZ130" i="3"/>
  <c r="DA123" i="3"/>
  <c r="DA125" i="3" s="1"/>
  <c r="CO103" i="3" l="1"/>
  <c r="CO105" i="3" s="1"/>
  <c r="CP169" i="3"/>
  <c r="CP171" i="3"/>
  <c r="CS146" i="3"/>
  <c r="CS156" i="3"/>
  <c r="CO98" i="3"/>
  <c r="CQ165" i="3"/>
  <c r="CQ166" i="3" s="1"/>
  <c r="CR158" i="3"/>
  <c r="CR159" i="3" s="1"/>
  <c r="CS153" i="3" s="1"/>
  <c r="CT140" i="3"/>
  <c r="DA126" i="3"/>
  <c r="DB122" i="3" s="1"/>
  <c r="DA129" i="3"/>
  <c r="DA127" i="3"/>
  <c r="CO111" i="3" l="1"/>
  <c r="CO109" i="3" s="1"/>
  <c r="CS147" i="3"/>
  <c r="CS148" i="3" s="1"/>
  <c r="CQ171" i="3"/>
  <c r="CQ96" i="3" s="1"/>
  <c r="CQ169" i="3"/>
  <c r="CR161" i="3"/>
  <c r="CR163" i="3"/>
  <c r="CR164" i="3" s="1"/>
  <c r="CP96" i="3"/>
  <c r="CP172" i="3"/>
  <c r="CT145" i="3"/>
  <c r="CT143" i="3"/>
  <c r="CT141" i="3"/>
  <c r="CU135" i="3" s="1"/>
  <c r="CS154" i="3"/>
  <c r="CS157" i="3" s="1"/>
  <c r="DA138" i="3"/>
  <c r="DA130" i="3"/>
  <c r="DB123" i="3"/>
  <c r="CR165" i="3" l="1"/>
  <c r="CR166" i="3" s="1"/>
  <c r="CR169" i="3" s="1"/>
  <c r="CQ172" i="3"/>
  <c r="CQ103" i="3"/>
  <c r="CQ105" i="3" s="1"/>
  <c r="CP103" i="3"/>
  <c r="CP105" i="3" s="1"/>
  <c r="CP98" i="3"/>
  <c r="CQ98" i="3"/>
  <c r="DB125" i="3"/>
  <c r="DB126" i="3" s="1"/>
  <c r="DC122" i="3" s="1"/>
  <c r="DC123" i="3" s="1"/>
  <c r="DC125" i="3" s="1"/>
  <c r="CU136" i="3"/>
  <c r="CU139" i="3" s="1"/>
  <c r="CS158" i="3"/>
  <c r="CS159" i="3" s="1"/>
  <c r="CT153" i="3" s="1"/>
  <c r="CT156" i="3"/>
  <c r="CT146" i="3"/>
  <c r="CR171" i="3" l="1"/>
  <c r="CR172" i="3" s="1"/>
  <c r="CU140" i="3"/>
  <c r="CU141" i="3" s="1"/>
  <c r="CV135" i="3" s="1"/>
  <c r="CQ111" i="3"/>
  <c r="CQ109" i="3" s="1"/>
  <c r="CP111" i="3"/>
  <c r="CP109" i="3" s="1"/>
  <c r="DB127" i="3"/>
  <c r="DB129" i="3"/>
  <c r="DB138" i="3" s="1"/>
  <c r="CT147" i="3"/>
  <c r="CT148" i="3" s="1"/>
  <c r="CT154" i="3"/>
  <c r="CT157" i="3" s="1"/>
  <c r="CS163" i="3"/>
  <c r="CS161" i="3"/>
  <c r="DC129" i="3"/>
  <c r="DC127" i="3"/>
  <c r="DC126" i="3"/>
  <c r="DD122" i="3" s="1"/>
  <c r="CR96" i="3" l="1"/>
  <c r="CR103" i="3" s="1"/>
  <c r="CR105" i="3" s="1"/>
  <c r="CU145" i="3"/>
  <c r="CU146" i="3" s="1"/>
  <c r="CU143" i="3"/>
  <c r="DB130" i="3"/>
  <c r="CT158" i="3"/>
  <c r="CT161" i="3" s="1"/>
  <c r="CS164" i="3"/>
  <c r="CS165" i="3" s="1"/>
  <c r="CS166" i="3" s="1"/>
  <c r="CV136" i="3"/>
  <c r="CV140" i="3" s="1"/>
  <c r="DD123" i="3"/>
  <c r="DD125" i="3" s="1"/>
  <c r="DC138" i="3"/>
  <c r="DC130" i="3"/>
  <c r="CR98" i="3" l="1"/>
  <c r="CU156" i="3"/>
  <c r="CR111" i="3"/>
  <c r="CR109" i="3" s="1"/>
  <c r="CT159" i="3"/>
  <c r="CU153" i="3" s="1"/>
  <c r="CU154" i="3" s="1"/>
  <c r="CV139" i="3"/>
  <c r="CV141" i="3" s="1"/>
  <c r="CW135" i="3" s="1"/>
  <c r="CT163" i="3"/>
  <c r="CT164" i="3" s="1"/>
  <c r="CU147" i="3"/>
  <c r="CU148" i="3" s="1"/>
  <c r="CV143" i="3"/>
  <c r="CV145" i="3"/>
  <c r="CS169" i="3"/>
  <c r="CS171" i="3"/>
  <c r="DD129" i="3"/>
  <c r="DD127" i="3"/>
  <c r="DD126" i="3"/>
  <c r="DE122" i="3" s="1"/>
  <c r="CU157" i="3" l="1"/>
  <c r="CT165" i="3"/>
  <c r="CT166" i="3" s="1"/>
  <c r="CT169" i="3" s="1"/>
  <c r="CS96" i="3"/>
  <c r="CU158" i="3"/>
  <c r="CV156" i="3"/>
  <c r="CV146" i="3"/>
  <c r="CW136" i="3"/>
  <c r="CW139" i="3" s="1"/>
  <c r="CS172" i="3"/>
  <c r="DE123" i="3"/>
  <c r="DE125" i="3" s="1"/>
  <c r="DD130" i="3"/>
  <c r="DD138" i="3"/>
  <c r="CU159" i="3" l="1"/>
  <c r="CV153" i="3" s="1"/>
  <c r="CV154" i="3" s="1"/>
  <c r="CV157" i="3" s="1"/>
  <c r="CT171" i="3"/>
  <c r="CT96" i="3" s="1"/>
  <c r="CS103" i="3"/>
  <c r="CS105" i="3" s="1"/>
  <c r="CS98" i="3"/>
  <c r="CU161" i="3"/>
  <c r="CV147" i="3"/>
  <c r="CV148" i="3" s="1"/>
  <c r="CU163" i="3"/>
  <c r="CW140" i="3"/>
  <c r="DE127" i="3"/>
  <c r="DE129" i="3"/>
  <c r="DE126" i="3"/>
  <c r="DF122" i="3" s="1"/>
  <c r="CT172" i="3" l="1"/>
  <c r="CS111" i="3"/>
  <c r="CS109" i="3" s="1"/>
  <c r="CT103" i="3"/>
  <c r="CT105" i="3" s="1"/>
  <c r="CU164" i="3"/>
  <c r="CU165" i="3" s="1"/>
  <c r="CU166" i="3" s="1"/>
  <c r="CU169" i="3" s="1"/>
  <c r="CT98" i="3"/>
  <c r="CW145" i="3"/>
  <c r="CW143" i="3"/>
  <c r="CW141" i="3"/>
  <c r="CX135" i="3" s="1"/>
  <c r="CV158" i="3"/>
  <c r="DE138" i="3"/>
  <c r="DE130" i="3"/>
  <c r="DF123" i="3"/>
  <c r="CT111" i="3" l="1"/>
  <c r="CT109" i="3" s="1"/>
  <c r="CU171" i="3"/>
  <c r="CU172" i="3" s="1"/>
  <c r="CV159" i="3"/>
  <c r="CW153" i="3" s="1"/>
  <c r="CV163" i="3"/>
  <c r="CV161" i="3"/>
  <c r="CX136" i="3"/>
  <c r="CX139" i="3" s="1"/>
  <c r="CW146" i="3"/>
  <c r="CW156" i="3"/>
  <c r="DF125" i="3"/>
  <c r="DF126" i="3" s="1"/>
  <c r="DG122" i="3" s="1"/>
  <c r="CU96" i="3" l="1"/>
  <c r="CU98" i="3" s="1"/>
  <c r="CV164" i="3"/>
  <c r="CV165" i="3" s="1"/>
  <c r="CV166" i="3" s="1"/>
  <c r="CV171" i="3" s="1"/>
  <c r="CW147" i="3"/>
  <c r="CW148" i="3" s="1"/>
  <c r="CX140" i="3"/>
  <c r="CX141" i="3" s="1"/>
  <c r="CY135" i="3" s="1"/>
  <c r="CW154" i="3"/>
  <c r="CW157" i="3" s="1"/>
  <c r="DG123" i="3"/>
  <c r="DG125" i="3" s="1"/>
  <c r="DF129" i="3"/>
  <c r="DF127" i="3"/>
  <c r="CU103" i="3" l="1"/>
  <c r="CU105" i="3" s="1"/>
  <c r="CU111" i="3" s="1"/>
  <c r="CU109" i="3" s="1"/>
  <c r="CV169" i="3"/>
  <c r="CV172" i="3" s="1"/>
  <c r="CV96" i="3"/>
  <c r="CV98" i="3" s="1"/>
  <c r="CW158" i="3"/>
  <c r="CW163" i="3" s="1"/>
  <c r="CY136" i="3"/>
  <c r="CY139" i="3" s="1"/>
  <c r="CX143" i="3"/>
  <c r="CX145" i="3"/>
  <c r="DG129" i="3"/>
  <c r="DG127" i="3"/>
  <c r="DG126" i="3"/>
  <c r="DH122" i="3" s="1"/>
  <c r="DF130" i="3"/>
  <c r="DF138" i="3"/>
  <c r="CV103" i="3" l="1"/>
  <c r="CV105" i="3" s="1"/>
  <c r="CV111" i="3" s="1"/>
  <c r="CV109" i="3" s="1"/>
  <c r="CW159" i="3"/>
  <c r="CX153" i="3" s="1"/>
  <c r="CX154" i="3" s="1"/>
  <c r="CW164" i="3"/>
  <c r="CW165" i="3" s="1"/>
  <c r="CW166" i="3" s="1"/>
  <c r="CW161" i="3"/>
  <c r="CX156" i="3"/>
  <c r="CX146" i="3"/>
  <c r="CY140" i="3"/>
  <c r="DH123" i="3"/>
  <c r="DH125" i="3" s="1"/>
  <c r="DG138" i="3"/>
  <c r="DG130" i="3"/>
  <c r="CW169" i="3" l="1"/>
  <c r="CW171" i="3"/>
  <c r="CY143" i="3"/>
  <c r="CY145" i="3"/>
  <c r="CX147" i="3"/>
  <c r="CX148" i="3" s="1"/>
  <c r="CX158" i="3" s="1"/>
  <c r="CX157" i="3"/>
  <c r="CY141" i="3"/>
  <c r="CZ135" i="3" s="1"/>
  <c r="DH127" i="3"/>
  <c r="DH129" i="3"/>
  <c r="DH126" i="3"/>
  <c r="DI122" i="3" s="1"/>
  <c r="CW96" i="3" l="1"/>
  <c r="CW172" i="3"/>
  <c r="CX161" i="3"/>
  <c r="CX163" i="3"/>
  <c r="CZ136" i="3"/>
  <c r="CZ140" i="3" s="1"/>
  <c r="CX159" i="3"/>
  <c r="CY153" i="3" s="1"/>
  <c r="CY146" i="3"/>
  <c r="CY156" i="3"/>
  <c r="DI123" i="3"/>
  <c r="DI125" i="3" s="1"/>
  <c r="DH138" i="3"/>
  <c r="DH130" i="3"/>
  <c r="CW103" i="3" l="1"/>
  <c r="CW105" i="3" s="1"/>
  <c r="CX164" i="3"/>
  <c r="CW98" i="3"/>
  <c r="CZ139" i="3"/>
  <c r="CZ141" i="3" s="1"/>
  <c r="DA135" i="3" s="1"/>
  <c r="CY147" i="3"/>
  <c r="CY148" i="3" s="1"/>
  <c r="CZ143" i="3"/>
  <c r="CZ145" i="3"/>
  <c r="CY154" i="3"/>
  <c r="CY157" i="3" s="1"/>
  <c r="DI127" i="3"/>
  <c r="DI129" i="3"/>
  <c r="DI126" i="3"/>
  <c r="DJ122" i="3" s="1"/>
  <c r="CW111" i="3" l="1"/>
  <c r="CW109" i="3" s="1"/>
  <c r="CX165" i="3"/>
  <c r="CX166" i="3" s="1"/>
  <c r="CX169" i="3" s="1"/>
  <c r="CY158" i="3"/>
  <c r="CY163" i="3" s="1"/>
  <c r="DA136" i="3"/>
  <c r="DA139" i="3" s="1"/>
  <c r="CZ156" i="3"/>
  <c r="CZ146" i="3"/>
  <c r="DJ123" i="3"/>
  <c r="DI130" i="3"/>
  <c r="DI138" i="3"/>
  <c r="CY161" i="3" l="1"/>
  <c r="DA140" i="3"/>
  <c r="DA141" i="3" s="1"/>
  <c r="DB135" i="3" s="1"/>
  <c r="CX171" i="3"/>
  <c r="CX172" i="3" s="1"/>
  <c r="CY159" i="3"/>
  <c r="CZ153" i="3" s="1"/>
  <c r="CZ154" i="3" s="1"/>
  <c r="CZ157" i="3" s="1"/>
  <c r="CY164" i="3"/>
  <c r="CZ147" i="3"/>
  <c r="CZ148" i="3" s="1"/>
  <c r="DJ125" i="3"/>
  <c r="DA145" i="3" l="1"/>
  <c r="DA146" i="3" s="1"/>
  <c r="DA143" i="3"/>
  <c r="CX96" i="3"/>
  <c r="CX103" i="3" s="1"/>
  <c r="CX105" i="3" s="1"/>
  <c r="CY165" i="3"/>
  <c r="CY166" i="3" s="1"/>
  <c r="CY169" i="3" s="1"/>
  <c r="DB136" i="3"/>
  <c r="DB140" i="3" s="1"/>
  <c r="CZ158" i="3"/>
  <c r="CZ159" i="3" s="1"/>
  <c r="DA153" i="3" s="1"/>
  <c r="DJ129" i="3"/>
  <c r="DJ127" i="3"/>
  <c r="DJ126" i="3"/>
  <c r="DK122" i="3" s="1"/>
  <c r="DA156" i="3" l="1"/>
  <c r="CX98" i="3"/>
  <c r="CX111" i="3" s="1"/>
  <c r="CX109" i="3" s="1"/>
  <c r="CY171" i="3"/>
  <c r="CY172" i="3" s="1"/>
  <c r="DB139" i="3"/>
  <c r="DB141" i="3" s="1"/>
  <c r="DC135" i="3" s="1"/>
  <c r="CY96" i="3"/>
  <c r="DB145" i="3"/>
  <c r="DB143" i="3"/>
  <c r="DA154" i="3"/>
  <c r="CZ163" i="3"/>
  <c r="CZ161" i="3"/>
  <c r="DA147" i="3"/>
  <c r="DK123" i="3"/>
  <c r="DJ138" i="3"/>
  <c r="DJ130" i="3"/>
  <c r="DA157" i="3" l="1"/>
  <c r="CY103" i="3"/>
  <c r="CY105" i="3" s="1"/>
  <c r="CY98" i="3"/>
  <c r="DA148" i="3"/>
  <c r="DA158" i="3" s="1"/>
  <c r="CZ164" i="3"/>
  <c r="DC136" i="3"/>
  <c r="DC139" i="3" s="1"/>
  <c r="DB156" i="3"/>
  <c r="DB146" i="3"/>
  <c r="DK125" i="3"/>
  <c r="CY111" i="3" l="1"/>
  <c r="CY109" i="3" s="1"/>
  <c r="CZ165" i="3"/>
  <c r="CZ166" i="3" s="1"/>
  <c r="CZ169" i="3" s="1"/>
  <c r="DA163" i="3"/>
  <c r="DA159" i="3"/>
  <c r="DB153" i="3" s="1"/>
  <c r="DB154" i="3" s="1"/>
  <c r="DA161" i="3"/>
  <c r="DC140" i="3"/>
  <c r="DC141" i="3" s="1"/>
  <c r="DD135" i="3" s="1"/>
  <c r="DB147" i="3"/>
  <c r="DB148" i="3" s="1"/>
  <c r="DK129" i="3"/>
  <c r="DK127" i="3"/>
  <c r="DK126" i="3"/>
  <c r="DL122" i="3" s="1"/>
  <c r="DB158" i="3" l="1"/>
  <c r="DB163" i="3" s="1"/>
  <c r="DB164" i="3" s="1"/>
  <c r="DA164" i="3"/>
  <c r="CZ171" i="3"/>
  <c r="CZ172" i="3" s="1"/>
  <c r="DC145" i="3"/>
  <c r="DC146" i="3" s="1"/>
  <c r="DC143" i="3"/>
  <c r="DB157" i="3"/>
  <c r="DD136" i="3"/>
  <c r="DD140" i="3" s="1"/>
  <c r="DL123" i="3"/>
  <c r="DL125" i="3" s="1"/>
  <c r="DK130" i="3"/>
  <c r="DK138" i="3"/>
  <c r="DB159" i="3" l="1"/>
  <c r="DC153" i="3" s="1"/>
  <c r="DC154" i="3" s="1"/>
  <c r="DB165" i="3"/>
  <c r="DB166" i="3" s="1"/>
  <c r="DB169" i="3" s="1"/>
  <c r="DB161" i="3"/>
  <c r="DA165" i="3"/>
  <c r="DA166" i="3" s="1"/>
  <c r="CZ96" i="3"/>
  <c r="DC156" i="3"/>
  <c r="DC147" i="3"/>
  <c r="DC148" i="3" s="1"/>
  <c r="DD139" i="3"/>
  <c r="DD141" i="3" s="1"/>
  <c r="DE135" i="3" s="1"/>
  <c r="DD143" i="3"/>
  <c r="DD145" i="3"/>
  <c r="DL127" i="3"/>
  <c r="DL129" i="3"/>
  <c r="DL126" i="3"/>
  <c r="DM122" i="3" s="1"/>
  <c r="CZ103" i="3" l="1"/>
  <c r="CZ105" i="3" s="1"/>
  <c r="DC157" i="3"/>
  <c r="DB171" i="3"/>
  <c r="DB96" i="3" s="1"/>
  <c r="DC158" i="3"/>
  <c r="DC161" i="3" s="1"/>
  <c r="DA169" i="3"/>
  <c r="DA171" i="3"/>
  <c r="CZ98" i="3"/>
  <c r="DE136" i="3"/>
  <c r="DE140" i="3" s="1"/>
  <c r="DD146" i="3"/>
  <c r="DD156" i="3"/>
  <c r="DM123" i="3"/>
  <c r="DM125" i="3" s="1"/>
  <c r="DL130" i="3"/>
  <c r="DL138" i="3"/>
  <c r="CZ111" i="3" l="1"/>
  <c r="CZ109" i="3" s="1"/>
  <c r="DB172" i="3"/>
  <c r="DB103" i="3"/>
  <c r="DB105" i="3" s="1"/>
  <c r="DC159" i="3"/>
  <c r="DD153" i="3" s="1"/>
  <c r="DD154" i="3" s="1"/>
  <c r="DD157" i="3" s="1"/>
  <c r="DC163" i="3"/>
  <c r="DC164" i="3" s="1"/>
  <c r="DE139" i="3"/>
  <c r="DE141" i="3" s="1"/>
  <c r="DF135" i="3" s="1"/>
  <c r="DB98" i="3"/>
  <c r="DA172" i="3"/>
  <c r="DA96" i="3"/>
  <c r="DA103" i="3" s="1"/>
  <c r="DE145" i="3"/>
  <c r="DE143" i="3"/>
  <c r="DD147" i="3"/>
  <c r="DM129" i="3"/>
  <c r="DM127" i="3"/>
  <c r="DM126" i="3"/>
  <c r="DN122" i="3" s="1"/>
  <c r="DB111" i="3" l="1"/>
  <c r="DB109" i="3" s="1"/>
  <c r="DA105" i="3"/>
  <c r="DA98" i="3"/>
  <c r="DC165" i="3"/>
  <c r="DC166" i="3" s="1"/>
  <c r="DD148" i="3"/>
  <c r="DD158" i="3" s="1"/>
  <c r="DF136" i="3"/>
  <c r="DF140" i="3" s="1"/>
  <c r="DE156" i="3"/>
  <c r="DE146" i="3"/>
  <c r="DN123" i="3"/>
  <c r="DM138" i="3"/>
  <c r="DM130" i="3"/>
  <c r="DA111" i="3" l="1"/>
  <c r="DA109" i="3" s="1"/>
  <c r="DF139" i="3"/>
  <c r="DF141" i="3" s="1"/>
  <c r="DG135" i="3" s="1"/>
  <c r="DC169" i="3"/>
  <c r="DC171" i="3"/>
  <c r="DD163" i="3"/>
  <c r="DD164" i="3" s="1"/>
  <c r="DD161" i="3"/>
  <c r="DD159" i="3"/>
  <c r="DE153" i="3" s="1"/>
  <c r="DE154" i="3" s="1"/>
  <c r="DE157" i="3" s="1"/>
  <c r="DF143" i="3"/>
  <c r="DF145" i="3"/>
  <c r="DE147" i="3"/>
  <c r="DN125" i="3"/>
  <c r="DN126" i="3" s="1"/>
  <c r="DO122" i="3" s="1"/>
  <c r="DC172" i="3" l="1"/>
  <c r="DC96" i="3"/>
  <c r="DD165" i="3"/>
  <c r="DD166" i="3" s="1"/>
  <c r="DD169" i="3" s="1"/>
  <c r="DE148" i="3"/>
  <c r="DE158" i="3" s="1"/>
  <c r="DG136" i="3"/>
  <c r="DG140" i="3" s="1"/>
  <c r="DF146" i="3"/>
  <c r="DF156" i="3"/>
  <c r="DO123" i="3"/>
  <c r="DO125" i="3" s="1"/>
  <c r="DN129" i="3"/>
  <c r="DN127" i="3"/>
  <c r="DC103" i="3" l="1"/>
  <c r="DC105" i="3" s="1"/>
  <c r="DG139" i="3"/>
  <c r="DG141" i="3" s="1"/>
  <c r="DH135" i="3" s="1"/>
  <c r="DC98" i="3"/>
  <c r="DD171" i="3"/>
  <c r="DD172" i="3" s="1"/>
  <c r="DE163" i="3"/>
  <c r="DE164" i="3" s="1"/>
  <c r="DE161" i="3"/>
  <c r="DE159" i="3"/>
  <c r="DF153" i="3" s="1"/>
  <c r="DF154" i="3" s="1"/>
  <c r="DF157" i="3" s="1"/>
  <c r="DG145" i="3"/>
  <c r="DG143" i="3"/>
  <c r="DF147" i="3"/>
  <c r="DF148" i="3" s="1"/>
  <c r="DO129" i="3"/>
  <c r="DO127" i="3"/>
  <c r="DO126" i="3"/>
  <c r="DP122" i="3" s="1"/>
  <c r="DN138" i="3"/>
  <c r="DN130" i="3"/>
  <c r="DC111" i="3" l="1"/>
  <c r="DC109" i="3" s="1"/>
  <c r="DD96" i="3"/>
  <c r="DE165" i="3"/>
  <c r="DE166" i="3" s="1"/>
  <c r="DF158" i="3"/>
  <c r="DF161" i="3" s="1"/>
  <c r="DH136" i="3"/>
  <c r="DH139" i="3" s="1"/>
  <c r="DG146" i="3"/>
  <c r="DG156" i="3"/>
  <c r="DO138" i="3"/>
  <c r="DO130" i="3"/>
  <c r="DP123" i="3"/>
  <c r="DP125" i="3" s="1"/>
  <c r="DD103" i="3" l="1"/>
  <c r="DD105" i="3" s="1"/>
  <c r="DE171" i="3"/>
  <c r="DE169" i="3"/>
  <c r="DD98" i="3"/>
  <c r="DF159" i="3"/>
  <c r="DG153" i="3" s="1"/>
  <c r="DG154" i="3" s="1"/>
  <c r="DG157" i="3" s="1"/>
  <c r="DF163" i="3"/>
  <c r="DH140" i="3"/>
  <c r="DG147" i="3"/>
  <c r="DP129" i="3"/>
  <c r="DP127" i="3"/>
  <c r="DP126" i="3"/>
  <c r="DQ122" i="3" s="1"/>
  <c r="DD111" i="3" l="1"/>
  <c r="DD109" i="3" s="1"/>
  <c r="DE172" i="3"/>
  <c r="DE96" i="3"/>
  <c r="DE98" i="3" s="1"/>
  <c r="DF164" i="3"/>
  <c r="DG148" i="3"/>
  <c r="DG158" i="3" s="1"/>
  <c r="DH145" i="3"/>
  <c r="DH143" i="3"/>
  <c r="DH141" i="3"/>
  <c r="DI135" i="3" s="1"/>
  <c r="DQ123" i="3"/>
  <c r="DQ125" i="3" s="1"/>
  <c r="DP138" i="3"/>
  <c r="DP130" i="3"/>
  <c r="DE103" i="3" l="1"/>
  <c r="DE105" i="3" s="1"/>
  <c r="DE111" i="3" s="1"/>
  <c r="DE109" i="3" s="1"/>
  <c r="DF165" i="3"/>
  <c r="DF166" i="3" s="1"/>
  <c r="DG163" i="3"/>
  <c r="DG159" i="3"/>
  <c r="DH153" i="3" s="1"/>
  <c r="DH154" i="3" s="1"/>
  <c r="DG161" i="3"/>
  <c r="DH146" i="3"/>
  <c r="DH156" i="3"/>
  <c r="DI136" i="3"/>
  <c r="DI139" i="3" s="1"/>
  <c r="DQ129" i="3"/>
  <c r="DQ127" i="3"/>
  <c r="DQ126" i="3"/>
  <c r="DR122" i="3" s="1"/>
  <c r="DG164" i="3" l="1"/>
  <c r="DG165" i="3" s="1"/>
  <c r="DG166" i="3" s="1"/>
  <c r="DG169" i="3" s="1"/>
  <c r="DF169" i="3"/>
  <c r="DF171" i="3"/>
  <c r="DH157" i="3"/>
  <c r="DI140" i="3"/>
  <c r="DI141" i="3" s="1"/>
  <c r="DJ135" i="3" s="1"/>
  <c r="DH147" i="3"/>
  <c r="DR123" i="3"/>
  <c r="DQ138" i="3"/>
  <c r="DQ130" i="3"/>
  <c r="DF96" i="3" l="1"/>
  <c r="DF98" i="3" s="1"/>
  <c r="DF172" i="3"/>
  <c r="DG171" i="3"/>
  <c r="DH148" i="3"/>
  <c r="DH158" i="3" s="1"/>
  <c r="DJ136" i="3"/>
  <c r="DJ140" i="3" s="1"/>
  <c r="DI143" i="3"/>
  <c r="DI145" i="3"/>
  <c r="DR125" i="3"/>
  <c r="DR126" i="3" s="1"/>
  <c r="DS122" i="3" s="1"/>
  <c r="DF103" i="3" l="1"/>
  <c r="DF105" i="3" s="1"/>
  <c r="DF111" i="3" s="1"/>
  <c r="DF109" i="3" s="1"/>
  <c r="DG96" i="3"/>
  <c r="DG172" i="3"/>
  <c r="DH161" i="3"/>
  <c r="DH163" i="3"/>
  <c r="DH159" i="3"/>
  <c r="DI153" i="3" s="1"/>
  <c r="DI154" i="3" s="1"/>
  <c r="DJ139" i="3"/>
  <c r="DJ141" i="3" s="1"/>
  <c r="DK135" i="3" s="1"/>
  <c r="DJ143" i="3"/>
  <c r="DJ145" i="3"/>
  <c r="DI146" i="3"/>
  <c r="DI156" i="3"/>
  <c r="DS123" i="3"/>
  <c r="DS125" i="3" s="1"/>
  <c r="DR129" i="3"/>
  <c r="DR127" i="3"/>
  <c r="DG103" i="3" l="1"/>
  <c r="DG105" i="3" s="1"/>
  <c r="DH164" i="3"/>
  <c r="DG98" i="3"/>
  <c r="DI147" i="3"/>
  <c r="DI148" i="3" s="1"/>
  <c r="DI158" i="3" s="1"/>
  <c r="DI163" i="3" s="1"/>
  <c r="DI157" i="3"/>
  <c r="DJ156" i="3"/>
  <c r="DJ146" i="3"/>
  <c r="DK136" i="3"/>
  <c r="DK139" i="3" s="1"/>
  <c r="DS129" i="3"/>
  <c r="DS127" i="3"/>
  <c r="DS126" i="3"/>
  <c r="DT122" i="3" s="1"/>
  <c r="DR130" i="3"/>
  <c r="DR138" i="3"/>
  <c r="DG111" i="3" l="1"/>
  <c r="DG109" i="3" s="1"/>
  <c r="DK140" i="3"/>
  <c r="DK143" i="3" s="1"/>
  <c r="DH165" i="3"/>
  <c r="DH166" i="3" s="1"/>
  <c r="DJ147" i="3"/>
  <c r="DJ148" i="3" s="1"/>
  <c r="DI164" i="3"/>
  <c r="DI159" i="3"/>
  <c r="DJ153" i="3" s="1"/>
  <c r="DI161" i="3"/>
  <c r="DT123" i="3"/>
  <c r="DT125" i="3" s="1"/>
  <c r="DS138" i="3"/>
  <c r="DS130" i="3"/>
  <c r="DK141" i="3" l="1"/>
  <c r="DL135" i="3" s="1"/>
  <c r="DL136" i="3" s="1"/>
  <c r="DL140" i="3" s="1"/>
  <c r="DK145" i="3"/>
  <c r="DK146" i="3" s="1"/>
  <c r="DH169" i="3"/>
  <c r="DH171" i="3"/>
  <c r="DI165" i="3"/>
  <c r="DI166" i="3" s="1"/>
  <c r="DJ154" i="3"/>
  <c r="DJ157" i="3" s="1"/>
  <c r="DT127" i="3"/>
  <c r="DT129" i="3"/>
  <c r="DT126" i="3"/>
  <c r="DU122" i="3" s="1"/>
  <c r="DL139" i="3" l="1"/>
  <c r="DL141" i="3" s="1"/>
  <c r="DM135" i="3" s="1"/>
  <c r="DM136" i="3" s="1"/>
  <c r="DM140" i="3" s="1"/>
  <c r="DK156" i="3"/>
  <c r="DL143" i="3"/>
  <c r="DH172" i="3"/>
  <c r="DI171" i="3"/>
  <c r="DH96" i="3"/>
  <c r="DH98" i="3" s="1"/>
  <c r="DL145" i="3"/>
  <c r="DL146" i="3" s="1"/>
  <c r="DI169" i="3"/>
  <c r="DJ158" i="3"/>
  <c r="DJ161" i="3" s="1"/>
  <c r="DK147" i="3"/>
  <c r="DK148" i="3" s="1"/>
  <c r="DU123" i="3"/>
  <c r="DU125" i="3" s="1"/>
  <c r="DT130" i="3"/>
  <c r="DT138" i="3"/>
  <c r="DH103" i="3" l="1"/>
  <c r="DH105" i="3" s="1"/>
  <c r="DH111" i="3" s="1"/>
  <c r="DH109" i="3" s="1"/>
  <c r="DJ163" i="3"/>
  <c r="DJ164" i="3" s="1"/>
  <c r="DI172" i="3"/>
  <c r="DJ159" i="3"/>
  <c r="DK153" i="3" s="1"/>
  <c r="DK154" i="3" s="1"/>
  <c r="DK157" i="3" s="1"/>
  <c r="DL156" i="3"/>
  <c r="DI96" i="3"/>
  <c r="DI98" i="3" s="1"/>
  <c r="DM139" i="3"/>
  <c r="DM141" i="3" s="1"/>
  <c r="DN135" i="3" s="1"/>
  <c r="DL147" i="3"/>
  <c r="DL148" i="3" s="1"/>
  <c r="DM143" i="3"/>
  <c r="DM145" i="3"/>
  <c r="DU129" i="3"/>
  <c r="DU127" i="3"/>
  <c r="DU126" i="3"/>
  <c r="DV122" i="3" s="1"/>
  <c r="DI103" i="3" l="1"/>
  <c r="DI105" i="3" s="1"/>
  <c r="DI111" i="3" s="1"/>
  <c r="DI109" i="3" s="1"/>
  <c r="DJ165" i="3"/>
  <c r="DJ166" i="3" s="1"/>
  <c r="DJ171" i="3" s="1"/>
  <c r="DN136" i="3"/>
  <c r="DN140" i="3" s="1"/>
  <c r="DM146" i="3"/>
  <c r="DM156" i="3"/>
  <c r="DK158" i="3"/>
  <c r="DK159" i="3" s="1"/>
  <c r="DL153" i="3" s="1"/>
  <c r="DV123" i="3"/>
  <c r="DV125" i="3" s="1"/>
  <c r="DU138" i="3"/>
  <c r="DU130" i="3"/>
  <c r="DJ169" i="3" l="1"/>
  <c r="DJ172" i="3" s="1"/>
  <c r="DN139" i="3"/>
  <c r="DN141" i="3" s="1"/>
  <c r="DO135" i="3" s="1"/>
  <c r="DO136" i="3" s="1"/>
  <c r="DO139" i="3" s="1"/>
  <c r="DJ96" i="3"/>
  <c r="DL154" i="3"/>
  <c r="DL158" i="3" s="1"/>
  <c r="DM147" i="3"/>
  <c r="DM148" i="3" s="1"/>
  <c r="DN143" i="3"/>
  <c r="DN145" i="3"/>
  <c r="DK161" i="3"/>
  <c r="DK163" i="3"/>
  <c r="DV127" i="3"/>
  <c r="DV129" i="3"/>
  <c r="DV126" i="3"/>
  <c r="DW122" i="3" s="1"/>
  <c r="DJ103" i="3" l="1"/>
  <c r="DJ105" i="3" s="1"/>
  <c r="DL157" i="3"/>
  <c r="DL159" i="3" s="1"/>
  <c r="DM153" i="3" s="1"/>
  <c r="DM154" i="3" s="1"/>
  <c r="DM158" i="3" s="1"/>
  <c r="DJ98" i="3"/>
  <c r="DO140" i="3"/>
  <c r="DO145" i="3" s="1"/>
  <c r="DN146" i="3"/>
  <c r="DN156" i="3"/>
  <c r="DK164" i="3"/>
  <c r="DL163" i="3"/>
  <c r="DL161" i="3"/>
  <c r="DW123" i="3"/>
  <c r="DW125" i="3" s="1"/>
  <c r="DW126" i="3" s="1"/>
  <c r="DX122" i="3" s="1"/>
  <c r="DV130" i="3"/>
  <c r="DV138" i="3"/>
  <c r="DJ111" i="3" l="1"/>
  <c r="DJ109" i="3" s="1"/>
  <c r="DO141" i="3"/>
  <c r="DP135" i="3" s="1"/>
  <c r="DP136" i="3" s="1"/>
  <c r="DP139" i="3" s="1"/>
  <c r="DL164" i="3"/>
  <c r="DO143" i="3"/>
  <c r="DN147" i="3"/>
  <c r="DN148" i="3" s="1"/>
  <c r="DM157" i="3"/>
  <c r="DM159" i="3" s="1"/>
  <c r="DN153" i="3" s="1"/>
  <c r="DN154" i="3" s="1"/>
  <c r="DO156" i="3"/>
  <c r="DO146" i="3"/>
  <c r="DM163" i="3"/>
  <c r="DM161" i="3"/>
  <c r="DK165" i="3"/>
  <c r="DK166" i="3" s="1"/>
  <c r="DX123" i="3"/>
  <c r="DX125" i="3" s="1"/>
  <c r="DW127" i="3"/>
  <c r="DW129" i="3"/>
  <c r="DP140" i="3" l="1"/>
  <c r="DP143" i="3" s="1"/>
  <c r="DL165" i="3"/>
  <c r="DL166" i="3" s="1"/>
  <c r="DL169" i="3" s="1"/>
  <c r="DN158" i="3"/>
  <c r="DN163" i="3" s="1"/>
  <c r="DN157" i="3"/>
  <c r="DK169" i="3"/>
  <c r="DK171" i="3"/>
  <c r="DM164" i="3"/>
  <c r="DO147" i="3"/>
  <c r="DO148" i="3" s="1"/>
  <c r="DX127" i="3"/>
  <c r="DX129" i="3"/>
  <c r="DX126" i="3"/>
  <c r="DY122" i="3" s="1"/>
  <c r="DW130" i="3"/>
  <c r="DW138" i="3"/>
  <c r="DP141" i="3" l="1"/>
  <c r="DQ135" i="3" s="1"/>
  <c r="DQ136" i="3" s="1"/>
  <c r="DQ139" i="3" s="1"/>
  <c r="DP145" i="3"/>
  <c r="DP156" i="3" s="1"/>
  <c r="DL171" i="3"/>
  <c r="DL172" i="3" s="1"/>
  <c r="DN161" i="3"/>
  <c r="DN159" i="3"/>
  <c r="DO153" i="3" s="1"/>
  <c r="DO154" i="3" s="1"/>
  <c r="DL96" i="3"/>
  <c r="DK96" i="3"/>
  <c r="DM165" i="3"/>
  <c r="DM166" i="3" s="1"/>
  <c r="DM171" i="3" s="1"/>
  <c r="DN164" i="3"/>
  <c r="DK172" i="3"/>
  <c r="DY123" i="3"/>
  <c r="DY125" i="3" s="1"/>
  <c r="DX130" i="3"/>
  <c r="DX138" i="3"/>
  <c r="DP146" i="3" l="1"/>
  <c r="DP147" i="3" s="1"/>
  <c r="DP148" i="3" s="1"/>
  <c r="DO157" i="3"/>
  <c r="DO158" i="3"/>
  <c r="DO163" i="3" s="1"/>
  <c r="DM169" i="3"/>
  <c r="DM172" i="3" s="1"/>
  <c r="DK103" i="3"/>
  <c r="DK105" i="3" s="1"/>
  <c r="DL103" i="3"/>
  <c r="DL105" i="3" s="1"/>
  <c r="DQ140" i="3"/>
  <c r="DQ145" i="3" s="1"/>
  <c r="DN165" i="3"/>
  <c r="DN166" i="3" s="1"/>
  <c r="DN171" i="3" s="1"/>
  <c r="DL98" i="3"/>
  <c r="DK98" i="3"/>
  <c r="DM96" i="3"/>
  <c r="DY127" i="3"/>
  <c r="DY129" i="3"/>
  <c r="DY126" i="3"/>
  <c r="DZ122" i="3" s="1"/>
  <c r="DO159" i="3" l="1"/>
  <c r="DP153" i="3" s="1"/>
  <c r="DP154" i="3" s="1"/>
  <c r="DP158" i="3" s="1"/>
  <c r="DO161" i="3"/>
  <c r="DL111" i="3"/>
  <c r="DL109" i="3" s="1"/>
  <c r="DK111" i="3"/>
  <c r="DK109" i="3" s="1"/>
  <c r="DQ141" i="3"/>
  <c r="DR135" i="3" s="1"/>
  <c r="DR136" i="3" s="1"/>
  <c r="DR140" i="3" s="1"/>
  <c r="DR145" i="3" s="1"/>
  <c r="DM103" i="3"/>
  <c r="DM105" i="3" s="1"/>
  <c r="DN169" i="3"/>
  <c r="DN172" i="3" s="1"/>
  <c r="DQ143" i="3"/>
  <c r="DN96" i="3"/>
  <c r="DM98" i="3"/>
  <c r="DQ146" i="3"/>
  <c r="DQ156" i="3"/>
  <c r="DO164" i="3"/>
  <c r="DZ123" i="3"/>
  <c r="DZ125" i="3" s="1"/>
  <c r="DY130" i="3"/>
  <c r="DY138" i="3"/>
  <c r="DR139" i="3" l="1"/>
  <c r="DR141" i="3" s="1"/>
  <c r="DS135" i="3" s="1"/>
  <c r="DS136" i="3" s="1"/>
  <c r="DS139" i="3" s="1"/>
  <c r="DM111" i="3"/>
  <c r="DM109" i="3" s="1"/>
  <c r="DR143" i="3"/>
  <c r="DN103" i="3"/>
  <c r="DN105" i="3" s="1"/>
  <c r="DP157" i="3"/>
  <c r="DP159" i="3" s="1"/>
  <c r="DQ153" i="3" s="1"/>
  <c r="DN98" i="3"/>
  <c r="DO165" i="3"/>
  <c r="DO166" i="3" s="1"/>
  <c r="DO169" i="3" s="1"/>
  <c r="DP163" i="3"/>
  <c r="DP161" i="3"/>
  <c r="DQ147" i="3"/>
  <c r="DQ148" i="3" s="1"/>
  <c r="DR156" i="3"/>
  <c r="DR146" i="3"/>
  <c r="DZ127" i="3"/>
  <c r="DZ129" i="3"/>
  <c r="DZ126" i="3"/>
  <c r="EA122" i="3" s="1"/>
  <c r="DN111" i="3" l="1"/>
  <c r="DN109" i="3" s="1"/>
  <c r="DO171" i="3"/>
  <c r="DP164" i="3"/>
  <c r="DS140" i="3"/>
  <c r="DS143" i="3" s="1"/>
  <c r="DQ154" i="3"/>
  <c r="DQ157" i="3" s="1"/>
  <c r="DR147" i="3"/>
  <c r="DR148" i="3" s="1"/>
  <c r="EA123" i="3"/>
  <c r="EA125" i="3" s="1"/>
  <c r="DZ138" i="3"/>
  <c r="DZ130" i="3"/>
  <c r="DQ158" i="3" l="1"/>
  <c r="DQ163" i="3" s="1"/>
  <c r="DP165" i="3"/>
  <c r="DP166" i="3" s="1"/>
  <c r="DP169" i="3" s="1"/>
  <c r="DS141" i="3"/>
  <c r="DT135" i="3" s="1"/>
  <c r="DT136" i="3" s="1"/>
  <c r="DT139" i="3" s="1"/>
  <c r="DS145" i="3"/>
  <c r="DS156" i="3" s="1"/>
  <c r="DO96" i="3"/>
  <c r="DO172" i="3"/>
  <c r="EA129" i="3"/>
  <c r="EA127" i="3"/>
  <c r="EA126" i="3"/>
  <c r="EB122" i="3" s="1"/>
  <c r="DQ159" i="3" l="1"/>
  <c r="DR153" i="3" s="1"/>
  <c r="DR154" i="3" s="1"/>
  <c r="DR157" i="3" s="1"/>
  <c r="DP171" i="3"/>
  <c r="DP96" i="3" s="1"/>
  <c r="DQ161" i="3"/>
  <c r="DS146" i="3"/>
  <c r="DS147" i="3" s="1"/>
  <c r="DS148" i="3" s="1"/>
  <c r="DT140" i="3"/>
  <c r="DT143" i="3" s="1"/>
  <c r="DO103" i="3"/>
  <c r="DO105" i="3" s="1"/>
  <c r="DQ164" i="3"/>
  <c r="DO98" i="3"/>
  <c r="EB123" i="3"/>
  <c r="EB125" i="3" s="1"/>
  <c r="EA138" i="3"/>
  <c r="EA130" i="3"/>
  <c r="DP172" i="3" l="1"/>
  <c r="DT145" i="3"/>
  <c r="DT146" i="3" s="1"/>
  <c r="DT141" i="3"/>
  <c r="DU135" i="3" s="1"/>
  <c r="DU136" i="3" s="1"/>
  <c r="DU139" i="3" s="1"/>
  <c r="DO111" i="3"/>
  <c r="DO109" i="3" s="1"/>
  <c r="DP103" i="3"/>
  <c r="DP105" i="3" s="1"/>
  <c r="DR158" i="3"/>
  <c r="DR161" i="3" s="1"/>
  <c r="DP98" i="3"/>
  <c r="DQ165" i="3"/>
  <c r="DQ166" i="3" s="1"/>
  <c r="DQ169" i="3" s="1"/>
  <c r="EB127" i="3"/>
  <c r="EB129" i="3"/>
  <c r="EB126" i="3"/>
  <c r="EC122" i="3" s="1"/>
  <c r="DT156" i="3" l="1"/>
  <c r="DR159" i="3"/>
  <c r="DS153" i="3" s="1"/>
  <c r="DS154" i="3" s="1"/>
  <c r="DS157" i="3" s="1"/>
  <c r="DR163" i="3"/>
  <c r="DP111" i="3"/>
  <c r="DP109" i="3" s="1"/>
  <c r="DQ171" i="3"/>
  <c r="DQ172" i="3" s="1"/>
  <c r="DU140" i="3"/>
  <c r="DR164" i="3"/>
  <c r="DT147" i="3"/>
  <c r="DT148" i="3" s="1"/>
  <c r="EB138" i="3"/>
  <c r="EB130" i="3"/>
  <c r="EC123" i="3"/>
  <c r="EC125" i="3" s="1"/>
  <c r="DS158" i="3" l="1"/>
  <c r="DS161" i="3" s="1"/>
  <c r="DQ96" i="3"/>
  <c r="DR165" i="3"/>
  <c r="DR166" i="3" s="1"/>
  <c r="DU143" i="3"/>
  <c r="DU145" i="3"/>
  <c r="DU141" i="3"/>
  <c r="DV135" i="3" s="1"/>
  <c r="EC129" i="3"/>
  <c r="EC127" i="3"/>
  <c r="EC126" i="3"/>
  <c r="ED122" i="3" s="1"/>
  <c r="DS163" i="3" l="1"/>
  <c r="DS164" i="3" s="1"/>
  <c r="DS165" i="3" s="1"/>
  <c r="DS166" i="3" s="1"/>
  <c r="DS159" i="3"/>
  <c r="DT153" i="3" s="1"/>
  <c r="DT154" i="3" s="1"/>
  <c r="DT158" i="3" s="1"/>
  <c r="DQ103" i="3"/>
  <c r="DQ105" i="3" s="1"/>
  <c r="DQ98" i="3"/>
  <c r="DV136" i="3"/>
  <c r="DV140" i="3" s="1"/>
  <c r="DR171" i="3"/>
  <c r="DR169" i="3"/>
  <c r="DU156" i="3"/>
  <c r="DU146" i="3"/>
  <c r="ED123" i="3"/>
  <c r="ED125" i="3" s="1"/>
  <c r="EC130" i="3"/>
  <c r="EC138" i="3"/>
  <c r="DQ111" i="3" l="1"/>
  <c r="DQ109" i="3" s="1"/>
  <c r="DR96" i="3"/>
  <c r="DR98" i="3" s="1"/>
  <c r="DV143" i="3"/>
  <c r="DV145" i="3"/>
  <c r="DU147" i="3"/>
  <c r="DU148" i="3" s="1"/>
  <c r="DR172" i="3"/>
  <c r="DS169" i="3"/>
  <c r="DS171" i="3"/>
  <c r="DT157" i="3"/>
  <c r="DT159" i="3" s="1"/>
  <c r="DU153" i="3" s="1"/>
  <c r="DV139" i="3"/>
  <c r="DV141" i="3" s="1"/>
  <c r="DW135" i="3" s="1"/>
  <c r="DT163" i="3"/>
  <c r="DT161" i="3"/>
  <c r="ED127" i="3"/>
  <c r="ED129" i="3"/>
  <c r="ED126" i="3"/>
  <c r="EE122" i="3" s="1"/>
  <c r="DR103" i="3" l="1"/>
  <c r="DR105" i="3" s="1"/>
  <c r="DR111" i="3" s="1"/>
  <c r="DR109" i="3" s="1"/>
  <c r="DT164" i="3"/>
  <c r="DT165" i="3" s="1"/>
  <c r="DT166" i="3" s="1"/>
  <c r="DS96" i="3"/>
  <c r="DW136" i="3"/>
  <c r="DW139" i="3" s="1"/>
  <c r="DU154" i="3"/>
  <c r="DU158" i="3" s="1"/>
  <c r="DV146" i="3"/>
  <c r="DV156" i="3"/>
  <c r="DS172" i="3"/>
  <c r="ED138" i="3"/>
  <c r="ED130" i="3"/>
  <c r="EE123" i="3"/>
  <c r="EE125" i="3" s="1"/>
  <c r="DS103" i="3" l="1"/>
  <c r="DS105" i="3" s="1"/>
  <c r="DU157" i="3"/>
  <c r="DU159" i="3" s="1"/>
  <c r="DV153" i="3" s="1"/>
  <c r="DV154" i="3" s="1"/>
  <c r="DV157" i="3" s="1"/>
  <c r="DS98" i="3"/>
  <c r="DV147" i="3"/>
  <c r="DV148" i="3" s="1"/>
  <c r="DU163" i="3"/>
  <c r="DU161" i="3"/>
  <c r="DW140" i="3"/>
  <c r="DW141" i="3" s="1"/>
  <c r="DX135" i="3" s="1"/>
  <c r="DT171" i="3"/>
  <c r="DT169" i="3"/>
  <c r="EE129" i="3"/>
  <c r="EE127" i="3"/>
  <c r="EE126" i="3"/>
  <c r="EF122" i="3" s="1"/>
  <c r="DS111" i="3" l="1"/>
  <c r="DS109" i="3" s="1"/>
  <c r="DT96" i="3"/>
  <c r="DV158" i="3"/>
  <c r="DV163" i="3" s="1"/>
  <c r="DU164" i="3"/>
  <c r="DX136" i="3"/>
  <c r="DX139" i="3" s="1"/>
  <c r="DT172" i="3"/>
  <c r="DW145" i="3"/>
  <c r="DW143" i="3"/>
  <c r="EF123" i="3"/>
  <c r="EF125" i="3" s="1"/>
  <c r="EE138" i="3"/>
  <c r="EE130" i="3"/>
  <c r="DX140" i="3" l="1"/>
  <c r="DX143" i="3" s="1"/>
  <c r="DT103" i="3"/>
  <c r="DT105" i="3" s="1"/>
  <c r="DT98" i="3"/>
  <c r="DV161" i="3"/>
  <c r="DV159" i="3"/>
  <c r="DW153" i="3" s="1"/>
  <c r="DW154" i="3" s="1"/>
  <c r="DU165" i="3"/>
  <c r="DU166" i="3" s="1"/>
  <c r="DU169" i="3" s="1"/>
  <c r="DW146" i="3"/>
  <c r="DW156" i="3"/>
  <c r="DV164" i="3"/>
  <c r="EF127" i="3"/>
  <c r="EF129" i="3"/>
  <c r="EF126" i="3"/>
  <c r="EG122" i="3" s="1"/>
  <c r="DX145" i="3" l="1"/>
  <c r="DX156" i="3" s="1"/>
  <c r="DX141" i="3"/>
  <c r="DY135" i="3" s="1"/>
  <c r="DY136" i="3" s="1"/>
  <c r="DT111" i="3"/>
  <c r="DT109" i="3" s="1"/>
  <c r="DW157" i="3"/>
  <c r="DU171" i="3"/>
  <c r="DU172" i="3" s="1"/>
  <c r="DV165" i="3"/>
  <c r="DV166" i="3" s="1"/>
  <c r="DW147" i="3"/>
  <c r="EG123" i="3"/>
  <c r="EF138" i="3"/>
  <c r="EF130" i="3"/>
  <c r="DY140" i="3" l="1"/>
  <c r="DY143" i="3" s="1"/>
  <c r="DY139" i="3"/>
  <c r="DX146" i="3"/>
  <c r="DX147" i="3" s="1"/>
  <c r="DX148" i="3" s="1"/>
  <c r="DV169" i="3"/>
  <c r="DV171" i="3"/>
  <c r="DV96" i="3" s="1"/>
  <c r="DU96" i="3"/>
  <c r="DW148" i="3"/>
  <c r="DW158" i="3" s="1"/>
  <c r="EG125" i="3"/>
  <c r="DY141" i="3" l="1"/>
  <c r="DZ135" i="3" s="1"/>
  <c r="DZ136" i="3" s="1"/>
  <c r="DZ139" i="3" s="1"/>
  <c r="DY145" i="3"/>
  <c r="DY146" i="3" s="1"/>
  <c r="DV172" i="3"/>
  <c r="DU98" i="3"/>
  <c r="DU103" i="3"/>
  <c r="DU105" i="3" s="1"/>
  <c r="DV103" i="3"/>
  <c r="DV105" i="3" s="1"/>
  <c r="DY156" i="3"/>
  <c r="DV98" i="3"/>
  <c r="DW163" i="3"/>
  <c r="DW161" i="3"/>
  <c r="DW159" i="3"/>
  <c r="DX153" i="3" s="1"/>
  <c r="DX154" i="3" s="1"/>
  <c r="DX157" i="3" s="1"/>
  <c r="EG127" i="3"/>
  <c r="EG129" i="3"/>
  <c r="EG126" i="3"/>
  <c r="EH122" i="3" s="1"/>
  <c r="DZ140" i="3" l="1"/>
  <c r="DZ141" i="3" s="1"/>
  <c r="EA135" i="3" s="1"/>
  <c r="DY147" i="3"/>
  <c r="DY148" i="3" s="1"/>
  <c r="DV111" i="3"/>
  <c r="DV109" i="3" s="1"/>
  <c r="DU111" i="3"/>
  <c r="DU109" i="3" s="1"/>
  <c r="DW164" i="3"/>
  <c r="DW165" i="3" s="1"/>
  <c r="DW166" i="3" s="1"/>
  <c r="DX158" i="3"/>
  <c r="DX163" i="3" s="1"/>
  <c r="EH123" i="3"/>
  <c r="EH125" i="3" s="1"/>
  <c r="EG130" i="3"/>
  <c r="EG138" i="3"/>
  <c r="DZ145" i="3" l="1"/>
  <c r="DZ143" i="3"/>
  <c r="DX164" i="3"/>
  <c r="DX165" i="3" s="1"/>
  <c r="DX166" i="3" s="1"/>
  <c r="DX159" i="3"/>
  <c r="DY153" i="3" s="1"/>
  <c r="DY154" i="3" s="1"/>
  <c r="DY158" i="3" s="1"/>
  <c r="DZ156" i="3"/>
  <c r="DZ146" i="3"/>
  <c r="DX161" i="3"/>
  <c r="EA136" i="3"/>
  <c r="EA140" i="3" s="1"/>
  <c r="DW169" i="3"/>
  <c r="DW171" i="3"/>
  <c r="EH129" i="3"/>
  <c r="EH127" i="3"/>
  <c r="EH126" i="3"/>
  <c r="EI122" i="3" s="1"/>
  <c r="EA145" i="3" l="1"/>
  <c r="EA143" i="3"/>
  <c r="DW96" i="3"/>
  <c r="DZ147" i="3"/>
  <c r="DZ148" i="3" s="1"/>
  <c r="EA139" i="3"/>
  <c r="EA141" i="3" s="1"/>
  <c r="EB135" i="3" s="1"/>
  <c r="DY157" i="3"/>
  <c r="DY159" i="3" s="1"/>
  <c r="DZ153" i="3" s="1"/>
  <c r="DW172" i="3"/>
  <c r="DY163" i="3"/>
  <c r="DY161" i="3"/>
  <c r="DX171" i="3"/>
  <c r="DX169" i="3"/>
  <c r="EI123" i="3"/>
  <c r="EI125" i="3" s="1"/>
  <c r="EH130" i="3"/>
  <c r="EH138" i="3"/>
  <c r="DW103" i="3" l="1"/>
  <c r="DW105" i="3" s="1"/>
  <c r="EB136" i="3"/>
  <c r="EB139" i="3" s="1"/>
  <c r="DW98" i="3"/>
  <c r="EA156" i="3"/>
  <c r="EA146" i="3"/>
  <c r="DX96" i="3"/>
  <c r="DY164" i="3"/>
  <c r="DX172" i="3"/>
  <c r="DZ154" i="3"/>
  <c r="DZ157" i="3" s="1"/>
  <c r="EI127" i="3"/>
  <c r="F127" i="3" s="1"/>
  <c r="EI129" i="3"/>
  <c r="EI126" i="3"/>
  <c r="EB140" i="3" l="1"/>
  <c r="EB145" i="3" s="1"/>
  <c r="DW111" i="3"/>
  <c r="DW109" i="3" s="1"/>
  <c r="DX103" i="3"/>
  <c r="DX105" i="3" s="1"/>
  <c r="EA147" i="3"/>
  <c r="EA148" i="3" s="1"/>
  <c r="DX98" i="3"/>
  <c r="DY165" i="3"/>
  <c r="DY166" i="3" s="1"/>
  <c r="DY171" i="3" s="1"/>
  <c r="DZ158" i="3"/>
  <c r="DZ163" i="3" s="1"/>
  <c r="EI138" i="3"/>
  <c r="EI130" i="3"/>
  <c r="E129" i="3"/>
  <c r="EB143" i="3" l="1"/>
  <c r="EB141" i="3"/>
  <c r="EC135" i="3" s="1"/>
  <c r="EC136" i="3" s="1"/>
  <c r="EC140" i="3" s="1"/>
  <c r="DX111" i="3"/>
  <c r="DX109" i="3" s="1"/>
  <c r="DY96" i="3"/>
  <c r="DY98" i="3" s="1"/>
  <c r="EB146" i="3"/>
  <c r="EB147" i="3" s="1"/>
  <c r="EB148" i="3" s="1"/>
  <c r="EB156" i="3"/>
  <c r="DZ159" i="3"/>
  <c r="EA153" i="3" s="1"/>
  <c r="EA154" i="3" s="1"/>
  <c r="EA157" i="3" s="1"/>
  <c r="DY169" i="3"/>
  <c r="DZ161" i="3"/>
  <c r="DZ164" i="3"/>
  <c r="DY103" i="3" l="1"/>
  <c r="DY105" i="3" s="1"/>
  <c r="DY111" i="3" s="1"/>
  <c r="DY109" i="3" s="1"/>
  <c r="EC139" i="3"/>
  <c r="EC141" i="3" s="1"/>
  <c r="ED135" i="3" s="1"/>
  <c r="EC145" i="3"/>
  <c r="EC143" i="3"/>
  <c r="DZ165" i="3"/>
  <c r="DZ166" i="3" s="1"/>
  <c r="DY172" i="3"/>
  <c r="EA158" i="3"/>
  <c r="EA161" i="3" s="1"/>
  <c r="DZ171" i="3" l="1"/>
  <c r="DZ96" i="3" s="1"/>
  <c r="DZ169" i="3"/>
  <c r="EC156" i="3"/>
  <c r="EC146" i="3"/>
  <c r="EC147" i="3" s="1"/>
  <c r="EC148" i="3" s="1"/>
  <c r="ED136" i="3"/>
  <c r="ED139" i="3" s="1"/>
  <c r="EA159" i="3"/>
  <c r="EB153" i="3" s="1"/>
  <c r="EB154" i="3" s="1"/>
  <c r="EB157" i="3" s="1"/>
  <c r="EA163" i="3"/>
  <c r="DZ172" i="3" l="1"/>
  <c r="DZ103" i="3"/>
  <c r="DZ105" i="3" s="1"/>
  <c r="EA164" i="3"/>
  <c r="EA165" i="3" s="1"/>
  <c r="EA166" i="3" s="1"/>
  <c r="DZ98" i="3"/>
  <c r="ED140" i="3"/>
  <c r="EB158" i="3"/>
  <c r="EB159" i="3" s="1"/>
  <c r="EC153" i="3" s="1"/>
  <c r="DZ111" i="3" l="1"/>
  <c r="DZ109" i="3" s="1"/>
  <c r="ED141" i="3"/>
  <c r="EE135" i="3" s="1"/>
  <c r="ED145" i="3"/>
  <c r="ED143" i="3"/>
  <c r="EA171" i="3"/>
  <c r="EA169" i="3"/>
  <c r="EB163" i="3"/>
  <c r="EB161" i="3"/>
  <c r="EC154" i="3"/>
  <c r="EC157" i="3" s="1"/>
  <c r="EA96" i="3" l="1"/>
  <c r="ED146" i="3"/>
  <c r="ED147" i="3" s="1"/>
  <c r="ED148" i="3" s="1"/>
  <c r="ED156" i="3"/>
  <c r="EB164" i="3"/>
  <c r="EE136" i="3"/>
  <c r="EE139" i="3" s="1"/>
  <c r="EA172" i="3"/>
  <c r="EC158" i="3"/>
  <c r="EC159" i="3" s="1"/>
  <c r="ED153" i="3" s="1"/>
  <c r="EE140" i="3" l="1"/>
  <c r="EE141" i="3" s="1"/>
  <c r="EF135" i="3" s="1"/>
  <c r="EA103" i="3"/>
  <c r="EA105" i="3" s="1"/>
  <c r="EB165" i="3"/>
  <c r="EB166" i="3" s="1"/>
  <c r="EA98" i="3"/>
  <c r="EC161" i="3"/>
  <c r="EC163" i="3"/>
  <c r="ED154" i="3"/>
  <c r="ED158" i="3" s="1"/>
  <c r="EE143" i="3" l="1"/>
  <c r="EE145" i="3"/>
  <c r="EE156" i="3" s="1"/>
  <c r="EA111" i="3"/>
  <c r="EA109" i="3" s="1"/>
  <c r="EF136" i="3"/>
  <c r="EF140" i="3" s="1"/>
  <c r="EC164" i="3"/>
  <c r="EB169" i="3"/>
  <c r="EB171" i="3"/>
  <c r="ED163" i="3"/>
  <c r="ED161" i="3"/>
  <c r="ED157" i="3"/>
  <c r="ED159" i="3" s="1"/>
  <c r="EE153" i="3" s="1"/>
  <c r="EE146" i="3" l="1"/>
  <c r="EE147" i="3" s="1"/>
  <c r="EE148" i="3" s="1"/>
  <c r="EF139" i="3"/>
  <c r="EF141" i="3" s="1"/>
  <c r="EG135" i="3" s="1"/>
  <c r="EG136" i="3" s="1"/>
  <c r="EG140" i="3" s="1"/>
  <c r="EC165" i="3"/>
  <c r="EC166" i="3" s="1"/>
  <c r="EC169" i="3" s="1"/>
  <c r="EB96" i="3"/>
  <c r="EB98" i="3" s="1"/>
  <c r="ED164" i="3"/>
  <c r="EB172" i="3"/>
  <c r="EF143" i="3"/>
  <c r="EF145" i="3"/>
  <c r="EE154" i="3"/>
  <c r="EE158" i="3" l="1"/>
  <c r="EE161" i="3" s="1"/>
  <c r="ED165" i="3"/>
  <c r="ED166" i="3" s="1"/>
  <c r="ED169" i="3" s="1"/>
  <c r="EB103" i="3"/>
  <c r="EB105" i="3" s="1"/>
  <c r="EB111" i="3" s="1"/>
  <c r="EB109" i="3" s="1"/>
  <c r="EC171" i="3"/>
  <c r="EC172" i="3" s="1"/>
  <c r="EG143" i="3"/>
  <c r="EG145" i="3"/>
  <c r="EF156" i="3"/>
  <c r="EF146" i="3"/>
  <c r="EG139" i="3"/>
  <c r="EG141" i="3" s="1"/>
  <c r="EH135" i="3" s="1"/>
  <c r="EE157" i="3"/>
  <c r="EE163" i="3" l="1"/>
  <c r="EE164" i="3" s="1"/>
  <c r="EE159" i="3"/>
  <c r="EF153" i="3" s="1"/>
  <c r="EF154" i="3" s="1"/>
  <c r="EF157" i="3" s="1"/>
  <c r="ED171" i="3"/>
  <c r="ED172" i="3" s="1"/>
  <c r="EC96" i="3"/>
  <c r="EC98" i="3" s="1"/>
  <c r="EF147" i="3"/>
  <c r="EF148" i="3" s="1"/>
  <c r="EH136" i="3"/>
  <c r="EH139" i="3" s="1"/>
  <c r="EG156" i="3"/>
  <c r="EG146" i="3"/>
  <c r="EF158" i="3" l="1"/>
  <c r="EF163" i="3" s="1"/>
  <c r="EF164" i="3" s="1"/>
  <c r="ED96" i="3"/>
  <c r="ED98" i="3" s="1"/>
  <c r="EC103" i="3"/>
  <c r="EC105" i="3" s="1"/>
  <c r="EC111" i="3" s="1"/>
  <c r="EC109" i="3" s="1"/>
  <c r="EG147" i="3"/>
  <c r="EG148" i="3" s="1"/>
  <c r="EH140" i="3"/>
  <c r="EE165" i="3"/>
  <c r="EE166" i="3" s="1"/>
  <c r="EF159" i="3" l="1"/>
  <c r="EG153" i="3" s="1"/>
  <c r="EG154" i="3" s="1"/>
  <c r="EF161" i="3"/>
  <c r="ED103" i="3"/>
  <c r="ED105" i="3" s="1"/>
  <c r="ED111" i="3" s="1"/>
  <c r="ED109" i="3" s="1"/>
  <c r="EH143" i="3"/>
  <c r="EH145" i="3"/>
  <c r="EH141" i="3"/>
  <c r="EI135" i="3" s="1"/>
  <c r="EE169" i="3"/>
  <c r="EE171" i="3"/>
  <c r="EF165" i="3"/>
  <c r="EF166" i="3" s="1"/>
  <c r="EG157" i="3" l="1"/>
  <c r="EG158" i="3"/>
  <c r="EG161" i="3" s="1"/>
  <c r="EH146" i="3"/>
  <c r="EH147" i="3" s="1"/>
  <c r="EH148" i="3" s="1"/>
  <c r="EH156" i="3"/>
  <c r="EI136" i="3"/>
  <c r="EI139" i="3" s="1"/>
  <c r="EE96" i="3"/>
  <c r="EE98" i="3" s="1"/>
  <c r="EE172" i="3"/>
  <c r="EF169" i="3"/>
  <c r="EF171" i="3"/>
  <c r="EF96" i="3" s="1"/>
  <c r="EG163" i="3" l="1"/>
  <c r="EG164" i="3" s="1"/>
  <c r="EG165" i="3" s="1"/>
  <c r="EG166" i="3" s="1"/>
  <c r="EG169" i="3" s="1"/>
  <c r="EG159" i="3"/>
  <c r="EH153" i="3" s="1"/>
  <c r="EH154" i="3" s="1"/>
  <c r="EH157" i="3" s="1"/>
  <c r="EI140" i="3"/>
  <c r="EI145" i="3" s="1"/>
  <c r="EE103" i="3"/>
  <c r="EE105" i="3" s="1"/>
  <c r="EE111" i="3" s="1"/>
  <c r="EE109" i="3" s="1"/>
  <c r="EF103" i="3"/>
  <c r="EF98" i="3"/>
  <c r="EF172" i="3"/>
  <c r="EG171" i="3" l="1"/>
  <c r="EG96" i="3" s="1"/>
  <c r="EG98" i="3" s="1"/>
  <c r="EH158" i="3"/>
  <c r="EH163" i="3" s="1"/>
  <c r="EH164" i="3" s="1"/>
  <c r="EI143" i="3"/>
  <c r="E143" i="3" s="1"/>
  <c r="EI141" i="3"/>
  <c r="EI146" i="3"/>
  <c r="EI156" i="3"/>
  <c r="EF105" i="3"/>
  <c r="EF111" i="3" s="1"/>
  <c r="EF109" i="3" s="1"/>
  <c r="EG103" i="3" l="1"/>
  <c r="EG105" i="3" s="1"/>
  <c r="EG111" i="3" s="1"/>
  <c r="EG109" i="3" s="1"/>
  <c r="EG172" i="3"/>
  <c r="EH165" i="3"/>
  <c r="EH166" i="3" s="1"/>
  <c r="EH169" i="3" s="1"/>
  <c r="EH161" i="3"/>
  <c r="EH159" i="3"/>
  <c r="EI153" i="3" s="1"/>
  <c r="EI154" i="3" s="1"/>
  <c r="EI147" i="3"/>
  <c r="EI148" i="3" s="1"/>
  <c r="EI157" i="3" l="1"/>
  <c r="EI158" i="3"/>
  <c r="EI163" i="3" s="1"/>
  <c r="EI164" i="3" s="1"/>
  <c r="EI165" i="3" s="1"/>
  <c r="EI166" i="3" s="1"/>
  <c r="EH171" i="3"/>
  <c r="EH96" i="3" s="1"/>
  <c r="EH98" i="3" s="1"/>
  <c r="EH172" i="3" l="1"/>
  <c r="EI159" i="3"/>
  <c r="EI161" i="3"/>
  <c r="E161" i="3" s="1"/>
  <c r="EH103" i="3"/>
  <c r="EH105" i="3" s="1"/>
  <c r="EH111" i="3" s="1"/>
  <c r="EH109" i="3" s="1"/>
  <c r="EI171" i="3"/>
  <c r="EI169" i="3"/>
  <c r="EI172" i="3" l="1"/>
  <c r="EI96" i="3"/>
  <c r="EI103" i="3" s="1"/>
  <c r="E100" i="3" l="1"/>
  <c r="B96" i="3"/>
  <c r="EI98" i="3"/>
  <c r="E99" i="3" l="1"/>
  <c r="K23" i="32" s="1"/>
  <c r="EI105" i="3"/>
  <c r="EI111" i="3" s="1"/>
  <c r="EI109" i="3" s="1"/>
  <c r="E107" i="3"/>
  <c r="B103" i="3"/>
  <c r="E111" i="3" l="1"/>
  <c r="E109" i="3" s="1"/>
  <c r="E106" i="3"/>
  <c r="G19" i="32"/>
  <c r="H19" i="32"/>
  <c r="I19" i="32"/>
  <c r="J19" i="32"/>
  <c r="K19" i="32"/>
  <c r="E22" i="32"/>
  <c r="O3" i="1"/>
  <c r="F23" i="1" s="1"/>
  <c r="S2" i="9" l="1"/>
  <c r="S5" i="9"/>
  <c r="S3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Matthew Cianci</author>
  </authors>
  <commentList>
    <comment ref="C4" authorId="0" shapeId="0" xr:uid="{8AA0DF1D-35B5-46B8-A546-B3292B98DD68}">
      <text>
        <r>
          <rPr>
            <b/>
            <sz val="9"/>
            <color indexed="81"/>
            <rFont val="Tahoma"/>
            <family val="2"/>
          </rPr>
          <t>Matthew Cianci:</t>
        </r>
        <r>
          <rPr>
            <sz val="9"/>
            <color indexed="81"/>
            <rFont val="Tahoma"/>
            <family val="2"/>
          </rPr>
          <t xml:space="preserve">
https://re-nj.com/hackensack-apartment-buildings-sell-for-11-5-million-kislak-says/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Matthew Cianci</author>
  </authors>
  <commentList>
    <comment ref="E116" authorId="0" shapeId="0" xr:uid="{6E2551D0-67F0-4FA2-943E-AF6963D96F14}">
      <text>
        <r>
          <rPr>
            <b/>
            <sz val="9"/>
            <color indexed="81"/>
            <rFont val="Tahoma"/>
            <family val="2"/>
          </rPr>
          <t>Matthew Cianci:</t>
        </r>
        <r>
          <rPr>
            <sz val="9"/>
            <color indexed="81"/>
            <rFont val="Tahoma"/>
            <family val="2"/>
          </rPr>
          <t xml:space="preserve">
included in PM Fee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Matthew Cianci</author>
  </authors>
  <commentList>
    <comment ref="G25" authorId="0" shapeId="0" xr:uid="{4F2511DB-9A18-4EB4-8EFC-D859C3DC72ED}">
      <text>
        <r>
          <rPr>
            <b/>
            <sz val="9"/>
            <color indexed="81"/>
            <rFont val="Tahoma"/>
            <family val="2"/>
          </rPr>
          <t>Matthew Cianci:</t>
        </r>
        <r>
          <rPr>
            <sz val="9"/>
            <color indexed="81"/>
            <rFont val="Tahoma"/>
            <family val="2"/>
          </rPr>
          <t xml:space="preserve">
Nothing on property record</t>
        </r>
      </text>
    </comment>
    <comment ref="M149" authorId="0" shapeId="0" xr:uid="{3064F780-C957-4CA5-A643-7B1C1B3107E3}">
      <text>
        <r>
          <rPr>
            <b/>
            <sz val="9"/>
            <color indexed="81"/>
            <rFont val="Tahoma"/>
            <family val="2"/>
          </rPr>
          <t>Matthew Cianci:</t>
        </r>
        <r>
          <rPr>
            <sz val="9"/>
            <color indexed="81"/>
            <rFont val="Tahoma"/>
            <family val="2"/>
          </rPr>
          <t xml:space="preserve">
https://wipp.edmundsassoc.com/Wipp/?wippid=0223#taxPage3477</t>
        </r>
      </text>
    </comment>
    <comment ref="E178" authorId="0" shapeId="0" xr:uid="{74293F16-D85A-4054-AA90-F01273FD2A41}">
      <text>
        <r>
          <rPr>
            <b/>
            <sz val="9"/>
            <color indexed="81"/>
            <rFont val="Tahoma"/>
            <family val="2"/>
          </rPr>
          <t>Matthew Cianci:</t>
        </r>
        <r>
          <rPr>
            <sz val="9"/>
            <color indexed="81"/>
            <rFont val="Tahoma"/>
            <family val="2"/>
          </rPr>
          <t xml:space="preserve">
2.1% selling costs plus 1% Transfer tax</t>
        </r>
      </text>
    </comment>
    <comment ref="J178" authorId="0" shapeId="0" xr:uid="{1D918B3B-8D5B-41BA-85D9-22CB73BF4989}">
      <text>
        <r>
          <rPr>
            <b/>
            <sz val="9"/>
            <color indexed="81"/>
            <rFont val="Tahoma"/>
            <family val="2"/>
          </rPr>
          <t>Matthew Cianci:</t>
        </r>
        <r>
          <rPr>
            <sz val="9"/>
            <color indexed="81"/>
            <rFont val="Tahoma"/>
            <family val="2"/>
          </rPr>
          <t xml:space="preserve">
3% selling costs plus 1% Transfer tax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<sst xmlns="http://schemas.openxmlformats.org/spreadsheetml/2006/main" count="963" uniqueCount="464">
  <si>
    <t>Sources</t>
  </si>
  <si>
    <t>Total Sources</t>
  </si>
  <si>
    <t>Uses</t>
  </si>
  <si>
    <t>Total Uses</t>
  </si>
  <si>
    <t>Acquisition of Property</t>
  </si>
  <si>
    <t>Hard Costs</t>
  </si>
  <si>
    <t>Contingency</t>
  </si>
  <si>
    <t>Beg. Mo.</t>
  </si>
  <si>
    <t>End. Mo.</t>
  </si>
  <si>
    <t>Model Start</t>
  </si>
  <si>
    <t>Condo Sales</t>
  </si>
  <si>
    <t>Less: Selling Costs</t>
  </si>
  <si>
    <t>Condo Proceeds, net</t>
  </si>
  <si>
    <t>Retail Sale</t>
  </si>
  <si>
    <t>Retail Proceeds, net</t>
  </si>
  <si>
    <t>Multifamily Sale</t>
  </si>
  <si>
    <t>Multifamily Proceeds, net</t>
  </si>
  <si>
    <t>Multifamily NOI</t>
  </si>
  <si>
    <t>Retail Income</t>
  </si>
  <si>
    <t>Retail NOI</t>
  </si>
  <si>
    <t>Legal and Pre-Development Costs</t>
  </si>
  <si>
    <t>Closing Costs</t>
  </si>
  <si>
    <t>Total Legal and Pre-Development Costs</t>
  </si>
  <si>
    <t>Total Closing Costs</t>
  </si>
  <si>
    <t>Property Taxes</t>
  </si>
  <si>
    <t>Demo</t>
  </si>
  <si>
    <t>Buildable SF</t>
  </si>
  <si>
    <t>Total Project Costs</t>
  </si>
  <si>
    <t>Legal and Pre-Development</t>
  </si>
  <si>
    <t>Rate</t>
  </si>
  <si>
    <t>Closing on Property</t>
  </si>
  <si>
    <t>Total Unlevered Cash Flow</t>
  </si>
  <si>
    <t>Sponsor Equity</t>
  </si>
  <si>
    <t>LP Equity</t>
  </si>
  <si>
    <t>Ownership Splits</t>
  </si>
  <si>
    <t>Total Equity</t>
  </si>
  <si>
    <t>Beginning Balance</t>
  </si>
  <si>
    <t>Draw</t>
  </si>
  <si>
    <t>Paydown</t>
  </si>
  <si>
    <t>Ending Balance</t>
  </si>
  <si>
    <t>1-month Term SOFR</t>
  </si>
  <si>
    <t>Date</t>
  </si>
  <si>
    <t>For the latest rates, please visit:</t>
  </si>
  <si>
    <t>https://chathamdirect.com/rates</t>
  </si>
  <si>
    <t>1-Month SOFR</t>
  </si>
  <si>
    <t>Interest Due</t>
  </si>
  <si>
    <t>All-in Rate</t>
  </si>
  <si>
    <t>Permanent Loan</t>
  </si>
  <si>
    <t>Leasing Assumptions</t>
  </si>
  <si>
    <t>Months of Lease-Up</t>
  </si>
  <si>
    <t>Units</t>
  </si>
  <si>
    <t>Monthly Fee</t>
  </si>
  <si>
    <t>Monthly</t>
  </si>
  <si>
    <t>Annual</t>
  </si>
  <si>
    <t>Total Amenity Income</t>
  </si>
  <si>
    <t>Total Rental Income</t>
  </si>
  <si>
    <t>Initial Lease-up</t>
  </si>
  <si>
    <t>Free Month's Rent</t>
  </si>
  <si>
    <t>Broker Fee</t>
  </si>
  <si>
    <t>Assumed Lease Term</t>
  </si>
  <si>
    <t>Initial Lease-up Cost</t>
  </si>
  <si>
    <t>Bad Debt</t>
  </si>
  <si>
    <t>Vacancy</t>
  </si>
  <si>
    <t>Ongoing Lease-up</t>
  </si>
  <si>
    <t>Seasoning Period Post Stabilization</t>
  </si>
  <si>
    <t>Refinancing Month</t>
  </si>
  <si>
    <t>Max Loan as Lesser of…</t>
  </si>
  <si>
    <t>DSCR Min.</t>
  </si>
  <si>
    <t>Max Perm. Loan</t>
  </si>
  <si>
    <t>Rental Assumptions</t>
  </si>
  <si>
    <t>Rental Inflation</t>
  </si>
  <si>
    <t>Expense Inflation</t>
  </si>
  <si>
    <t>Amenity Inflation</t>
  </si>
  <si>
    <t>Beg. Units Leased</t>
  </si>
  <si>
    <t>New Units Leased</t>
  </si>
  <si>
    <t>End. Units Leased</t>
  </si>
  <si>
    <t>Units Leased per Month</t>
  </si>
  <si>
    <t>Timeline</t>
  </si>
  <si>
    <t>Amenity Income</t>
  </si>
  <si>
    <t>Rent Inflation Factor</t>
  </si>
  <si>
    <t>Amenity Inflation Factor</t>
  </si>
  <si>
    <t>Gross Potential Rent</t>
  </si>
  <si>
    <t>Effective Gross Income</t>
  </si>
  <si>
    <t>Ongoing Lease-up Cost</t>
  </si>
  <si>
    <t>Annual Turnover</t>
  </si>
  <si>
    <t>Operating Expenses</t>
  </si>
  <si>
    <t>Insurance</t>
  </si>
  <si>
    <t>CAM</t>
  </si>
  <si>
    <t>Property Management</t>
  </si>
  <si>
    <t>Reserves</t>
  </si>
  <si>
    <t>Repairs &amp; Maintenance</t>
  </si>
  <si>
    <t>Usage</t>
  </si>
  <si>
    <t>Utilization   x</t>
  </si>
  <si>
    <t>Units    =</t>
  </si>
  <si>
    <t>Net Rentable SF</t>
  </si>
  <si>
    <t>Efficiency</t>
  </si>
  <si>
    <t>Retail</t>
  </si>
  <si>
    <t>Total Operating Expenses</t>
  </si>
  <si>
    <t>CapEx</t>
  </si>
  <si>
    <t>Other Capital Expenditures</t>
  </si>
  <si>
    <t>Total CapEx</t>
  </si>
  <si>
    <t>Expenses Inflation Factor</t>
  </si>
  <si>
    <t>General Property Assumptions</t>
  </si>
  <si>
    <t>Origination</t>
  </si>
  <si>
    <t>Base Retail Income</t>
  </si>
  <si>
    <t>Suite</t>
  </si>
  <si>
    <t>Lease Start</t>
  </si>
  <si>
    <t>SF</t>
  </si>
  <si>
    <t>Tenant</t>
  </si>
  <si>
    <t>[Retail Tenant]</t>
  </si>
  <si>
    <t>Total Base Retail Income</t>
  </si>
  <si>
    <t>Rent Start</t>
  </si>
  <si>
    <t>Annual Bumps</t>
  </si>
  <si>
    <t>Rent / SF / Yr.</t>
  </si>
  <si>
    <t>Annual Rent (Yr. 1)</t>
  </si>
  <si>
    <t>Recovery Income</t>
  </si>
  <si>
    <t>Total Recovery Income</t>
  </si>
  <si>
    <t>Retail Operating Expenses</t>
  </si>
  <si>
    <t>Management Fee</t>
  </si>
  <si>
    <t>Total Retail Operating Expenses</t>
  </si>
  <si>
    <t>Per SF / Yr.</t>
  </si>
  <si>
    <t>Pro Rata Share</t>
  </si>
  <si>
    <t>Annual Recovery</t>
  </si>
  <si>
    <t>Rec. / SF / Yr.</t>
  </si>
  <si>
    <t>Less: Vacancy and Bad Debt</t>
  </si>
  <si>
    <t>Effective Gross Retail Income</t>
  </si>
  <si>
    <t>Tenant Improvements</t>
  </si>
  <si>
    <t>Origination Fee</t>
  </si>
  <si>
    <t>Max Loan Size</t>
  </si>
  <si>
    <t>Renewal Probability</t>
  </si>
  <si>
    <t>Retail Rent</t>
  </si>
  <si>
    <t>New Lease</t>
  </si>
  <si>
    <t>Renewal Lease</t>
  </si>
  <si>
    <t>TI's</t>
  </si>
  <si>
    <t>Leasing Commissions</t>
  </si>
  <si>
    <t>Lease Term</t>
  </si>
  <si>
    <t>Total Leasing Costs</t>
  </si>
  <si>
    <t>Annualized Leasing Costs</t>
  </si>
  <si>
    <t>Total Leasing Cost Reserves</t>
  </si>
  <si>
    <t>Statistic</t>
  </si>
  <si>
    <t>Factor</t>
  </si>
  <si>
    <t>Occ.</t>
  </si>
  <si>
    <t>Gross Potential Retail Income</t>
  </si>
  <si>
    <t>Recovery Start</t>
  </si>
  <si>
    <t>Less: CapEx</t>
  </si>
  <si>
    <t>Multifamily Cash Flow</t>
  </si>
  <si>
    <t>Total Multifamily CapEx</t>
  </si>
  <si>
    <t>Retail Leasing Cost Reserves</t>
  </si>
  <si>
    <t>Less: Leasing Cost Reserves</t>
  </si>
  <si>
    <t>Retail Cash Flow</t>
  </si>
  <si>
    <t>Total Retail Leasing Cost Reserves</t>
  </si>
  <si>
    <t>Capital Expenditures: Multifamily</t>
  </si>
  <si>
    <t>Capital Expenditures: Retail</t>
  </si>
  <si>
    <t>Equity In</t>
  </si>
  <si>
    <t>Profit</t>
  </si>
  <si>
    <t>Unlevered IRR</t>
  </si>
  <si>
    <t>Unlevered MOIC</t>
  </si>
  <si>
    <t>Acquisition Fee</t>
  </si>
  <si>
    <t>Appraisal</t>
  </si>
  <si>
    <t>Expense Growth</t>
  </si>
  <si>
    <t>SOFR Spread at Origination</t>
  </si>
  <si>
    <t>Fixed Interest Rate</t>
  </si>
  <si>
    <t>Total Property NOI</t>
  </si>
  <si>
    <t>Permanent Loan Issued?</t>
  </si>
  <si>
    <t>Origination Cost</t>
  </si>
  <si>
    <t>Legal Closing Costs</t>
  </si>
  <si>
    <t>Interest Expense</t>
  </si>
  <si>
    <t>Permanent Loan Interest Rate</t>
  </si>
  <si>
    <t>Exit Assumptions</t>
  </si>
  <si>
    <t>Multifamily</t>
  </si>
  <si>
    <t>Implied Asset Value</t>
  </si>
  <si>
    <t>Applied Exit Cap Rate</t>
  </si>
  <si>
    <t>Net Reversion Proceeds</t>
  </si>
  <si>
    <t>NTM NOI</t>
  </si>
  <si>
    <t>$ / Unit</t>
  </si>
  <si>
    <t>$ / SF</t>
  </si>
  <si>
    <t>Total Levered Project Cash Flows</t>
  </si>
  <si>
    <t>Levered IRR</t>
  </si>
  <si>
    <t>Levered MOIC</t>
  </si>
  <si>
    <t>$</t>
  </si>
  <si>
    <t>%</t>
  </si>
  <si>
    <t>Acquisition Price</t>
  </si>
  <si>
    <t>Waterfall</t>
  </si>
  <si>
    <t>LP</t>
  </si>
  <si>
    <t>GP</t>
  </si>
  <si>
    <t>Allocation</t>
  </si>
  <si>
    <t>Preferred</t>
  </si>
  <si>
    <t>Hurdle 1</t>
  </si>
  <si>
    <t>Hurdle 2</t>
  </si>
  <si>
    <t>Hurdle 3</t>
  </si>
  <si>
    <t>Hurdle</t>
  </si>
  <si>
    <t>x</t>
  </si>
  <si>
    <t>Distributions</t>
  </si>
  <si>
    <t>Contributions</t>
  </si>
  <si>
    <t>Net Cash Flows</t>
  </si>
  <si>
    <t>IRR</t>
  </si>
  <si>
    <t>Equity Multiple</t>
  </si>
  <si>
    <t>LP Preferred</t>
  </si>
  <si>
    <t>Preferred Accrual</t>
  </si>
  <si>
    <t>LP Equity Draw</t>
  </si>
  <si>
    <t>Preferred Paydown</t>
  </si>
  <si>
    <t>Preferred Ending Balance</t>
  </si>
  <si>
    <t>Preferred IRR Check</t>
  </si>
  <si>
    <t>Total Paid on Preferred Units</t>
  </si>
  <si>
    <t>Cash Flow Remaining</t>
  </si>
  <si>
    <t>Promote 1 Distribution to GP</t>
  </si>
  <si>
    <t>Beginning Balance LP</t>
  </si>
  <si>
    <t>Required Return</t>
  </si>
  <si>
    <t>Prior Distributions</t>
  </si>
  <si>
    <t>Ending Balance After Promote</t>
  </si>
  <si>
    <t>LP Distributions</t>
  </si>
  <si>
    <t>GP Distributions</t>
  </si>
  <si>
    <t>Total Hurdle 1 Distributions</t>
  </si>
  <si>
    <t>Total Hurdle 2 Distributions</t>
  </si>
  <si>
    <t>Promote Distrbiutions to GP</t>
  </si>
  <si>
    <t>Total Distributions</t>
  </si>
  <si>
    <t>Check</t>
  </si>
  <si>
    <t>Net Project CF</t>
  </si>
  <si>
    <t>Net Partnership CF</t>
  </si>
  <si>
    <t>Equity Draws</t>
  </si>
  <si>
    <t>Cumulative Equity Drawn</t>
  </si>
  <si>
    <t>LP Net Returns</t>
  </si>
  <si>
    <t>GP Net Returns</t>
  </si>
  <si>
    <t>AUM Fee to GP</t>
  </si>
  <si>
    <t>Effective Gross Income - MF</t>
  </si>
  <si>
    <t>Effective Gross Income - Retail</t>
  </si>
  <si>
    <t>Total Effective Gross Income</t>
  </si>
  <si>
    <t>Required DSCR Minimum</t>
  </si>
  <si>
    <t>Max Loan Size Based on DSCR</t>
  </si>
  <si>
    <t>Max Loan Size Based on LTC</t>
  </si>
  <si>
    <t>Interest Reserve</t>
  </si>
  <si>
    <t>Total Property NTM NOI</t>
  </si>
  <si>
    <t>Title Insurance</t>
  </si>
  <si>
    <t>Total Hard Costs</t>
  </si>
  <si>
    <t>Inspection</t>
  </si>
  <si>
    <t>Mansion Tax</t>
  </si>
  <si>
    <t>Transfer Fees</t>
  </si>
  <si>
    <t>Loan Processing Fees</t>
  </si>
  <si>
    <t>Filing and Recording Fees</t>
  </si>
  <si>
    <t>Escrow / Prepaid: Insurance</t>
  </si>
  <si>
    <t>Escrow / Prepaid: Property Taxes</t>
  </si>
  <si>
    <t>Business Formation, Partnership Legal</t>
  </si>
  <si>
    <t>Fees, Permits</t>
  </si>
  <si>
    <t>Pest Control</t>
  </si>
  <si>
    <t>LTC on Property</t>
  </si>
  <si>
    <t>LTC on Hard Costs</t>
  </si>
  <si>
    <t>Acquisition Financing</t>
  </si>
  <si>
    <t>PF Rent</t>
  </si>
  <si>
    <t>Current Rent</t>
  </si>
  <si>
    <t>Sq. Ft.</t>
  </si>
  <si>
    <t>Market Rent Assumptions</t>
  </si>
  <si>
    <t>Water / Sewer</t>
  </si>
  <si>
    <t>Period</t>
  </si>
  <si>
    <t>Vacated</t>
  </si>
  <si>
    <t>Units Vacated</t>
  </si>
  <si>
    <t>Start</t>
  </si>
  <si>
    <t>Rehab Time</t>
  </si>
  <si>
    <t>Lease-up Time</t>
  </si>
  <si>
    <t>In-Place Rental Income</t>
  </si>
  <si>
    <t>Current Rent / Unit</t>
  </si>
  <si>
    <t>Pro Forma Rent / Unit</t>
  </si>
  <si>
    <t>Step-Up in Rent</t>
  </si>
  <si>
    <t>Pro Forma Rental Income</t>
  </si>
  <si>
    <t>Accounting / Legal</t>
  </si>
  <si>
    <t>Less: Income Offset</t>
  </si>
  <si>
    <t>Perm Loan Draw</t>
  </si>
  <si>
    <t>Financable Costs</t>
  </si>
  <si>
    <t>Remaining Costs</t>
  </si>
  <si>
    <t>Interest Expense, net</t>
  </si>
  <si>
    <t>Costs to Equity, Before Interest</t>
  </si>
  <si>
    <t>Cash Flow Before Perm Loan Interest</t>
  </si>
  <si>
    <t>Cash Reserve: Debt Service</t>
  </si>
  <si>
    <t>Cash Reserve: Mechanicals</t>
  </si>
  <si>
    <t>Cash Reserve: Roof</t>
  </si>
  <si>
    <t>Storage</t>
  </si>
  <si>
    <t>Debt Yield Min.</t>
  </si>
  <si>
    <t>LTV Max</t>
  </si>
  <si>
    <t>Principal Paydown</t>
  </si>
  <si>
    <t>Amortization</t>
  </si>
  <si>
    <t>Loan Constant</t>
  </si>
  <si>
    <t>Month</t>
  </si>
  <si>
    <t>Beg. Bal.</t>
  </si>
  <si>
    <t>Principal</t>
  </si>
  <si>
    <t>Interest</t>
  </si>
  <si>
    <t>End. Bal.</t>
  </si>
  <si>
    <t>Loan Draws</t>
  </si>
  <si>
    <t>Offer</t>
  </si>
  <si>
    <t>Terms</t>
  </si>
  <si>
    <t>Price</t>
  </si>
  <si>
    <t>Loan Factor</t>
  </si>
  <si>
    <t>Perm Loan Proceeds net of fees</t>
  </si>
  <si>
    <t>Vacate 1=Yes</t>
  </si>
  <si>
    <t>Plus: DSCR Loan Interest Expense</t>
  </si>
  <si>
    <t>Cash Available for DSCR Loan Paydown</t>
  </si>
  <si>
    <t>Stabilized Yield on Cost</t>
  </si>
  <si>
    <t>Trash</t>
  </si>
  <si>
    <t>Parking</t>
  </si>
  <si>
    <t>Year 1 NOI</t>
  </si>
  <si>
    <t>Seller's NOI</t>
  </si>
  <si>
    <t>Change in NOI</t>
  </si>
  <si>
    <t>Yes</t>
  </si>
  <si>
    <t>Exit Cap Rate on Multifamily</t>
  </si>
  <si>
    <t>Cash-on-Cash</t>
  </si>
  <si>
    <t>Landscaping / Snow Removal</t>
  </si>
  <si>
    <t>Re-Stabilization Occurs</t>
  </si>
  <si>
    <t>Turnover Costs</t>
  </si>
  <si>
    <t>Broker's PF Rent Roll</t>
  </si>
  <si>
    <t>Underwriting PF Rent Roll</t>
  </si>
  <si>
    <t>Change in Rent Roll</t>
  </si>
  <si>
    <t>Stabilized NOI</t>
  </si>
  <si>
    <t>Leasing Cost Reserves</t>
  </si>
  <si>
    <t>Financing Fees: Acquisition Loan</t>
  </si>
  <si>
    <t>Proceeds from Cashout</t>
  </si>
  <si>
    <t>Layout</t>
  </si>
  <si>
    <t>Studio</t>
  </si>
  <si>
    <t>Commercial Tenant</t>
  </si>
  <si>
    <t>Unit Rehabs</t>
  </si>
  <si>
    <t>Avg. Current</t>
  </si>
  <si>
    <t>Avg. PF</t>
  </si>
  <si>
    <t>Heat (Gas)</t>
  </si>
  <si>
    <t>Common Area Electric</t>
  </si>
  <si>
    <t>Going-in Cash-on-Cash</t>
  </si>
  <si>
    <t>Going-in Cap</t>
  </si>
  <si>
    <t>Ask</t>
  </si>
  <si>
    <t>Cost Segregation Study</t>
  </si>
  <si>
    <t>Re-leased Cash-on-Cash</t>
  </si>
  <si>
    <t>Laundry</t>
  </si>
  <si>
    <t>Cash Reserve: Cash for Keys</t>
  </si>
  <si>
    <t>Diligence Questions</t>
  </si>
  <si>
    <t>Notes</t>
  </si>
  <si>
    <t>Offer 1</t>
  </si>
  <si>
    <t>Total Reserves</t>
  </si>
  <si>
    <t>Annual PF Rent</t>
  </si>
  <si>
    <t>Net Operating Income, After Reserves</t>
  </si>
  <si>
    <t>Average</t>
  </si>
  <si>
    <t>Unlevered ROI</t>
  </si>
  <si>
    <t>Environmental Testing (Tank Sweep)</t>
  </si>
  <si>
    <t>Purchcase Price</t>
  </si>
  <si>
    <t>Acquisition Loan</t>
  </si>
  <si>
    <t>Underwriting Assumptions</t>
  </si>
  <si>
    <t>Current Rent Roll</t>
  </si>
  <si>
    <t>Less: Vacancy, Turnover, Bad Debt</t>
  </si>
  <si>
    <t>5% Vacancy + 20% Turnover</t>
  </si>
  <si>
    <t>Estimate</t>
  </si>
  <si>
    <t>Operating Expense Margin</t>
  </si>
  <si>
    <t>Net Operating Income</t>
  </si>
  <si>
    <t>Net Operating Income Summary</t>
  </si>
  <si>
    <t>Yield on Cost</t>
  </si>
  <si>
    <t>Total Property NOI, net of reserves</t>
  </si>
  <si>
    <t>Rental Income</t>
  </si>
  <si>
    <t>Net Cash Flow to Partnerships</t>
  </si>
  <si>
    <t>CASH FLOW</t>
  </si>
  <si>
    <t>Closing</t>
  </si>
  <si>
    <t>Acquisition Loan Draw</t>
  </si>
  <si>
    <t>Acqusition Loan Debt Service</t>
  </si>
  <si>
    <t>Acqusition Loan Paydown</t>
  </si>
  <si>
    <t>Refi Loan Draw</t>
  </si>
  <si>
    <t>Refi Loan Debt Service</t>
  </si>
  <si>
    <t>Refi Loan Paydown</t>
  </si>
  <si>
    <t>Exit Proceeds</t>
  </si>
  <si>
    <t>Levered Cash Flow</t>
  </si>
  <si>
    <t>Total Equity Invested</t>
  </si>
  <si>
    <t>Unlevered Returns</t>
  </si>
  <si>
    <t>Totel Equity Returned</t>
  </si>
  <si>
    <t>Levered Gross Returns</t>
  </si>
  <si>
    <t>Gross Profit</t>
  </si>
  <si>
    <t>Levered Net Returns</t>
  </si>
  <si>
    <t>Exit Cap Rate</t>
  </si>
  <si>
    <t>Implied Valuation</t>
  </si>
  <si>
    <t>Gross Returns</t>
  </si>
  <si>
    <t>Rent</t>
  </si>
  <si>
    <t>Loss-to-Lease</t>
  </si>
  <si>
    <t>on Ask Price</t>
  </si>
  <si>
    <t># Units</t>
  </si>
  <si>
    <t>Residential Unit Mix</t>
  </si>
  <si>
    <t>ANNUAL INCOME</t>
  </si>
  <si>
    <t>PER UNIT</t>
  </si>
  <si>
    <t>TOTAL</t>
  </si>
  <si>
    <t>Unit Type</t>
  </si>
  <si>
    <t xml:space="preserve">Avg Current Rent </t>
  </si>
  <si>
    <t xml:space="preserve">Market Rent </t>
  </si>
  <si>
    <t>Market Residential Rent</t>
  </si>
  <si>
    <t>1BR</t>
  </si>
  <si>
    <t>Loss to lease</t>
  </si>
  <si>
    <t>2BR</t>
  </si>
  <si>
    <t>Annual Rental Income</t>
  </si>
  <si>
    <t>3BR</t>
  </si>
  <si>
    <t>Less Vacancy</t>
  </si>
  <si>
    <t>Effective Rental Income</t>
  </si>
  <si>
    <t>Total</t>
  </si>
  <si>
    <t>Laundry Income</t>
  </si>
  <si>
    <t>Gross Operating Income</t>
  </si>
  <si>
    <t>ANNUAL EXPENSES</t>
  </si>
  <si>
    <t>Real Estate Taxes</t>
  </si>
  <si>
    <t>Income</t>
  </si>
  <si>
    <t>Market Rent</t>
  </si>
  <si>
    <t>See rent roll</t>
  </si>
  <si>
    <t>3% Estimate</t>
  </si>
  <si>
    <t>Electric</t>
  </si>
  <si>
    <t>Expenses</t>
  </si>
  <si>
    <t xml:space="preserve">Repairs &amp; Maintenance </t>
  </si>
  <si>
    <t>Actual; County Records</t>
  </si>
  <si>
    <t>Per unit estimate</t>
  </si>
  <si>
    <t>Total Expenses</t>
  </si>
  <si>
    <t>Plus Loss to Lease</t>
  </si>
  <si>
    <t>Market Net Operating Income</t>
  </si>
  <si>
    <t>Estimated at 3% of ERI</t>
  </si>
  <si>
    <t>Unit</t>
  </si>
  <si>
    <t>Totals:</t>
  </si>
  <si>
    <t>Plus: Hard Cost Advance</t>
  </si>
  <si>
    <t>Borrower's Legal for Financing</t>
  </si>
  <si>
    <t>Lender's Legal for Financing</t>
  </si>
  <si>
    <t>Current $ / SF</t>
  </si>
  <si>
    <t>PF $ / SF</t>
  </si>
  <si>
    <t>PF $ Rent</t>
  </si>
  <si>
    <t>What are Super's responsibilities?</t>
  </si>
  <si>
    <t>How many units have been renovated since acquiring?</t>
  </si>
  <si>
    <t>Broker</t>
  </si>
  <si>
    <t>Elevator Contract</t>
  </si>
  <si>
    <t>PCG PM Fee</t>
  </si>
  <si>
    <t>Dumpsters and Permits</t>
  </si>
  <si>
    <t>Structural Repair</t>
  </si>
  <si>
    <t>Mechancial Replacements</t>
  </si>
  <si>
    <t>Exterior Façade</t>
  </si>
  <si>
    <t>Entrance Repair</t>
  </si>
  <si>
    <t>Common Area Refresh</t>
  </si>
  <si>
    <t>What is the age of the mechanicals?</t>
  </si>
  <si>
    <t>What is approx. age of the roof?</t>
  </si>
  <si>
    <t>Please share rent comps.</t>
  </si>
  <si>
    <t>Security, Internet</t>
  </si>
  <si>
    <t>Bridge Loan</t>
  </si>
  <si>
    <t>Bridge Loan Interest Rate</t>
  </si>
  <si>
    <t>Draws</t>
  </si>
  <si>
    <t>Loan Size at Closing</t>
  </si>
  <si>
    <t>Pro Forma Rent Roll</t>
  </si>
  <si>
    <t>Laundry Currently</t>
  </si>
  <si>
    <t>Estimate (NEW)</t>
  </si>
  <si>
    <t>Broker-Dealer Fee</t>
  </si>
  <si>
    <t>Cleaning</t>
  </si>
  <si>
    <t>265-275 Beech St, Hackensack, NJ</t>
  </si>
  <si>
    <t>$1,219-$1,881</t>
  </si>
  <si>
    <t>$1,391-$2,500</t>
  </si>
  <si>
    <t>Parking Income</t>
  </si>
  <si>
    <t>Payroll</t>
  </si>
  <si>
    <t>Heat</t>
  </si>
  <si>
    <t>Water &amp; Sewer</t>
  </si>
  <si>
    <t>All other expenses</t>
  </si>
  <si>
    <t>Actuals / Owner's figures</t>
  </si>
  <si>
    <t>Rent Roll: 265-275 Beech St, Hackensack, NJ</t>
  </si>
  <si>
    <t>B</t>
  </si>
  <si>
    <t>20 - VACANT</t>
  </si>
  <si>
    <t>24 spots x $75 (tandem)</t>
  </si>
  <si>
    <t>Remaining is $100 (regular)</t>
  </si>
  <si>
    <t>start this month 12-18</t>
  </si>
  <si>
    <t>39 - VACANT</t>
  </si>
  <si>
    <t>3BR / 2BA</t>
  </si>
  <si>
    <t>4BR</t>
  </si>
  <si>
    <t>Super (Payroll)</t>
  </si>
  <si>
    <t>265-275 Beech St. Hackensack, NJ</t>
  </si>
  <si>
    <t>Please confirm there are no elevators.</t>
  </si>
  <si>
    <t>Please share gross Sq Ft of property and approx Sq Ft of the units.</t>
  </si>
  <si>
    <t>Sold for $11.5mm in 2018.</t>
  </si>
  <si>
    <t>Storage Buildout</t>
  </si>
  <si>
    <t>Amenity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</si>
</sst>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Month&quot;\ 0"/>
    <numFmt numFmtId="165" formatCode="0.0%"/>
    <numFmt numFmtId="166" formatCode="&quot;Year&quot;\ 0"/>
    <numFmt numFmtId="167" formatCode="m/d/yy;@"/>
    <numFmt numFmtId="168" formatCode="#,##0;\(#,##0\);&quot;-&quot;_)"/>
    <numFmt numFmtId="169" formatCode="&quot;$&quot;#,##0\ &quot;/ sf&quot;"/>
    <numFmt numFmtId="170" formatCode="#,##0\ &quot;sf&quot;"/>
    <numFmt numFmtId="171" formatCode="0\ &quot;Months&quot;"/>
    <numFmt numFmtId="172" formatCode="0.00\x"/>
    <numFmt numFmtId="173" formatCode="0\ &quot;Units&quot;"/>
    <numFmt numFmtId="174" formatCode="0.000"/>
    <numFmt numFmtId="175" formatCode="0.0%\ &quot;of EGI&quot;"/>
    <numFmt numFmtId="176" formatCode="&quot;$&quot;#,##0.00\ &quot;/ SF&quot;"/>
    <numFmt numFmtId="177" formatCode="&quot;$&quot;#,##0\ &quot;per&quot;"/>
    <numFmt numFmtId="178" formatCode="0.000%"/>
    <numFmt numFmtId="179" formatCode="0\ &quot;Years&quot;"/>
    <numFmt numFmtId="180" formatCode="&quot;S+&quot;\ #,##0&quot;bps&quot;"/>
    <numFmt numFmtId="181" formatCode="0.0\ &quot;Months&quot;"/>
    <numFmt numFmtId="182" formatCode="#,##0\ &quot;/ unit&quot;"/>
    <numFmt numFmtId="183" formatCode="&quot;Unit&quot;\ 0"/>
    <numFmt numFmtId="184" formatCode="0\ &quot;bed&quot;"/>
    <numFmt numFmtId="185" formatCode="0\ &quot;years&quot;"/>
    <numFmt numFmtId="186" formatCode="0.0%;\(0.0%\)"/>
    <numFmt numFmtId="187" formatCode="&quot;&quot;"/>
    <numFmt numFmtId="188" formatCode="0.0\ &quot;bed&quot;"/>
    <numFmt numFmtId="189" formatCode="0.00%\ &quot;of EGI&quot;"/>
    <numFmt numFmtId="190" formatCode="#,##0.00;\(#,##0.00\);&quot;-&quot;_)"/>
    <numFmt numFmtId="191" formatCode="\+#,##0;\(#,##0\);&quot;-&quot;_)"/>
    <numFmt numFmtId="192" formatCode="_(* #,##0_);_(* \(#,##0\);_(* &quot;-&quot;??_);_(@_)"/>
    <numFmt numFmtId="193" formatCode="&quot;$&quot;#,##0"/>
    <numFmt numFmtId="194" formatCode="&quot;$&quot;#,##0.00"/>
    <numFmt numFmtId="195" formatCode="&quot;$&quot;#,##0.00_);\(&quot;$&quot;#,##0.00\);&quot;-&quot;_)"/>
  </numFmts>
  <fonts count="62" x14ac:knownFonts="1">
    <font>
      <sz val="11"/>
      <color theme="1"/>
      <name val="Aptos Narrow"/>
      <family val="2"/>
      <scheme val="minor"/>
    </font>
    <font>
      <sz val="10"/>
      <color theme="1"/>
      <name val="Arial Nova Cond"/>
      <family val="2"/>
    </font>
    <font>
      <b/>
      <sz val="10"/>
      <color theme="1"/>
      <name val="Arial Nova Cond"/>
      <family val="2"/>
    </font>
    <font>
      <sz val="10"/>
      <color rgb="FF0000FF"/>
      <name val="Arial Nova Cond"/>
      <family val="2"/>
    </font>
    <font>
      <sz val="11"/>
      <color theme="1"/>
      <name val="Aptos Narrow"/>
      <family val="2"/>
      <scheme val="minor"/>
    </font>
    <font>
      <sz val="10"/>
      <name val="Arial Nova Cond"/>
      <family val="2"/>
    </font>
    <font>
      <b/>
      <sz val="10"/>
      <name val="Arial Nova Cond"/>
      <family val="2"/>
    </font>
    <font>
      <sz val="10"/>
      <color theme="1"/>
      <name val="Arial"/>
      <family val="2"/>
    </font>
    <font>
      <sz val="20"/>
      <color rgb="FF003C78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u/>
      <sz val="11"/>
      <color rgb="FF007CBA"/>
      <name val="Calibri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  <font>
      <i/>
      <sz val="10"/>
      <color theme="1"/>
      <name val="Arial Nova Cond"/>
      <family val="2"/>
    </font>
    <font>
      <sz val="10"/>
      <color rgb="FF0000FF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0000FF"/>
      <name val="Arial Nova Cond"/>
      <family val="2"/>
    </font>
    <font>
      <b/>
      <sz val="11"/>
      <color theme="1"/>
      <name val="Aptos Narrow"/>
      <family val="2"/>
      <scheme val="minor"/>
    </font>
    <font>
      <b/>
      <sz val="10"/>
      <color theme="4"/>
      <name val="Arial Nova Cond"/>
      <family val="2"/>
    </font>
    <font>
      <b/>
      <sz val="8"/>
      <color theme="1"/>
      <name val="Aptos Narrow"/>
      <family val="2"/>
      <scheme val="minor"/>
    </font>
    <font>
      <sz val="10"/>
      <color rgb="FF00B050"/>
      <name val="Arial Nova Cond"/>
      <family val="2"/>
    </font>
    <font>
      <b/>
      <i/>
      <sz val="10"/>
      <color theme="1"/>
      <name val="Arial Nova Cond"/>
      <family val="2"/>
    </font>
    <font>
      <sz val="8"/>
      <name val="Aptos Narrow"/>
      <family val="2"/>
      <scheme val="minor"/>
    </font>
    <font>
      <sz val="11"/>
      <color rgb="FF0000FF"/>
      <name val="Arial Nova Cond"/>
      <family val="2"/>
    </font>
    <font>
      <sz val="11"/>
      <color theme="1"/>
      <name val="Arial Nova Cond"/>
      <family val="2"/>
    </font>
    <font>
      <sz val="8"/>
      <color theme="1"/>
      <name val="Aptos Narrow"/>
      <family val="2"/>
      <scheme val="minor"/>
    </font>
    <font>
      <b/>
      <sz val="10"/>
      <color theme="1"/>
      <name val="Arial Nova Cond"/>
      <family val="2"/>
    </font>
    <font>
      <i/>
      <sz val="9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1"/>
      <name val="Aptos Narrow"/>
      <family val="2"/>
      <scheme val="minor"/>
    </font>
    <font>
      <i/>
      <sz val="11"/>
      <color theme="0"/>
      <name val="Aptos Narrow"/>
      <family val="2"/>
      <scheme val="minor"/>
    </font>
    <font>
      <sz val="5"/>
      <color theme="1"/>
      <name val="Aptos Narrow"/>
      <family val="2"/>
      <scheme val="minor"/>
    </font>
    <font>
      <sz val="5"/>
      <name val="Aptos Narrow"/>
      <family val="2"/>
      <scheme val="minor"/>
    </font>
    <font>
      <i/>
      <sz val="5"/>
      <color theme="1"/>
      <name val="Aptos Narrow"/>
      <family val="2"/>
      <scheme val="minor"/>
    </font>
    <font>
      <b/>
      <sz val="10"/>
      <color theme="0"/>
      <name val="Arial Nova Cond"/>
      <family val="2"/>
    </font>
    <font>
      <i/>
      <sz val="10"/>
      <name val="Arial Nova Cond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name val="Helv"/>
    </font>
    <font>
      <sz val="10"/>
      <name val="MS Sans Serif"/>
      <family val="2"/>
    </font>
    <font>
      <b/>
      <u/>
      <sz val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Arial"/>
      <family val="2"/>
    </font>
    <font>
      <i/>
      <sz val="10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i/>
      <sz val="10"/>
      <color rgb="FFFF0000"/>
      <name val="Arial Nova Cond"/>
      <family val="2"/>
    </font>
    <font>
      <b/>
      <i/>
      <sz val="10"/>
      <color rgb="FFFF0000"/>
      <name val="Arial Nova Cond"/>
      <family val="2"/>
    </font>
    <font>
      <b/>
      <u/>
      <sz val="10"/>
      <color rgb="FF0000FF"/>
      <name val="Arial Nova Cond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3865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9" fontId="4" fillId="0" borderId="0" applyFont="0" applyFill="0" applyBorder="0" applyAlignment="0" applyProtection="0"/>
    <xf numFmtId="0" fontId="7" fillId="0" borderId="0"/>
    <xf numFmtId="43" fontId="4" fillId="0" borderId="0" applyFont="0" applyFill="0" applyBorder="0" applyAlignment="0" applyProtection="0"/>
    <xf numFmtId="0" fontId="47" fillId="0" borderId="0"/>
    <xf numFmtId="0" fontId="48" fillId="0" borderId="0"/>
    <xf numFmtId="0" fontId="51" fillId="0" borderId="0"/>
    <xf numFmtId="40" fontId="52" fillId="0" borderId="0" applyFont="0" applyFill="0" applyBorder="0" applyAlignment="0" applyProtection="0"/>
    <xf numFmtId="9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55" fillId="0" borderId="0"/>
    <xf numFmtId="44" fontId="48" fillId="0" borderId="0" applyFont="0" applyFill="0" applyBorder="0" applyAlignment="0" applyProtection="0"/>
  </cellStyleXfs>
  <cellXfs count="563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37" fontId="1" fillId="0" borderId="1" xfId="0" applyNumberFormat="1" applyFont="1" applyBorder="1" applyAlignment="1">
      <alignment vertical="center"/>
    </xf>
    <xf numFmtId="37" fontId="1" fillId="0" borderId="0" xfId="0" applyNumberFormat="1" applyFont="1" applyAlignment="1">
      <alignment vertical="center"/>
    </xf>
    <xf numFmtId="37" fontId="2" fillId="0" borderId="2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37" fontId="3" fillId="0" borderId="0" xfId="0" applyNumberFormat="1" applyFont="1" applyAlignment="1">
      <alignment vertical="center"/>
    </xf>
    <xf numFmtId="37" fontId="1" fillId="0" borderId="2" xfId="0" applyNumberFormat="1" applyFont="1" applyBorder="1" applyAlignment="1">
      <alignment vertical="center"/>
    </xf>
    <xf numFmtId="37" fontId="2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167" fontId="3" fillId="0" borderId="0" xfId="0" applyNumberFormat="1" applyFont="1" applyAlignment="1">
      <alignment vertical="center"/>
    </xf>
    <xf numFmtId="164" fontId="1" fillId="0" borderId="1" xfId="0" applyNumberFormat="1" applyFont="1" applyBorder="1" applyAlignment="1">
      <alignment vertical="center"/>
    </xf>
    <xf numFmtId="37" fontId="5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168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center" vertical="center"/>
    </xf>
    <xf numFmtId="168" fontId="5" fillId="0" borderId="2" xfId="0" applyNumberFormat="1" applyFont="1" applyBorder="1" applyAlignment="1">
      <alignment vertical="center"/>
    </xf>
    <xf numFmtId="168" fontId="1" fillId="0" borderId="0" xfId="0" applyNumberFormat="1" applyFont="1" applyAlignment="1">
      <alignment vertical="center"/>
    </xf>
    <xf numFmtId="168" fontId="1" fillId="0" borderId="2" xfId="0" applyNumberFormat="1" applyFont="1" applyBorder="1" applyAlignment="1">
      <alignment vertical="center"/>
    </xf>
    <xf numFmtId="168" fontId="2" fillId="0" borderId="2" xfId="0" applyNumberFormat="1" applyFont="1" applyBorder="1" applyAlignment="1">
      <alignment vertical="center"/>
    </xf>
    <xf numFmtId="164" fontId="3" fillId="0" borderId="0" xfId="0" applyNumberFormat="1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8" fillId="0" borderId="0" xfId="2" applyFont="1"/>
    <xf numFmtId="0" fontId="7" fillId="0" borderId="0" xfId="2"/>
    <xf numFmtId="14" fontId="9" fillId="0" borderId="0" xfId="2" applyNumberFormat="1" applyFont="1" applyAlignment="1">
      <alignment horizontal="left"/>
    </xf>
    <xf numFmtId="0" fontId="10" fillId="3" borderId="3" xfId="2" applyFont="1" applyFill="1" applyBorder="1" applyAlignment="1">
      <alignment horizontal="right"/>
    </xf>
    <xf numFmtId="14" fontId="9" fillId="0" borderId="3" xfId="2" applyNumberFormat="1" applyFont="1" applyBorder="1" applyAlignment="1">
      <alignment horizontal="right"/>
    </xf>
    <xf numFmtId="10" fontId="9" fillId="0" borderId="3" xfId="2" applyNumberFormat="1" applyFont="1" applyBorder="1" applyAlignment="1">
      <alignment horizontal="right"/>
    </xf>
    <xf numFmtId="14" fontId="9" fillId="3" borderId="3" xfId="2" applyNumberFormat="1" applyFont="1" applyFill="1" applyBorder="1" applyAlignment="1">
      <alignment horizontal="right"/>
    </xf>
    <xf numFmtId="10" fontId="9" fillId="3" borderId="3" xfId="2" applyNumberFormat="1" applyFont="1" applyFill="1" applyBorder="1" applyAlignment="1">
      <alignment horizontal="right"/>
    </xf>
    <xf numFmtId="0" fontId="9" fillId="0" borderId="0" xfId="2" applyFont="1"/>
    <xf numFmtId="0" fontId="11" fillId="0" borderId="0" xfId="2" applyFont="1"/>
    <xf numFmtId="167" fontId="7" fillId="0" borderId="0" xfId="2" applyNumberFormat="1"/>
    <xf numFmtId="10" fontId="1" fillId="0" borderId="0" xfId="1" applyNumberFormat="1" applyFont="1" applyAlignment="1">
      <alignment vertical="center"/>
    </xf>
    <xf numFmtId="168" fontId="2" fillId="0" borderId="0" xfId="0" applyNumberFormat="1" applyFont="1" applyAlignment="1">
      <alignment vertical="center"/>
    </xf>
    <xf numFmtId="171" fontId="1" fillId="0" borderId="0" xfId="0" applyNumberFormat="1" applyFont="1" applyAlignment="1">
      <alignment vertical="center"/>
    </xf>
    <xf numFmtId="171" fontId="3" fillId="0" borderId="0" xfId="0" applyNumberFormat="1" applyFont="1" applyAlignment="1">
      <alignment vertical="center"/>
    </xf>
    <xf numFmtId="37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37" fontId="5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168" fontId="3" fillId="0" borderId="0" xfId="0" applyNumberFormat="1" applyFont="1" applyAlignment="1">
      <alignment horizontal="center" vertical="center"/>
    </xf>
    <xf numFmtId="168" fontId="5" fillId="0" borderId="0" xfId="0" applyNumberFormat="1" applyFont="1" applyAlignment="1">
      <alignment horizontal="center" vertical="center"/>
    </xf>
    <xf numFmtId="37" fontId="2" fillId="2" borderId="2" xfId="0" applyNumberFormat="1" applyFont="1" applyFill="1" applyBorder="1" applyAlignment="1">
      <alignment horizontal="center" vertical="center"/>
    </xf>
    <xf numFmtId="37" fontId="2" fillId="2" borderId="2" xfId="0" applyNumberFormat="1" applyFont="1" applyFill="1" applyBorder="1" applyAlignment="1">
      <alignment horizontal="right" vertical="center"/>
    </xf>
    <xf numFmtId="9" fontId="3" fillId="0" borderId="0" xfId="0" applyNumberFormat="1" applyFont="1" applyAlignment="1">
      <alignment horizontal="center" vertical="center"/>
    </xf>
    <xf numFmtId="168" fontId="1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vertical="center"/>
    </xf>
    <xf numFmtId="165" fontId="1" fillId="0" borderId="2" xfId="1" applyNumberFormat="1" applyFont="1" applyBorder="1" applyAlignment="1">
      <alignment vertical="center"/>
    </xf>
    <xf numFmtId="164" fontId="5" fillId="0" borderId="0" xfId="0" applyNumberFormat="1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vertical="center"/>
    </xf>
    <xf numFmtId="0" fontId="12" fillId="0" borderId="1" xfId="0" applyFont="1" applyBorder="1" applyAlignment="1">
      <alignment vertical="center"/>
    </xf>
    <xf numFmtId="164" fontId="12" fillId="0" borderId="1" xfId="0" applyNumberFormat="1" applyFont="1" applyBorder="1" applyAlignment="1">
      <alignment vertical="center"/>
    </xf>
    <xf numFmtId="37" fontId="12" fillId="0" borderId="0" xfId="0" applyNumberFormat="1" applyFont="1" applyAlignment="1">
      <alignment vertical="center"/>
    </xf>
    <xf numFmtId="165" fontId="12" fillId="0" borderId="0" xfId="1" applyNumberFormat="1" applyFont="1" applyAlignment="1">
      <alignment vertical="center"/>
    </xf>
    <xf numFmtId="165" fontId="5" fillId="0" borderId="0" xfId="0" applyNumberFormat="1" applyFont="1" applyAlignment="1">
      <alignment vertical="center"/>
    </xf>
    <xf numFmtId="168" fontId="12" fillId="0" borderId="0" xfId="0" applyNumberFormat="1" applyFont="1" applyAlignment="1">
      <alignment vertical="center"/>
    </xf>
    <xf numFmtId="173" fontId="1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74" fontId="15" fillId="0" borderId="0" xfId="0" applyNumberFormat="1" applyFont="1" applyAlignment="1">
      <alignment vertical="center"/>
    </xf>
    <xf numFmtId="165" fontId="14" fillId="0" borderId="0" xfId="1" applyNumberFormat="1" applyFont="1" applyAlignment="1">
      <alignment vertical="center"/>
    </xf>
    <xf numFmtId="0" fontId="13" fillId="0" borderId="2" xfId="0" applyFont="1" applyBorder="1" applyAlignment="1">
      <alignment vertical="center"/>
    </xf>
    <xf numFmtId="168" fontId="13" fillId="0" borderId="2" xfId="0" applyNumberFormat="1" applyFont="1" applyBorder="1" applyAlignment="1">
      <alignment vertical="center"/>
    </xf>
    <xf numFmtId="165" fontId="1" fillId="0" borderId="0" xfId="1" applyNumberFormat="1" applyFont="1" applyBorder="1" applyAlignment="1">
      <alignment vertical="center"/>
    </xf>
    <xf numFmtId="5" fontId="1" fillId="0" borderId="0" xfId="0" applyNumberFormat="1" applyFont="1" applyAlignment="1">
      <alignment horizontal="right" vertical="center"/>
    </xf>
    <xf numFmtId="170" fontId="1" fillId="0" borderId="0" xfId="0" applyNumberFormat="1" applyFont="1" applyAlignment="1">
      <alignment horizontal="right" vertical="center"/>
    </xf>
    <xf numFmtId="37" fontId="1" fillId="0" borderId="0" xfId="0" applyNumberFormat="1" applyFont="1" applyAlignment="1">
      <alignment horizontal="right" vertical="center"/>
    </xf>
    <xf numFmtId="37" fontId="3" fillId="0" borderId="0" xfId="0" applyNumberFormat="1" applyFont="1" applyAlignment="1">
      <alignment horizontal="right" vertical="center"/>
    </xf>
    <xf numFmtId="173" fontId="1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right" vertical="center"/>
    </xf>
    <xf numFmtId="0" fontId="16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68" fontId="13" fillId="0" borderId="0" xfId="0" applyNumberFormat="1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164" fontId="17" fillId="0" borderId="0" xfId="0" applyNumberFormat="1" applyFont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170" fontId="17" fillId="0" borderId="0" xfId="0" applyNumberFormat="1" applyFont="1" applyAlignment="1">
      <alignment horizontal="center" vertical="center"/>
    </xf>
    <xf numFmtId="0" fontId="12" fillId="0" borderId="1" xfId="0" applyFont="1" applyBorder="1" applyAlignment="1">
      <alignment horizontal="right" vertical="center"/>
    </xf>
    <xf numFmtId="164" fontId="17" fillId="0" borderId="0" xfId="0" applyNumberFormat="1" applyFont="1" applyAlignment="1">
      <alignment horizontal="right" vertical="center"/>
    </xf>
    <xf numFmtId="7" fontId="17" fillId="0" borderId="0" xfId="0" applyNumberFormat="1" applyFont="1" applyAlignment="1">
      <alignment vertical="center"/>
    </xf>
    <xf numFmtId="0" fontId="12" fillId="0" borderId="2" xfId="0" applyFont="1" applyBorder="1" applyAlignment="1">
      <alignment vertical="center"/>
    </xf>
    <xf numFmtId="168" fontId="12" fillId="0" borderId="2" xfId="0" applyNumberFormat="1" applyFont="1" applyBorder="1" applyAlignment="1">
      <alignment vertical="center"/>
    </xf>
    <xf numFmtId="170" fontId="13" fillId="0" borderId="2" xfId="0" applyNumberFormat="1" applyFont="1" applyBorder="1" applyAlignment="1">
      <alignment horizontal="center" vertical="center"/>
    </xf>
    <xf numFmtId="164" fontId="13" fillId="0" borderId="2" xfId="0" applyNumberFormat="1" applyFont="1" applyBorder="1" applyAlignment="1">
      <alignment horizontal="right" vertical="center"/>
    </xf>
    <xf numFmtId="7" fontId="13" fillId="0" borderId="2" xfId="0" applyNumberFormat="1" applyFont="1" applyBorder="1" applyAlignment="1">
      <alignment vertical="center"/>
    </xf>
    <xf numFmtId="165" fontId="17" fillId="0" borderId="0" xfId="1" applyNumberFormat="1" applyFont="1" applyAlignment="1">
      <alignment horizontal="right" vertical="center"/>
    </xf>
    <xf numFmtId="165" fontId="13" fillId="0" borderId="2" xfId="1" applyNumberFormat="1" applyFont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3" fillId="0" borderId="2" xfId="0" applyFont="1" applyBorder="1" applyAlignment="1">
      <alignment horizontal="right" vertical="center"/>
    </xf>
    <xf numFmtId="7" fontId="17" fillId="0" borderId="2" xfId="0" applyNumberFormat="1" applyFont="1" applyBorder="1" applyAlignment="1">
      <alignment vertical="center"/>
    </xf>
    <xf numFmtId="165" fontId="12" fillId="0" borderId="2" xfId="1" applyNumberFormat="1" applyFont="1" applyBorder="1" applyAlignment="1">
      <alignment horizontal="right" vertical="center"/>
    </xf>
    <xf numFmtId="165" fontId="12" fillId="0" borderId="0" xfId="1" applyNumberFormat="1" applyFont="1" applyBorder="1" applyAlignment="1">
      <alignment horizontal="right" vertical="center"/>
    </xf>
    <xf numFmtId="7" fontId="12" fillId="0" borderId="0" xfId="0" applyNumberFormat="1" applyFont="1" applyAlignment="1">
      <alignment horizontal="right" vertical="center"/>
    </xf>
    <xf numFmtId="7" fontId="13" fillId="0" borderId="2" xfId="0" applyNumberFormat="1" applyFont="1" applyBorder="1" applyAlignment="1">
      <alignment horizontal="right" vertical="center"/>
    </xf>
    <xf numFmtId="168" fontId="12" fillId="0" borderId="0" xfId="0" applyNumberFormat="1" applyFont="1" applyAlignment="1">
      <alignment horizontal="right" vertical="center"/>
    </xf>
    <xf numFmtId="168" fontId="13" fillId="0" borderId="2" xfId="0" applyNumberFormat="1" applyFont="1" applyBorder="1" applyAlignment="1">
      <alignment horizontal="right" vertical="center"/>
    </xf>
    <xf numFmtId="165" fontId="17" fillId="0" borderId="0" xfId="0" applyNumberFormat="1" applyFont="1" applyAlignment="1">
      <alignment vertical="center"/>
    </xf>
    <xf numFmtId="10" fontId="17" fillId="0" borderId="0" xfId="0" applyNumberFormat="1" applyFont="1" applyAlignment="1">
      <alignment vertical="center"/>
    </xf>
    <xf numFmtId="7" fontId="13" fillId="0" borderId="0" xfId="0" applyNumberFormat="1" applyFont="1" applyAlignment="1">
      <alignment horizontal="right" vertical="center"/>
    </xf>
    <xf numFmtId="37" fontId="2" fillId="2" borderId="2" xfId="0" applyNumberFormat="1" applyFont="1" applyFill="1" applyBorder="1" applyAlignment="1">
      <alignment vertical="center"/>
    </xf>
    <xf numFmtId="168" fontId="2" fillId="2" borderId="2" xfId="0" applyNumberFormat="1" applyFont="1" applyFill="1" applyBorder="1" applyAlignment="1">
      <alignment horizontal="right" vertical="center"/>
    </xf>
    <xf numFmtId="165" fontId="18" fillId="0" borderId="0" xfId="0" applyNumberFormat="1" applyFont="1" applyAlignment="1">
      <alignment vertical="center"/>
    </xf>
    <xf numFmtId="176" fontId="17" fillId="0" borderId="0" xfId="0" applyNumberFormat="1" applyFont="1" applyAlignment="1">
      <alignment vertical="center"/>
    </xf>
    <xf numFmtId="168" fontId="12" fillId="0" borderId="2" xfId="0" applyNumberFormat="1" applyFont="1" applyBorder="1" applyAlignment="1">
      <alignment horizontal="right" vertical="center"/>
    </xf>
    <xf numFmtId="168" fontId="13" fillId="0" borderId="0" xfId="0" applyNumberFormat="1" applyFont="1" applyAlignment="1">
      <alignment horizontal="right" vertical="center"/>
    </xf>
    <xf numFmtId="179" fontId="17" fillId="0" borderId="1" xfId="0" applyNumberFormat="1" applyFont="1" applyBorder="1" applyAlignment="1">
      <alignment vertical="center"/>
    </xf>
    <xf numFmtId="176" fontId="19" fillId="0" borderId="0" xfId="0" applyNumberFormat="1" applyFont="1" applyAlignment="1">
      <alignment vertical="center"/>
    </xf>
    <xf numFmtId="0" fontId="13" fillId="2" borderId="2" xfId="0" applyFont="1" applyFill="1" applyBorder="1" applyAlignment="1">
      <alignment vertical="center"/>
    </xf>
    <xf numFmtId="7" fontId="13" fillId="2" borderId="2" xfId="0" applyNumberFormat="1" applyFont="1" applyFill="1" applyBorder="1" applyAlignment="1">
      <alignment horizontal="right" vertical="center"/>
    </xf>
    <xf numFmtId="0" fontId="13" fillId="2" borderId="4" xfId="0" applyFont="1" applyFill="1" applyBorder="1" applyAlignment="1">
      <alignment vertical="center"/>
    </xf>
    <xf numFmtId="7" fontId="13" fillId="2" borderId="4" xfId="0" applyNumberFormat="1" applyFont="1" applyFill="1" applyBorder="1" applyAlignment="1">
      <alignment horizontal="right" vertical="center"/>
    </xf>
    <xf numFmtId="168" fontId="13" fillId="2" borderId="4" xfId="0" applyNumberFormat="1" applyFont="1" applyFill="1" applyBorder="1" applyAlignment="1">
      <alignment vertical="center"/>
    </xf>
    <xf numFmtId="175" fontId="3" fillId="0" borderId="0" xfId="1" applyNumberFormat="1" applyFont="1" applyAlignment="1">
      <alignment horizontal="right" vertical="center"/>
    </xf>
    <xf numFmtId="176" fontId="3" fillId="0" borderId="0" xfId="0" applyNumberFormat="1" applyFont="1" applyAlignment="1">
      <alignment horizontal="right" vertical="center"/>
    </xf>
    <xf numFmtId="177" fontId="3" fillId="0" borderId="0" xfId="0" applyNumberFormat="1" applyFont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166" fontId="12" fillId="0" borderId="0" xfId="0" applyNumberFormat="1" applyFont="1" applyAlignment="1">
      <alignment vertical="center"/>
    </xf>
    <xf numFmtId="167" fontId="12" fillId="0" borderId="0" xfId="0" applyNumberFormat="1" applyFont="1" applyAlignment="1">
      <alignment vertical="center"/>
    </xf>
    <xf numFmtId="0" fontId="14" fillId="0" borderId="0" xfId="0" applyFont="1" applyAlignment="1">
      <alignment horizontal="right" vertical="center"/>
    </xf>
    <xf numFmtId="0" fontId="13" fillId="0" borderId="2" xfId="0" applyFont="1" applyBorder="1" applyAlignment="1">
      <alignment horizontal="center" vertical="center"/>
    </xf>
    <xf numFmtId="168" fontId="13" fillId="2" borderId="2" xfId="0" applyNumberFormat="1" applyFont="1" applyFill="1" applyBorder="1" applyAlignment="1">
      <alignment horizontal="right" vertical="center"/>
    </xf>
    <xf numFmtId="168" fontId="13" fillId="0" borderId="4" xfId="0" applyNumberFormat="1" applyFont="1" applyBorder="1" applyAlignment="1">
      <alignment vertical="center"/>
    </xf>
    <xf numFmtId="37" fontId="5" fillId="0" borderId="0" xfId="0" applyNumberFormat="1" applyFont="1" applyAlignment="1">
      <alignment horizontal="right" vertical="center"/>
    </xf>
    <xf numFmtId="0" fontId="1" fillId="0" borderId="5" xfId="0" applyFont="1" applyBorder="1" applyAlignment="1">
      <alignment vertical="center"/>
    </xf>
    <xf numFmtId="168" fontId="1" fillId="0" borderId="6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168" fontId="2" fillId="2" borderId="4" xfId="0" applyNumberFormat="1" applyFont="1" applyFill="1" applyBorder="1" applyAlignment="1">
      <alignment vertical="center"/>
    </xf>
    <xf numFmtId="37" fontId="2" fillId="2" borderId="4" xfId="0" applyNumberFormat="1" applyFont="1" applyFill="1" applyBorder="1" applyAlignment="1">
      <alignment vertical="center"/>
    </xf>
    <xf numFmtId="165" fontId="5" fillId="0" borderId="0" xfId="0" applyNumberFormat="1" applyFont="1" applyAlignment="1">
      <alignment horizontal="center" vertical="center"/>
    </xf>
    <xf numFmtId="165" fontId="18" fillId="0" borderId="2" xfId="1" applyNumberFormat="1" applyFont="1" applyBorder="1" applyAlignment="1">
      <alignment horizontal="center" vertical="center"/>
    </xf>
    <xf numFmtId="165" fontId="18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37" fontId="1" fillId="0" borderId="6" xfId="0" applyNumberFormat="1" applyFont="1" applyBorder="1" applyAlignment="1">
      <alignment vertical="center"/>
    </xf>
    <xf numFmtId="37" fontId="2" fillId="0" borderId="12" xfId="0" applyNumberFormat="1" applyFont="1" applyBorder="1" applyAlignment="1">
      <alignment horizontal="left" vertical="center"/>
    </xf>
    <xf numFmtId="37" fontId="2" fillId="0" borderId="2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right" vertical="center"/>
    </xf>
    <xf numFmtId="10" fontId="3" fillId="0" borderId="6" xfId="1" applyNumberFormat="1" applyFont="1" applyBorder="1" applyAlignment="1">
      <alignment horizontal="right" vertical="center"/>
    </xf>
    <xf numFmtId="178" fontId="3" fillId="0" borderId="6" xfId="1" applyNumberFormat="1" applyFont="1" applyBorder="1" applyAlignment="1">
      <alignment horizontal="right" vertical="center"/>
    </xf>
    <xf numFmtId="0" fontId="3" fillId="0" borderId="11" xfId="0" applyFont="1" applyBorder="1" applyAlignment="1">
      <alignment horizontal="center" vertical="center"/>
    </xf>
    <xf numFmtId="172" fontId="3" fillId="0" borderId="0" xfId="0" applyNumberFormat="1" applyFont="1" applyAlignment="1">
      <alignment vertical="center"/>
    </xf>
    <xf numFmtId="10" fontId="3" fillId="0" borderId="0" xfId="1" applyNumberFormat="1" applyFont="1" applyBorder="1" applyAlignment="1">
      <alignment vertical="center"/>
    </xf>
    <xf numFmtId="10" fontId="3" fillId="0" borderId="0" xfId="1" applyNumberFormat="1" applyFont="1" applyBorder="1" applyAlignment="1">
      <alignment horizontal="center" vertical="center"/>
    </xf>
    <xf numFmtId="168" fontId="2" fillId="0" borderId="13" xfId="0" applyNumberFormat="1" applyFont="1" applyBorder="1" applyAlignment="1">
      <alignment vertical="center"/>
    </xf>
    <xf numFmtId="181" fontId="3" fillId="0" borderId="0" xfId="0" applyNumberFormat="1" applyFont="1" applyAlignment="1">
      <alignment vertical="center"/>
    </xf>
    <xf numFmtId="37" fontId="1" fillId="0" borderId="8" xfId="0" applyNumberFormat="1" applyFont="1" applyBorder="1" applyAlignment="1">
      <alignment vertical="center"/>
    </xf>
    <xf numFmtId="165" fontId="1" fillId="0" borderId="0" xfId="1" applyNumberFormat="1" applyFont="1" applyAlignment="1">
      <alignment vertical="center"/>
    </xf>
    <xf numFmtId="37" fontId="16" fillId="0" borderId="0" xfId="0" applyNumberFormat="1" applyFont="1" applyAlignment="1">
      <alignment vertical="center"/>
    </xf>
    <xf numFmtId="165" fontId="1" fillId="0" borderId="6" xfId="1" applyNumberFormat="1" applyFont="1" applyBorder="1" applyAlignment="1">
      <alignment vertical="center"/>
    </xf>
    <xf numFmtId="172" fontId="1" fillId="0" borderId="8" xfId="0" applyNumberFormat="1" applyFont="1" applyBorder="1" applyAlignment="1">
      <alignment vertical="center"/>
    </xf>
    <xf numFmtId="165" fontId="2" fillId="0" borderId="2" xfId="1" applyNumberFormat="1" applyFont="1" applyBorder="1" applyAlignment="1">
      <alignment vertical="center"/>
    </xf>
    <xf numFmtId="37" fontId="1" fillId="0" borderId="1" xfId="0" applyNumberFormat="1" applyFont="1" applyBorder="1" applyAlignment="1">
      <alignment horizontal="right" vertical="center"/>
    </xf>
    <xf numFmtId="0" fontId="0" fillId="0" borderId="0" xfId="0" applyAlignment="1">
      <alignment vertical="center"/>
    </xf>
    <xf numFmtId="0" fontId="1" fillId="0" borderId="6" xfId="0" applyFont="1" applyBorder="1" applyAlignment="1">
      <alignment vertical="center"/>
    </xf>
    <xf numFmtId="10" fontId="3" fillId="0" borderId="0" xfId="0" applyNumberFormat="1" applyFont="1" applyAlignment="1">
      <alignment vertical="center"/>
    </xf>
    <xf numFmtId="10" fontId="1" fillId="0" borderId="0" xfId="0" applyNumberFormat="1" applyFont="1" applyAlignment="1">
      <alignment vertical="center"/>
    </xf>
    <xf numFmtId="165" fontId="1" fillId="0" borderId="2" xfId="1" applyNumberFormat="1" applyFont="1" applyBorder="1" applyAlignment="1">
      <alignment horizontal="right" vertical="center"/>
    </xf>
    <xf numFmtId="165" fontId="1" fillId="0" borderId="0" xfId="1" applyNumberFormat="1" applyFont="1" applyBorder="1" applyAlignment="1">
      <alignment horizontal="right" vertical="center"/>
    </xf>
    <xf numFmtId="165" fontId="1" fillId="0" borderId="1" xfId="1" applyNumberFormat="1" applyFont="1" applyBorder="1" applyAlignment="1">
      <alignment horizontal="right" vertical="center"/>
    </xf>
    <xf numFmtId="168" fontId="1" fillId="0" borderId="1" xfId="0" applyNumberFormat="1" applyFont="1" applyBorder="1" applyAlignment="1">
      <alignment vertical="center"/>
    </xf>
    <xf numFmtId="168" fontId="1" fillId="0" borderId="1" xfId="0" applyNumberFormat="1" applyFont="1" applyBorder="1" applyAlignment="1">
      <alignment horizontal="right" vertical="center"/>
    </xf>
    <xf numFmtId="165" fontId="1" fillId="0" borderId="0" xfId="1" applyNumberFormat="1" applyFont="1" applyAlignment="1">
      <alignment horizontal="right" vertical="center"/>
    </xf>
    <xf numFmtId="165" fontId="3" fillId="0" borderId="0" xfId="1" applyNumberFormat="1" applyFont="1" applyAlignment="1">
      <alignment horizontal="right" vertical="center"/>
    </xf>
    <xf numFmtId="165" fontId="3" fillId="0" borderId="1" xfId="1" applyNumberFormat="1" applyFont="1" applyBorder="1" applyAlignment="1">
      <alignment horizontal="right" vertical="center"/>
    </xf>
    <xf numFmtId="0" fontId="1" fillId="2" borderId="0" xfId="0" applyFont="1" applyFill="1" applyAlignment="1">
      <alignment vertical="center"/>
    </xf>
    <xf numFmtId="168" fontId="1" fillId="2" borderId="0" xfId="0" applyNumberFormat="1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168" fontId="1" fillId="2" borderId="1" xfId="0" applyNumberFormat="1" applyFont="1" applyFill="1" applyBorder="1" applyAlignment="1">
      <alignment vertical="center"/>
    </xf>
    <xf numFmtId="168" fontId="16" fillId="0" borderId="0" xfId="0" applyNumberFormat="1" applyFont="1" applyAlignment="1">
      <alignment vertical="center"/>
    </xf>
    <xf numFmtId="165" fontId="1" fillId="0" borderId="0" xfId="1" applyNumberFormat="1" applyFont="1" applyAlignment="1">
      <alignment horizontal="center" vertical="center"/>
    </xf>
    <xf numFmtId="165" fontId="16" fillId="0" borderId="0" xfId="1" applyNumberFormat="1" applyFont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  <xf numFmtId="165" fontId="1" fillId="2" borderId="0" xfId="1" applyNumberFormat="1" applyFont="1" applyFill="1" applyAlignment="1">
      <alignment vertical="center"/>
    </xf>
    <xf numFmtId="172" fontId="1" fillId="2" borderId="1" xfId="0" applyNumberFormat="1" applyFont="1" applyFill="1" applyBorder="1" applyAlignment="1">
      <alignment vertical="center"/>
    </xf>
    <xf numFmtId="0" fontId="16" fillId="2" borderId="0" xfId="0" applyFont="1" applyFill="1" applyAlignment="1">
      <alignment vertical="center"/>
    </xf>
    <xf numFmtId="168" fontId="16" fillId="2" borderId="0" xfId="0" applyNumberFormat="1" applyFont="1" applyFill="1" applyAlignment="1">
      <alignment vertical="center"/>
    </xf>
    <xf numFmtId="172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165" fontId="22" fillId="0" borderId="11" xfId="1" applyNumberFormat="1" applyFont="1" applyBorder="1" applyAlignment="1">
      <alignment horizontal="center" vertical="center"/>
    </xf>
    <xf numFmtId="9" fontId="14" fillId="0" borderId="0" xfId="0" applyNumberFormat="1" applyFont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37" fontId="2" fillId="0" borderId="10" xfId="0" applyNumberFormat="1" applyFont="1" applyBorder="1" applyAlignment="1">
      <alignment vertical="center"/>
    </xf>
    <xf numFmtId="164" fontId="13" fillId="0" borderId="2" xfId="0" applyNumberFormat="1" applyFont="1" applyBorder="1" applyAlignment="1">
      <alignment horizontal="left" vertical="center"/>
    </xf>
    <xf numFmtId="0" fontId="23" fillId="0" borderId="0" xfId="0" applyFont="1" applyAlignment="1">
      <alignment vertical="center"/>
    </xf>
    <xf numFmtId="168" fontId="0" fillId="0" borderId="0" xfId="0" applyNumberFormat="1" applyAlignment="1">
      <alignment vertical="center"/>
    </xf>
    <xf numFmtId="168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2" borderId="10" xfId="0" applyFont="1" applyFill="1" applyBorder="1" applyAlignment="1">
      <alignment vertical="center"/>
    </xf>
    <xf numFmtId="5" fontId="0" fillId="0" borderId="0" xfId="0" applyNumberFormat="1" applyAlignment="1">
      <alignment horizontal="right" vertical="center"/>
    </xf>
    <xf numFmtId="182" fontId="3" fillId="0" borderId="0" xfId="0" applyNumberFormat="1" applyFont="1" applyAlignment="1">
      <alignment horizontal="right"/>
    </xf>
    <xf numFmtId="170" fontId="3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68" fontId="3" fillId="0" borderId="1" xfId="0" applyNumberFormat="1" applyFont="1" applyBorder="1" applyAlignment="1">
      <alignment horizontal="right" vertical="center"/>
    </xf>
    <xf numFmtId="164" fontId="17" fillId="0" borderId="1" xfId="0" applyNumberFormat="1" applyFont="1" applyBorder="1" applyAlignment="1">
      <alignment vertical="center"/>
    </xf>
    <xf numFmtId="0" fontId="25" fillId="0" borderId="0" xfId="0" applyFont="1" applyAlignment="1">
      <alignment horizontal="right" vertical="center"/>
    </xf>
    <xf numFmtId="0" fontId="25" fillId="0" borderId="0" xfId="0" applyFont="1" applyAlignment="1">
      <alignment vertical="center"/>
    </xf>
    <xf numFmtId="165" fontId="5" fillId="0" borderId="6" xfId="1" applyNumberFormat="1" applyFont="1" applyBorder="1" applyAlignment="1">
      <alignment vertical="center"/>
    </xf>
    <xf numFmtId="37" fontId="26" fillId="0" borderId="0" xfId="0" applyNumberFormat="1" applyFont="1" applyAlignment="1">
      <alignment vertical="center"/>
    </xf>
    <xf numFmtId="0" fontId="2" fillId="0" borderId="13" xfId="0" applyFont="1" applyBorder="1" applyAlignment="1">
      <alignment vertical="center"/>
    </xf>
    <xf numFmtId="171" fontId="5" fillId="0" borderId="6" xfId="0" applyNumberFormat="1" applyFont="1" applyBorder="1" applyAlignment="1">
      <alignment vertical="center"/>
    </xf>
    <xf numFmtId="164" fontId="5" fillId="0" borderId="6" xfId="0" applyNumberFormat="1" applyFont="1" applyBorder="1" applyAlignment="1">
      <alignment vertical="center"/>
    </xf>
    <xf numFmtId="178" fontId="5" fillId="0" borderId="6" xfId="0" applyNumberFormat="1" applyFont="1" applyBorder="1" applyAlignment="1">
      <alignment vertical="center"/>
    </xf>
    <xf numFmtId="179" fontId="5" fillId="0" borderId="6" xfId="0" applyNumberFormat="1" applyFont="1" applyBorder="1" applyAlignment="1">
      <alignment vertical="center"/>
    </xf>
    <xf numFmtId="0" fontId="0" fillId="0" borderId="1" xfId="0" applyBorder="1"/>
    <xf numFmtId="168" fontId="1" fillId="0" borderId="8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68" fontId="0" fillId="0" borderId="0" xfId="0" applyNumberFormat="1"/>
    <xf numFmtId="0" fontId="1" fillId="0" borderId="9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vertical="center"/>
    </xf>
    <xf numFmtId="9" fontId="1" fillId="0" borderId="0" xfId="1" applyFont="1" applyAlignment="1">
      <alignment vertical="center"/>
    </xf>
    <xf numFmtId="185" fontId="3" fillId="0" borderId="6" xfId="0" applyNumberFormat="1" applyFont="1" applyBorder="1" applyAlignment="1">
      <alignment horizontal="right" vertical="center"/>
    </xf>
    <xf numFmtId="165" fontId="3" fillId="0" borderId="0" xfId="1" applyNumberFormat="1" applyFont="1" applyAlignment="1">
      <alignment vertical="center"/>
    </xf>
    <xf numFmtId="3" fontId="1" fillId="0" borderId="0" xfId="1" applyNumberFormat="1" applyFont="1" applyAlignment="1">
      <alignment vertical="center"/>
    </xf>
    <xf numFmtId="165" fontId="1" fillId="0" borderId="8" xfId="1" applyNumberFormat="1" applyFont="1" applyBorder="1" applyAlignment="1">
      <alignment vertical="center"/>
    </xf>
    <xf numFmtId="173" fontId="5" fillId="0" borderId="0" xfId="0" applyNumberFormat="1" applyFont="1" applyAlignment="1">
      <alignment horizontal="center"/>
    </xf>
    <xf numFmtId="165" fontId="2" fillId="0" borderId="13" xfId="1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172" fontId="2" fillId="0" borderId="8" xfId="0" applyNumberFormat="1" applyFont="1" applyBorder="1" applyAlignment="1">
      <alignment vertical="center"/>
    </xf>
    <xf numFmtId="186" fontId="12" fillId="0" borderId="0" xfId="1" applyNumberFormat="1" applyFont="1" applyAlignment="1">
      <alignment vertical="center"/>
    </xf>
    <xf numFmtId="186" fontId="1" fillId="0" borderId="0" xfId="1" applyNumberFormat="1" applyFont="1" applyAlignment="1">
      <alignment vertical="center"/>
    </xf>
    <xf numFmtId="10" fontId="1" fillId="0" borderId="13" xfId="1" applyNumberFormat="1" applyFont="1" applyBorder="1" applyAlignment="1">
      <alignment vertical="center"/>
    </xf>
    <xf numFmtId="180" fontId="5" fillId="0" borderId="0" xfId="0" applyNumberFormat="1" applyFont="1" applyAlignment="1">
      <alignment vertical="center"/>
    </xf>
    <xf numFmtId="168" fontId="17" fillId="0" borderId="0" xfId="0" applyNumberFormat="1" applyFont="1" applyAlignment="1">
      <alignment vertical="center"/>
    </xf>
    <xf numFmtId="183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168" fontId="5" fillId="0" borderId="0" xfId="0" applyNumberFormat="1" applyFont="1" applyAlignment="1">
      <alignment horizontal="right" vertical="center"/>
    </xf>
    <xf numFmtId="7" fontId="3" fillId="0" borderId="0" xfId="0" applyNumberFormat="1" applyFont="1" applyAlignment="1">
      <alignment horizontal="right" vertical="center"/>
    </xf>
    <xf numFmtId="7" fontId="3" fillId="0" borderId="1" xfId="0" applyNumberFormat="1" applyFont="1" applyBorder="1" applyAlignment="1">
      <alignment horizontal="right" vertical="center"/>
    </xf>
    <xf numFmtId="165" fontId="16" fillId="0" borderId="0" xfId="1" applyNumberFormat="1" applyFont="1" applyAlignment="1">
      <alignment vertical="center"/>
    </xf>
    <xf numFmtId="9" fontId="3" fillId="0" borderId="0" xfId="0" applyNumberFormat="1" applyFont="1" applyAlignment="1">
      <alignment vertical="center"/>
    </xf>
    <xf numFmtId="6" fontId="1" fillId="0" borderId="0" xfId="0" applyNumberFormat="1" applyFont="1" applyAlignment="1">
      <alignment vertical="center"/>
    </xf>
    <xf numFmtId="8" fontId="1" fillId="0" borderId="0" xfId="0" applyNumberFormat="1" applyFont="1" applyAlignment="1">
      <alignment vertical="center"/>
    </xf>
    <xf numFmtId="182" fontId="5" fillId="0" borderId="0" xfId="0" applyNumberFormat="1" applyFont="1" applyAlignment="1">
      <alignment horizontal="right"/>
    </xf>
    <xf numFmtId="39" fontId="1" fillId="0" borderId="0" xfId="0" applyNumberFormat="1" applyFont="1" applyAlignment="1">
      <alignment horizontal="center" vertical="center"/>
    </xf>
    <xf numFmtId="178" fontId="5" fillId="0" borderId="0" xfId="0" applyNumberFormat="1" applyFont="1" applyAlignment="1">
      <alignment vertical="center"/>
    </xf>
    <xf numFmtId="180" fontId="3" fillId="0" borderId="0" xfId="0" applyNumberFormat="1" applyFont="1" applyAlignment="1">
      <alignment vertical="center"/>
    </xf>
    <xf numFmtId="179" fontId="3" fillId="0" borderId="0" xfId="0" applyNumberFormat="1" applyFont="1" applyAlignment="1">
      <alignment vertical="center"/>
    </xf>
    <xf numFmtId="3" fontId="29" fillId="0" borderId="2" xfId="0" applyNumberFormat="1" applyFont="1" applyBorder="1" applyAlignment="1">
      <alignment horizontal="center" vertical="center"/>
    </xf>
    <xf numFmtId="3" fontId="29" fillId="0" borderId="0" xfId="0" applyNumberFormat="1" applyFont="1" applyAlignment="1">
      <alignment horizontal="center" vertical="center"/>
    </xf>
    <xf numFmtId="0" fontId="30" fillId="0" borderId="0" xfId="0" applyFont="1"/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left"/>
    </xf>
    <xf numFmtId="0" fontId="30" fillId="0" borderId="1" xfId="0" applyFont="1" applyBorder="1" applyAlignment="1">
      <alignment horizontal="left"/>
    </xf>
    <xf numFmtId="0" fontId="16" fillId="0" borderId="0" xfId="0" applyFont="1" applyAlignment="1">
      <alignment horizontal="left" vertical="center"/>
    </xf>
    <xf numFmtId="165" fontId="1" fillId="0" borderId="13" xfId="1" applyNumberFormat="1" applyFont="1" applyBorder="1" applyAlignment="1">
      <alignment vertical="center"/>
    </xf>
    <xf numFmtId="184" fontId="1" fillId="0" borderId="0" xfId="0" applyNumberFormat="1" applyFont="1" applyAlignment="1">
      <alignment horizontal="left" vertical="center"/>
    </xf>
    <xf numFmtId="7" fontId="2" fillId="0" borderId="0" xfId="0" applyNumberFormat="1" applyFont="1" applyAlignment="1">
      <alignment horizontal="center" vertical="center"/>
    </xf>
    <xf numFmtId="188" fontId="1" fillId="0" borderId="0" xfId="0" applyNumberFormat="1" applyFont="1" applyAlignment="1">
      <alignment horizontal="left" vertical="center"/>
    </xf>
    <xf numFmtId="7" fontId="1" fillId="0" borderId="0" xfId="0" applyNumberFormat="1" applyFont="1" applyAlignment="1">
      <alignment vertical="center"/>
    </xf>
    <xf numFmtId="0" fontId="31" fillId="0" borderId="0" xfId="0" applyFont="1" applyAlignment="1">
      <alignment vertical="center"/>
    </xf>
    <xf numFmtId="1" fontId="31" fillId="0" borderId="0" xfId="0" applyNumberFormat="1" applyFont="1" applyAlignment="1">
      <alignment horizontal="right" vertical="center"/>
    </xf>
    <xf numFmtId="0" fontId="32" fillId="0" borderId="12" xfId="0" applyFont="1" applyBorder="1" applyAlignment="1">
      <alignment vertical="center"/>
    </xf>
    <xf numFmtId="0" fontId="32" fillId="0" borderId="2" xfId="0" applyFont="1" applyBorder="1" applyAlignment="1">
      <alignment vertical="center"/>
    </xf>
    <xf numFmtId="0" fontId="32" fillId="0" borderId="7" xfId="0" applyFont="1" applyBorder="1" applyAlignment="1">
      <alignment vertical="center"/>
    </xf>
    <xf numFmtId="0" fontId="32" fillId="0" borderId="1" xfId="0" applyFont="1" applyBorder="1" applyAlignment="1">
      <alignment vertical="center"/>
    </xf>
    <xf numFmtId="165" fontId="32" fillId="0" borderId="2" xfId="0" applyNumberFormat="1" applyFont="1" applyBorder="1" applyAlignment="1">
      <alignment horizontal="right" vertical="center"/>
    </xf>
    <xf numFmtId="182" fontId="1" fillId="0" borderId="0" xfId="0" applyNumberFormat="1" applyFont="1" applyAlignment="1">
      <alignment vertical="center"/>
    </xf>
    <xf numFmtId="171" fontId="5" fillId="0" borderId="0" xfId="0" applyNumberFormat="1" applyFont="1" applyAlignment="1">
      <alignment vertical="center"/>
    </xf>
    <xf numFmtId="0" fontId="1" fillId="0" borderId="12" xfId="0" applyFont="1" applyBorder="1" applyAlignment="1">
      <alignment horizontal="left" vertical="center"/>
    </xf>
    <xf numFmtId="3" fontId="1" fillId="0" borderId="2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3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3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33" fillId="0" borderId="5" xfId="0" applyFont="1" applyBorder="1" applyAlignment="1">
      <alignment horizontal="center" vertical="center"/>
    </xf>
    <xf numFmtId="173" fontId="2" fillId="2" borderId="2" xfId="0" applyNumberFormat="1" applyFont="1" applyFill="1" applyBorder="1" applyAlignment="1">
      <alignment horizontal="center" vertical="center"/>
    </xf>
    <xf numFmtId="165" fontId="5" fillId="0" borderId="0" xfId="1" applyNumberFormat="1" applyFont="1" applyAlignment="1">
      <alignment horizontal="center" vertical="center"/>
    </xf>
    <xf numFmtId="189" fontId="3" fillId="0" borderId="0" xfId="1" applyNumberFormat="1" applyFont="1" applyAlignment="1">
      <alignment horizontal="right" vertical="center"/>
    </xf>
    <xf numFmtId="173" fontId="3" fillId="0" borderId="0" xfId="0" applyNumberFormat="1" applyFont="1" applyAlignment="1">
      <alignment horizontal="center"/>
    </xf>
    <xf numFmtId="190" fontId="1" fillId="0" borderId="0" xfId="0" applyNumberFormat="1" applyFont="1" applyAlignment="1">
      <alignment horizontal="right" vertical="center"/>
    </xf>
    <xf numFmtId="9" fontId="3" fillId="0" borderId="2" xfId="0" applyNumberFormat="1" applyFont="1" applyBorder="1" applyAlignment="1">
      <alignment horizontal="right" vertical="center"/>
    </xf>
    <xf numFmtId="9" fontId="1" fillId="0" borderId="1" xfId="0" applyNumberFormat="1" applyFont="1" applyBorder="1" applyAlignment="1">
      <alignment horizontal="right" vertical="center"/>
    </xf>
    <xf numFmtId="9" fontId="2" fillId="0" borderId="0" xfId="0" applyNumberFormat="1" applyFont="1" applyAlignment="1">
      <alignment horizontal="right" vertical="center"/>
    </xf>
    <xf numFmtId="172" fontId="32" fillId="0" borderId="1" xfId="0" applyNumberFormat="1" applyFont="1" applyBorder="1" applyAlignment="1">
      <alignment horizontal="right" vertical="center"/>
    </xf>
    <xf numFmtId="9" fontId="12" fillId="0" borderId="0" xfId="0" applyNumberFormat="1" applyFont="1" applyAlignment="1">
      <alignment vertical="center"/>
    </xf>
    <xf numFmtId="0" fontId="23" fillId="0" borderId="0" xfId="0" applyFont="1" applyAlignment="1">
      <alignment horizontal="left"/>
    </xf>
    <xf numFmtId="165" fontId="5" fillId="0" borderId="0" xfId="1" applyNumberFormat="1" applyFont="1" applyAlignment="1">
      <alignment horizontal="right" vertical="center"/>
    </xf>
    <xf numFmtId="191" fontId="1" fillId="0" borderId="0" xfId="0" applyNumberFormat="1" applyFont="1" applyAlignment="1">
      <alignment vertical="center"/>
    </xf>
    <xf numFmtId="0" fontId="0" fillId="0" borderId="1" xfId="0" applyBorder="1" applyAlignment="1">
      <alignment horizontal="right" vertical="center"/>
    </xf>
    <xf numFmtId="0" fontId="23" fillId="0" borderId="0" xfId="0" applyFont="1"/>
    <xf numFmtId="0" fontId="1" fillId="5" borderId="0" xfId="0" applyFont="1" applyFill="1" applyAlignment="1">
      <alignment vertical="center"/>
    </xf>
    <xf numFmtId="0" fontId="2" fillId="5" borderId="0" xfId="0" applyFont="1" applyFill="1" applyAlignment="1">
      <alignment horizontal="centerContinuous" vertical="center"/>
    </xf>
    <xf numFmtId="187" fontId="1" fillId="5" borderId="0" xfId="0" applyNumberFormat="1" applyFont="1" applyFill="1" applyAlignment="1">
      <alignment vertical="center"/>
    </xf>
    <xf numFmtId="37" fontId="1" fillId="5" borderId="1" xfId="0" applyNumberFormat="1" applyFont="1" applyFill="1" applyBorder="1" applyAlignment="1">
      <alignment vertical="center"/>
    </xf>
    <xf numFmtId="10" fontId="1" fillId="5" borderId="6" xfId="1" applyNumberFormat="1" applyFont="1" applyFill="1" applyBorder="1" applyAlignment="1">
      <alignment vertical="center"/>
    </xf>
    <xf numFmtId="165" fontId="1" fillId="5" borderId="0" xfId="1" applyNumberFormat="1" applyFont="1" applyFill="1" applyAlignment="1">
      <alignment vertical="center"/>
    </xf>
    <xf numFmtId="10" fontId="1" fillId="5" borderId="0" xfId="1" applyNumberFormat="1" applyFont="1" applyFill="1" applyAlignment="1">
      <alignment vertical="center"/>
    </xf>
    <xf numFmtId="37" fontId="1" fillId="5" borderId="0" xfId="0" applyNumberFormat="1" applyFont="1" applyFill="1" applyAlignment="1">
      <alignment vertical="center"/>
    </xf>
    <xf numFmtId="37" fontId="16" fillId="0" borderId="1" xfId="0" applyNumberFormat="1" applyFont="1" applyBorder="1" applyAlignment="1">
      <alignment horizontal="right" vertical="center"/>
    </xf>
    <xf numFmtId="168" fontId="27" fillId="0" borderId="2" xfId="0" applyNumberFormat="1" applyFont="1" applyBorder="1" applyAlignment="1">
      <alignment vertical="center"/>
    </xf>
    <xf numFmtId="37" fontId="23" fillId="0" borderId="0" xfId="0" applyNumberFormat="1" applyFont="1" applyAlignment="1">
      <alignment vertical="center"/>
    </xf>
    <xf numFmtId="0" fontId="23" fillId="0" borderId="0" xfId="0" applyFont="1" applyAlignment="1">
      <alignment horizontal="centerContinuous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37" fontId="0" fillId="0" borderId="1" xfId="0" applyNumberFormat="1" applyBorder="1" applyAlignment="1">
      <alignment horizontal="center" vertical="center"/>
    </xf>
    <xf numFmtId="37" fontId="35" fillId="0" borderId="1" xfId="0" applyNumberFormat="1" applyFont="1" applyBorder="1" applyAlignment="1">
      <alignment horizontal="right" vertical="center"/>
    </xf>
    <xf numFmtId="168" fontId="35" fillId="0" borderId="0" xfId="0" applyNumberFormat="1" applyFont="1" applyAlignment="1">
      <alignment horizontal="right" vertical="center"/>
    </xf>
    <xf numFmtId="0" fontId="23" fillId="2" borderId="2" xfId="0" applyFont="1" applyFill="1" applyBorder="1" applyAlignment="1">
      <alignment vertical="center"/>
    </xf>
    <xf numFmtId="37" fontId="0" fillId="0" borderId="0" xfId="0" applyNumberFormat="1" applyAlignment="1">
      <alignment vertical="center"/>
    </xf>
    <xf numFmtId="0" fontId="35" fillId="0" borderId="0" xfId="0" applyFont="1" applyAlignment="1">
      <alignment vertical="center"/>
    </xf>
    <xf numFmtId="37" fontId="23" fillId="2" borderId="2" xfId="0" applyNumberFormat="1" applyFont="1" applyFill="1" applyBorder="1" applyAlignment="1">
      <alignment vertical="center"/>
    </xf>
    <xf numFmtId="168" fontId="23" fillId="2" borderId="2" xfId="0" applyNumberFormat="1" applyFont="1" applyFill="1" applyBorder="1" applyAlignment="1">
      <alignment horizontal="right" vertical="center"/>
    </xf>
    <xf numFmtId="0" fontId="37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left" vertical="center"/>
    </xf>
    <xf numFmtId="37" fontId="35" fillId="0" borderId="1" xfId="0" applyNumberFormat="1" applyFont="1" applyBorder="1" applyAlignment="1">
      <alignment horizontal="center" vertical="center"/>
    </xf>
    <xf numFmtId="37" fontId="36" fillId="0" borderId="1" xfId="0" applyNumberFormat="1" applyFont="1" applyBorder="1" applyAlignment="1">
      <alignment horizontal="right" vertical="center"/>
    </xf>
    <xf numFmtId="37" fontId="36" fillId="0" borderId="1" xfId="0" applyNumberFormat="1" applyFont="1" applyBorder="1" applyAlignment="1">
      <alignment horizontal="left" vertical="center"/>
    </xf>
    <xf numFmtId="0" fontId="37" fillId="0" borderId="2" xfId="0" applyFont="1" applyBorder="1" applyAlignment="1">
      <alignment vertical="center"/>
    </xf>
    <xf numFmtId="168" fontId="37" fillId="0" borderId="2" xfId="0" applyNumberFormat="1" applyFont="1" applyBorder="1" applyAlignment="1">
      <alignment horizontal="right" vertical="center"/>
    </xf>
    <xf numFmtId="0" fontId="36" fillId="0" borderId="0" xfId="0" applyFont="1" applyAlignment="1">
      <alignment vertical="center"/>
    </xf>
    <xf numFmtId="0" fontId="36" fillId="0" borderId="0" xfId="0" applyFont="1" applyAlignment="1">
      <alignment horizontal="left" vertical="center"/>
    </xf>
    <xf numFmtId="0" fontId="38" fillId="0" borderId="0" xfId="0" applyFont="1" applyAlignment="1">
      <alignment vertical="center"/>
    </xf>
    <xf numFmtId="0" fontId="38" fillId="0" borderId="0" xfId="0" applyFont="1" applyAlignment="1">
      <alignment horizontal="left" vertical="center"/>
    </xf>
    <xf numFmtId="186" fontId="0" fillId="0" borderId="0" xfId="0" applyNumberFormat="1" applyAlignment="1">
      <alignment vertical="center"/>
    </xf>
    <xf numFmtId="0" fontId="23" fillId="4" borderId="2" xfId="0" applyFont="1" applyFill="1" applyBorder="1" applyAlignment="1">
      <alignment vertical="center"/>
    </xf>
    <xf numFmtId="0" fontId="37" fillId="4" borderId="2" xfId="0" applyFont="1" applyFill="1" applyBorder="1" applyAlignment="1">
      <alignment vertical="center"/>
    </xf>
    <xf numFmtId="168" fontId="37" fillId="4" borderId="2" xfId="0" applyNumberFormat="1" applyFont="1" applyFill="1" applyBorder="1" applyAlignment="1">
      <alignment horizontal="right" vertical="center"/>
    </xf>
    <xf numFmtId="0" fontId="23" fillId="0" borderId="1" xfId="0" applyFont="1" applyBorder="1" applyAlignment="1">
      <alignment vertical="center"/>
    </xf>
    <xf numFmtId="37" fontId="0" fillId="0" borderId="1" xfId="0" applyNumberFormat="1" applyBorder="1" applyAlignment="1">
      <alignment vertical="center"/>
    </xf>
    <xf numFmtId="0" fontId="36" fillId="0" borderId="1" xfId="0" applyFont="1" applyBorder="1" applyAlignment="1">
      <alignment horizontal="right" vertical="center"/>
    </xf>
    <xf numFmtId="0" fontId="38" fillId="0" borderId="1" xfId="0" applyFont="1" applyBorder="1" applyAlignment="1">
      <alignment horizontal="right" vertical="center"/>
    </xf>
    <xf numFmtId="177" fontId="36" fillId="0" borderId="0" xfId="0" applyNumberFormat="1" applyFont="1" applyAlignment="1">
      <alignment horizontal="right" vertical="center"/>
    </xf>
    <xf numFmtId="173" fontId="38" fillId="0" borderId="0" xfId="0" applyNumberFormat="1" applyFont="1" applyAlignment="1">
      <alignment horizontal="right" vertical="center"/>
    </xf>
    <xf numFmtId="176" fontId="36" fillId="0" borderId="0" xfId="0" applyNumberFormat="1" applyFont="1" applyAlignment="1">
      <alignment horizontal="right" vertical="center"/>
    </xf>
    <xf numFmtId="37" fontId="36" fillId="0" borderId="0" xfId="0" applyNumberFormat="1" applyFont="1" applyAlignment="1">
      <alignment horizontal="right" vertical="center"/>
    </xf>
    <xf numFmtId="37" fontId="38" fillId="0" borderId="0" xfId="0" applyNumberFormat="1" applyFont="1" applyAlignment="1">
      <alignment horizontal="right" vertical="center"/>
    </xf>
    <xf numFmtId="0" fontId="38" fillId="0" borderId="1" xfId="0" applyFont="1" applyBorder="1" applyAlignment="1">
      <alignment horizontal="left" vertical="center"/>
    </xf>
    <xf numFmtId="0" fontId="40" fillId="2" borderId="2" xfId="0" applyFont="1" applyFill="1" applyBorder="1" applyAlignment="1">
      <alignment horizontal="right" vertical="center"/>
    </xf>
    <xf numFmtId="37" fontId="39" fillId="2" borderId="2" xfId="0" applyNumberFormat="1" applyFont="1" applyFill="1" applyBorder="1" applyAlignment="1">
      <alignment vertical="center"/>
    </xf>
    <xf numFmtId="0" fontId="38" fillId="2" borderId="1" xfId="0" applyFont="1" applyFill="1" applyBorder="1" applyAlignment="1">
      <alignment vertical="center"/>
    </xf>
    <xf numFmtId="37" fontId="38" fillId="2" borderId="1" xfId="0" applyNumberFormat="1" applyFont="1" applyFill="1" applyBorder="1" applyAlignment="1">
      <alignment vertical="center"/>
    </xf>
    <xf numFmtId="0" fontId="36" fillId="2" borderId="1" xfId="0" applyFont="1" applyFill="1" applyBorder="1" applyAlignment="1">
      <alignment horizontal="right" vertical="center"/>
    </xf>
    <xf numFmtId="168" fontId="38" fillId="2" borderId="1" xfId="0" applyNumberFormat="1" applyFont="1" applyFill="1" applyBorder="1" applyAlignment="1">
      <alignment horizontal="right" vertical="center"/>
    </xf>
    <xf numFmtId="165" fontId="38" fillId="2" borderId="1" xfId="1" applyNumberFormat="1" applyFont="1" applyFill="1" applyBorder="1" applyAlignment="1">
      <alignment horizontal="right" vertical="center"/>
    </xf>
    <xf numFmtId="0" fontId="34" fillId="6" borderId="2" xfId="0" applyFont="1" applyFill="1" applyBorder="1" applyAlignment="1">
      <alignment vertical="center"/>
    </xf>
    <xf numFmtId="168" fontId="34" fillId="6" borderId="2" xfId="0" applyNumberFormat="1" applyFont="1" applyFill="1" applyBorder="1" applyAlignment="1">
      <alignment horizontal="right" vertical="center"/>
    </xf>
    <xf numFmtId="0" fontId="41" fillId="6" borderId="1" xfId="0" applyFont="1" applyFill="1" applyBorder="1" applyAlignment="1">
      <alignment vertical="center"/>
    </xf>
    <xf numFmtId="168" fontId="41" fillId="6" borderId="1" xfId="0" applyNumberFormat="1" applyFont="1" applyFill="1" applyBorder="1" applyAlignment="1">
      <alignment horizontal="right" vertical="center"/>
    </xf>
    <xf numFmtId="165" fontId="41" fillId="6" borderId="1" xfId="1" applyNumberFormat="1" applyFont="1" applyFill="1" applyBorder="1" applyAlignment="1">
      <alignment vertical="center"/>
    </xf>
    <xf numFmtId="175" fontId="36" fillId="0" borderId="0" xfId="0" applyNumberFormat="1" applyFont="1" applyAlignment="1">
      <alignment horizontal="right" vertical="center"/>
    </xf>
    <xf numFmtId="0" fontId="38" fillId="0" borderId="2" xfId="0" applyFont="1" applyBorder="1" applyAlignment="1">
      <alignment horizontal="left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168" fontId="43" fillId="0" borderId="0" xfId="0" applyNumberFormat="1" applyFont="1" applyAlignment="1">
      <alignment horizontal="right"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left" vertical="center"/>
    </xf>
    <xf numFmtId="166" fontId="16" fillId="0" borderId="0" xfId="0" applyNumberFormat="1" applyFont="1" applyAlignment="1">
      <alignment horizontal="right" vertical="center"/>
    </xf>
    <xf numFmtId="0" fontId="38" fillId="0" borderId="0" xfId="0" applyFont="1"/>
    <xf numFmtId="166" fontId="31" fillId="0" borderId="0" xfId="0" applyNumberFormat="1" applyFont="1" applyAlignment="1">
      <alignment horizontal="right" vertical="center"/>
    </xf>
    <xf numFmtId="0" fontId="45" fillId="7" borderId="4" xfId="0" applyFont="1" applyFill="1" applyBorder="1" applyAlignment="1">
      <alignment vertical="center"/>
    </xf>
    <xf numFmtId="168" fontId="45" fillId="7" borderId="4" xfId="0" applyNumberFormat="1" applyFont="1" applyFill="1" applyBorder="1" applyAlignment="1">
      <alignment vertical="center"/>
    </xf>
    <xf numFmtId="168" fontId="16" fillId="0" borderId="0" xfId="0" applyNumberFormat="1" applyFont="1" applyAlignment="1">
      <alignment horizontal="right" vertical="center"/>
    </xf>
    <xf numFmtId="166" fontId="38" fillId="0" borderId="0" xfId="0" applyNumberFormat="1" applyFont="1" applyAlignment="1">
      <alignment vertical="center"/>
    </xf>
    <xf numFmtId="166" fontId="0" fillId="0" borderId="0" xfId="0" applyNumberFormat="1" applyAlignment="1">
      <alignment vertical="center"/>
    </xf>
    <xf numFmtId="0" fontId="23" fillId="0" borderId="1" xfId="0" applyFont="1" applyBorder="1" applyAlignment="1">
      <alignment horizontal="right" vertical="center"/>
    </xf>
    <xf numFmtId="166" fontId="23" fillId="0" borderId="1" xfId="0" applyNumberFormat="1" applyFont="1" applyBorder="1" applyAlignment="1">
      <alignment horizontal="right" vertical="center"/>
    </xf>
    <xf numFmtId="0" fontId="23" fillId="4" borderId="0" xfId="0" applyFont="1" applyFill="1" applyAlignment="1">
      <alignment vertical="center"/>
    </xf>
    <xf numFmtId="168" fontId="23" fillId="4" borderId="0" xfId="0" applyNumberFormat="1" applyFont="1" applyFill="1" applyAlignment="1">
      <alignment vertical="center"/>
    </xf>
    <xf numFmtId="0" fontId="0" fillId="8" borderId="2" xfId="0" applyFill="1" applyBorder="1" applyAlignment="1">
      <alignment vertical="center"/>
    </xf>
    <xf numFmtId="168" fontId="0" fillId="8" borderId="2" xfId="0" applyNumberFormat="1" applyFill="1" applyBorder="1" applyAlignment="1">
      <alignment vertical="center"/>
    </xf>
    <xf numFmtId="0" fontId="0" fillId="8" borderId="0" xfId="0" applyFill="1" applyAlignment="1">
      <alignment vertical="center"/>
    </xf>
    <xf numFmtId="168" fontId="0" fillId="8" borderId="0" xfId="0" applyNumberFormat="1" applyFill="1" applyAlignment="1">
      <alignment vertical="center"/>
    </xf>
    <xf numFmtId="0" fontId="0" fillId="8" borderId="1" xfId="0" applyFill="1" applyBorder="1" applyAlignment="1">
      <alignment vertical="center"/>
    </xf>
    <xf numFmtId="168" fontId="0" fillId="8" borderId="1" xfId="0" applyNumberFormat="1" applyFill="1" applyBorder="1" applyAlignment="1">
      <alignment vertical="center"/>
    </xf>
    <xf numFmtId="168" fontId="23" fillId="4" borderId="2" xfId="0" applyNumberFormat="1" applyFont="1" applyFill="1" applyBorder="1" applyAlignment="1">
      <alignment vertical="center"/>
    </xf>
    <xf numFmtId="0" fontId="34" fillId="9" borderId="4" xfId="0" applyFont="1" applyFill="1" applyBorder="1" applyAlignment="1">
      <alignment vertical="center"/>
    </xf>
    <xf numFmtId="168" fontId="34" fillId="9" borderId="4" xfId="0" applyNumberFormat="1" applyFont="1" applyFill="1" applyBorder="1" applyAlignment="1">
      <alignment vertical="center"/>
    </xf>
    <xf numFmtId="9" fontId="23" fillId="0" borderId="0" xfId="1" applyFont="1" applyAlignment="1">
      <alignment vertical="center"/>
    </xf>
    <xf numFmtId="168" fontId="38" fillId="0" borderId="0" xfId="0" applyNumberFormat="1" applyFont="1" applyAlignment="1">
      <alignment vertical="center"/>
    </xf>
    <xf numFmtId="165" fontId="38" fillId="0" borderId="0" xfId="1" applyNumberFormat="1" applyFont="1" applyAlignment="1">
      <alignment vertical="center"/>
    </xf>
    <xf numFmtId="0" fontId="0" fillId="10" borderId="12" xfId="0" applyFill="1" applyBorder="1" applyAlignment="1">
      <alignment vertical="center"/>
    </xf>
    <xf numFmtId="0" fontId="0" fillId="10" borderId="2" xfId="0" applyFill="1" applyBorder="1" applyAlignment="1">
      <alignment vertical="center"/>
    </xf>
    <xf numFmtId="37" fontId="0" fillId="10" borderId="2" xfId="0" applyNumberFormat="1" applyFill="1" applyBorder="1" applyAlignment="1">
      <alignment vertical="center"/>
    </xf>
    <xf numFmtId="168" fontId="0" fillId="10" borderId="2" xfId="0" applyNumberFormat="1" applyFill="1" applyBorder="1" applyAlignment="1">
      <alignment vertical="center"/>
    </xf>
    <xf numFmtId="168" fontId="0" fillId="10" borderId="13" xfId="0" applyNumberFormat="1" applyFill="1" applyBorder="1" applyAlignment="1">
      <alignment horizontal="right" vertical="center"/>
    </xf>
    <xf numFmtId="0" fontId="0" fillId="10" borderId="5" xfId="0" applyFill="1" applyBorder="1" applyAlignment="1">
      <alignment vertical="center"/>
    </xf>
    <xf numFmtId="0" fontId="0" fillId="10" borderId="0" xfId="0" applyFill="1" applyAlignment="1">
      <alignment vertical="center"/>
    </xf>
    <xf numFmtId="37" fontId="0" fillId="10" borderId="0" xfId="0" applyNumberFormat="1" applyFill="1" applyAlignment="1">
      <alignment vertical="center"/>
    </xf>
    <xf numFmtId="168" fontId="0" fillId="10" borderId="0" xfId="0" applyNumberFormat="1" applyFill="1" applyAlignment="1">
      <alignment vertical="center"/>
    </xf>
    <xf numFmtId="168" fontId="0" fillId="10" borderId="6" xfId="0" applyNumberFormat="1" applyFill="1" applyBorder="1" applyAlignment="1">
      <alignment horizontal="right" vertical="center"/>
    </xf>
    <xf numFmtId="0" fontId="0" fillId="10" borderId="7" xfId="0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37" fontId="0" fillId="10" borderId="1" xfId="0" applyNumberFormat="1" applyFill="1" applyBorder="1" applyAlignment="1">
      <alignment vertical="center"/>
    </xf>
    <xf numFmtId="168" fontId="0" fillId="10" borderId="1" xfId="0" applyNumberFormat="1" applyFill="1" applyBorder="1" applyAlignment="1">
      <alignment vertical="center"/>
    </xf>
    <xf numFmtId="168" fontId="0" fillId="10" borderId="8" xfId="0" applyNumberFormat="1" applyFill="1" applyBorder="1" applyAlignment="1">
      <alignment horizontal="right" vertical="center"/>
    </xf>
    <xf numFmtId="164" fontId="5" fillId="0" borderId="2" xfId="0" applyNumberFormat="1" applyFont="1" applyBorder="1" applyAlignment="1">
      <alignment vertical="center"/>
    </xf>
    <xf numFmtId="10" fontId="5" fillId="0" borderId="0" xfId="1" applyNumberFormat="1" applyFont="1" applyAlignment="1">
      <alignment vertical="center"/>
    </xf>
    <xf numFmtId="37" fontId="6" fillId="0" borderId="2" xfId="0" applyNumberFormat="1" applyFont="1" applyBorder="1" applyAlignment="1">
      <alignment vertical="center"/>
    </xf>
    <xf numFmtId="37" fontId="46" fillId="0" borderId="0" xfId="0" applyNumberFormat="1" applyFont="1" applyAlignment="1">
      <alignment vertical="center"/>
    </xf>
    <xf numFmtId="0" fontId="23" fillId="0" borderId="1" xfId="0" applyFont="1" applyBorder="1" applyAlignment="1">
      <alignment horizontal="left" vertical="center"/>
    </xf>
    <xf numFmtId="10" fontId="0" fillId="0" borderId="0" xfId="0" applyNumberFormat="1" applyAlignment="1">
      <alignment horizontal="left" vertical="center"/>
    </xf>
    <xf numFmtId="10" fontId="0" fillId="0" borderId="1" xfId="0" applyNumberFormat="1" applyBorder="1" applyAlignment="1">
      <alignment horizontal="left" vertical="center"/>
    </xf>
    <xf numFmtId="168" fontId="0" fillId="0" borderId="1" xfId="0" applyNumberFormat="1" applyBorder="1" applyAlignment="1">
      <alignment horizontal="right" vertical="center"/>
    </xf>
    <xf numFmtId="5" fontId="0" fillId="0" borderId="1" xfId="0" applyNumberFormat="1" applyBorder="1" applyAlignment="1">
      <alignment horizontal="right" vertical="center"/>
    </xf>
    <xf numFmtId="9" fontId="5" fillId="0" borderId="0" xfId="1" applyFont="1" applyAlignment="1">
      <alignment horizontal="right" vertical="center"/>
    </xf>
    <xf numFmtId="172" fontId="1" fillId="5" borderId="0" xfId="1" applyNumberFormat="1" applyFont="1" applyFill="1" applyAlignment="1">
      <alignment vertical="center"/>
    </xf>
    <xf numFmtId="192" fontId="1" fillId="0" borderId="0" xfId="3" applyNumberFormat="1" applyFont="1" applyAlignment="1">
      <alignment vertical="center"/>
    </xf>
    <xf numFmtId="0" fontId="18" fillId="0" borderId="0" xfId="4" applyFont="1" applyAlignment="1">
      <alignment vertical="center"/>
    </xf>
    <xf numFmtId="3" fontId="18" fillId="0" borderId="0" xfId="4" applyNumberFormat="1" applyFont="1" applyAlignment="1">
      <alignment vertical="center"/>
    </xf>
    <xf numFmtId="0" fontId="18" fillId="0" borderId="0" xfId="4" applyFont="1"/>
    <xf numFmtId="0" fontId="18" fillId="0" borderId="0" xfId="4" applyFont="1" applyAlignment="1">
      <alignment vertical="top"/>
    </xf>
    <xf numFmtId="3" fontId="18" fillId="0" borderId="0" xfId="4" applyNumberFormat="1" applyFont="1" applyAlignment="1">
      <alignment vertical="top"/>
    </xf>
    <xf numFmtId="0" fontId="19" fillId="8" borderId="16" xfId="4" applyFont="1" applyFill="1" applyBorder="1" applyAlignment="1">
      <alignment horizontal="center" vertical="top"/>
    </xf>
    <xf numFmtId="0" fontId="49" fillId="0" borderId="16" xfId="5" applyFont="1" applyBorder="1"/>
    <xf numFmtId="0" fontId="19" fillId="11" borderId="21" xfId="6" applyFont="1" applyFill="1" applyBorder="1" applyAlignment="1">
      <alignment vertical="top"/>
    </xf>
    <xf numFmtId="6" fontId="19" fillId="11" borderId="22" xfId="4" applyNumberFormat="1" applyFont="1" applyFill="1" applyBorder="1" applyAlignment="1">
      <alignment vertical="top"/>
    </xf>
    <xf numFmtId="193" fontId="19" fillId="11" borderId="23" xfId="7" applyNumberFormat="1" applyFont="1" applyFill="1" applyBorder="1" applyAlignment="1">
      <alignment vertical="top"/>
    </xf>
    <xf numFmtId="0" fontId="18" fillId="0" borderId="19" xfId="4" applyFont="1" applyBorder="1"/>
    <xf numFmtId="0" fontId="18" fillId="0" borderId="11" xfId="4" applyFont="1" applyBorder="1" applyAlignment="1">
      <alignment horizontal="center"/>
    </xf>
    <xf numFmtId="6" fontId="18" fillId="0" borderId="11" xfId="4" applyNumberFormat="1" applyFont="1" applyBorder="1" applyAlignment="1">
      <alignment horizontal="center"/>
    </xf>
    <xf numFmtId="193" fontId="18" fillId="0" borderId="11" xfId="4" applyNumberFormat="1" applyFont="1" applyBorder="1" applyAlignment="1">
      <alignment horizontal="center"/>
    </xf>
    <xf numFmtId="193" fontId="18" fillId="0" borderId="20" xfId="4" applyNumberFormat="1" applyFont="1" applyBorder="1" applyAlignment="1">
      <alignment horizontal="center"/>
    </xf>
    <xf numFmtId="0" fontId="18" fillId="0" borderId="19" xfId="6" applyFont="1" applyBorder="1" applyAlignment="1">
      <alignment vertical="top"/>
    </xf>
    <xf numFmtId="6" fontId="18" fillId="0" borderId="11" xfId="4" applyNumberFormat="1" applyFont="1" applyBorder="1" applyAlignment="1">
      <alignment vertical="top"/>
    </xf>
    <xf numFmtId="37" fontId="18" fillId="0" borderId="20" xfId="7" applyNumberFormat="1" applyFont="1" applyBorder="1" applyAlignment="1">
      <alignment vertical="top"/>
    </xf>
    <xf numFmtId="6" fontId="18" fillId="0" borderId="20" xfId="4" applyNumberFormat="1" applyFont="1" applyBorder="1" applyAlignment="1">
      <alignment horizontal="center"/>
    </xf>
    <xf numFmtId="0" fontId="19" fillId="11" borderId="19" xfId="6" applyFont="1" applyFill="1" applyBorder="1" applyAlignment="1">
      <alignment vertical="top"/>
    </xf>
    <xf numFmtId="6" fontId="19" fillId="11" borderId="11" xfId="4" applyNumberFormat="1" applyFont="1" applyFill="1" applyBorder="1" applyAlignment="1">
      <alignment vertical="top"/>
    </xf>
    <xf numFmtId="193" fontId="19" fillId="11" borderId="20" xfId="7" applyNumberFormat="1" applyFont="1" applyFill="1" applyBorder="1" applyAlignment="1">
      <alignment vertical="top"/>
    </xf>
    <xf numFmtId="0" fontId="18" fillId="0" borderId="19" xfId="4" applyFont="1" applyBorder="1" applyAlignment="1">
      <alignment vertical="top"/>
    </xf>
    <xf numFmtId="43" fontId="18" fillId="0" borderId="20" xfId="4" applyNumberFormat="1" applyFont="1" applyBorder="1" applyAlignment="1">
      <alignment vertical="top"/>
    </xf>
    <xf numFmtId="5" fontId="19" fillId="11" borderId="20" xfId="6" applyNumberFormat="1" applyFont="1" applyFill="1" applyBorder="1" applyAlignment="1">
      <alignment vertical="top"/>
    </xf>
    <xf numFmtId="0" fontId="19" fillId="11" borderId="19" xfId="4" applyFont="1" applyFill="1" applyBorder="1"/>
    <xf numFmtId="0" fontId="19" fillId="11" borderId="11" xfId="4" applyFont="1" applyFill="1" applyBorder="1" applyAlignment="1">
      <alignment horizontal="center"/>
    </xf>
    <xf numFmtId="193" fontId="19" fillId="11" borderId="11" xfId="4" applyNumberFormat="1" applyFont="1" applyFill="1" applyBorder="1" applyAlignment="1">
      <alignment horizontal="center"/>
    </xf>
    <xf numFmtId="193" fontId="18" fillId="11" borderId="11" xfId="4" applyNumberFormat="1" applyFont="1" applyFill="1" applyBorder="1" applyAlignment="1">
      <alignment horizontal="center"/>
    </xf>
    <xf numFmtId="193" fontId="19" fillId="11" borderId="20" xfId="4" applyNumberFormat="1" applyFont="1" applyFill="1" applyBorder="1" applyAlignment="1">
      <alignment horizontal="center"/>
    </xf>
    <xf numFmtId="0" fontId="18" fillId="0" borderId="24" xfId="4" applyFont="1" applyBorder="1" applyAlignment="1">
      <alignment vertical="top"/>
    </xf>
    <xf numFmtId="3" fontId="18" fillId="0" borderId="25" xfId="4" applyNumberFormat="1" applyFont="1" applyBorder="1" applyAlignment="1">
      <alignment vertical="top"/>
    </xf>
    <xf numFmtId="0" fontId="19" fillId="11" borderId="26" xfId="4" applyFont="1" applyFill="1" applyBorder="1"/>
    <xf numFmtId="0" fontId="18" fillId="11" borderId="27" xfId="4" applyFont="1" applyFill="1" applyBorder="1" applyAlignment="1">
      <alignment horizontal="center"/>
    </xf>
    <xf numFmtId="193" fontId="18" fillId="11" borderId="27" xfId="4" applyNumberFormat="1" applyFont="1" applyFill="1" applyBorder="1" applyAlignment="1">
      <alignment horizontal="center"/>
    </xf>
    <xf numFmtId="193" fontId="19" fillId="11" borderId="27" xfId="4" applyNumberFormat="1" applyFont="1" applyFill="1" applyBorder="1" applyAlignment="1">
      <alignment horizontal="center"/>
    </xf>
    <xf numFmtId="193" fontId="19" fillId="11" borderId="28" xfId="4" applyNumberFormat="1" applyFont="1" applyFill="1" applyBorder="1" applyAlignment="1">
      <alignment horizontal="center"/>
    </xf>
    <xf numFmtId="0" fontId="53" fillId="0" borderId="19" xfId="6" applyFont="1" applyBorder="1" applyAlignment="1">
      <alignment vertical="top"/>
    </xf>
    <xf numFmtId="0" fontId="18" fillId="0" borderId="11" xfId="4" applyFont="1" applyBorder="1" applyAlignment="1">
      <alignment vertical="top"/>
    </xf>
    <xf numFmtId="3" fontId="18" fillId="0" borderId="20" xfId="6" applyNumberFormat="1" applyFont="1" applyBorder="1" applyAlignment="1">
      <alignment vertical="top"/>
    </xf>
    <xf numFmtId="0" fontId="50" fillId="0" borderId="0" xfId="4" applyFont="1" applyAlignment="1">
      <alignment horizontal="center"/>
    </xf>
    <xf numFmtId="192" fontId="18" fillId="0" borderId="11" xfId="9" applyNumberFormat="1" applyFont="1" applyBorder="1"/>
    <xf numFmtId="6" fontId="54" fillId="0" borderId="20" xfId="10" applyNumberFormat="1" applyFont="1" applyBorder="1" applyAlignment="1">
      <alignment horizontal="right" vertical="top"/>
    </xf>
    <xf numFmtId="6" fontId="18" fillId="0" borderId="0" xfId="4" applyNumberFormat="1" applyFont="1" applyAlignment="1">
      <alignment horizontal="center"/>
    </xf>
    <xf numFmtId="193" fontId="54" fillId="0" borderId="20" xfId="10" applyNumberFormat="1" applyFont="1" applyBorder="1" applyAlignment="1">
      <alignment vertical="top"/>
    </xf>
    <xf numFmtId="193" fontId="19" fillId="0" borderId="0" xfId="4" applyNumberFormat="1" applyFont="1" applyAlignment="1">
      <alignment horizontal="center"/>
    </xf>
    <xf numFmtId="193" fontId="18" fillId="0" borderId="0" xfId="4" applyNumberFormat="1" applyFont="1" applyAlignment="1">
      <alignment horizontal="center"/>
    </xf>
    <xf numFmtId="192" fontId="54" fillId="0" borderId="0" xfId="10" applyNumberFormat="1" applyFont="1" applyBorder="1" applyAlignment="1">
      <alignment vertical="top"/>
    </xf>
    <xf numFmtId="193" fontId="19" fillId="11" borderId="11" xfId="7" applyNumberFormat="1" applyFont="1" applyFill="1" applyBorder="1" applyAlignment="1"/>
    <xf numFmtId="5" fontId="19" fillId="11" borderId="20" xfId="7" applyNumberFormat="1" applyFont="1" applyFill="1" applyBorder="1" applyAlignment="1">
      <alignment vertical="top"/>
    </xf>
    <xf numFmtId="193" fontId="19" fillId="11" borderId="11" xfId="6" applyNumberFormat="1" applyFont="1" applyFill="1" applyBorder="1" applyAlignment="1">
      <alignment vertical="top"/>
    </xf>
    <xf numFmtId="193" fontId="19" fillId="11" borderId="20" xfId="6" applyNumberFormat="1" applyFont="1" applyFill="1" applyBorder="1" applyAlignment="1">
      <alignment vertical="top"/>
    </xf>
    <xf numFmtId="0" fontId="56" fillId="0" borderId="19" xfId="4" applyFont="1" applyBorder="1" applyAlignment="1">
      <alignment vertical="top"/>
    </xf>
    <xf numFmtId="0" fontId="56" fillId="0" borderId="11" xfId="4" applyFont="1" applyBorder="1"/>
    <xf numFmtId="3" fontId="56" fillId="0" borderId="20" xfId="4" applyNumberFormat="1" applyFont="1" applyBorder="1" applyAlignment="1">
      <alignment vertical="top"/>
    </xf>
    <xf numFmtId="0" fontId="19" fillId="11" borderId="26" xfId="6" applyFont="1" applyFill="1" applyBorder="1" applyAlignment="1">
      <alignment vertical="top"/>
    </xf>
    <xf numFmtId="37" fontId="19" fillId="11" borderId="27" xfId="6" applyNumberFormat="1" applyFont="1" applyFill="1" applyBorder="1"/>
    <xf numFmtId="193" fontId="19" fillId="11" borderId="28" xfId="6" applyNumberFormat="1" applyFont="1" applyFill="1" applyBorder="1" applyAlignment="1">
      <alignment vertical="top"/>
    </xf>
    <xf numFmtId="0" fontId="18" fillId="0" borderId="26" xfId="4" applyFont="1" applyBorder="1"/>
    <xf numFmtId="0" fontId="50" fillId="0" borderId="0" xfId="4" applyFont="1"/>
    <xf numFmtId="10" fontId="54" fillId="0" borderId="0" xfId="8" applyNumberFormat="1" applyFont="1" applyFill="1" applyBorder="1" applyAlignment="1">
      <alignment horizontal="center"/>
    </xf>
    <xf numFmtId="8" fontId="19" fillId="0" borderId="0" xfId="4" applyNumberFormat="1" applyFont="1"/>
    <xf numFmtId="0" fontId="19" fillId="0" borderId="0" xfId="4" applyFont="1"/>
    <xf numFmtId="10" fontId="19" fillId="0" borderId="0" xfId="4" applyNumberFormat="1" applyFont="1"/>
    <xf numFmtId="9" fontId="18" fillId="0" borderId="0" xfId="4" applyNumberFormat="1" applyFont="1"/>
    <xf numFmtId="44" fontId="49" fillId="11" borderId="11" xfId="12" applyFont="1" applyFill="1" applyBorder="1"/>
    <xf numFmtId="0" fontId="24" fillId="0" borderId="1" xfId="0" applyFont="1" applyBorder="1" applyAlignment="1">
      <alignment vertical="center"/>
    </xf>
    <xf numFmtId="170" fontId="5" fillId="0" borderId="1" xfId="0" applyNumberFormat="1" applyFont="1" applyBorder="1" applyAlignment="1">
      <alignment vertical="center"/>
    </xf>
    <xf numFmtId="169" fontId="3" fillId="0" borderId="0" xfId="0" applyNumberFormat="1" applyFont="1" applyAlignment="1">
      <alignment vertical="center"/>
    </xf>
    <xf numFmtId="169" fontId="6" fillId="0" borderId="2" xfId="0" applyNumberFormat="1" applyFont="1" applyBorder="1" applyAlignment="1">
      <alignment vertical="center"/>
    </xf>
    <xf numFmtId="43" fontId="1" fillId="0" borderId="0" xfId="3" applyFont="1" applyFill="1" applyAlignment="1">
      <alignment vertical="center"/>
    </xf>
    <xf numFmtId="195" fontId="5" fillId="0" borderId="0" xfId="0" applyNumberFormat="1" applyFont="1" applyAlignment="1">
      <alignment horizontal="right" vertical="center"/>
    </xf>
    <xf numFmtId="195" fontId="5" fillId="0" borderId="1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right" vertical="center"/>
    </xf>
    <xf numFmtId="168" fontId="27" fillId="2" borderId="2" xfId="0" applyNumberFormat="1" applyFont="1" applyFill="1" applyBorder="1" applyAlignment="1">
      <alignment horizontal="right" vertical="center"/>
    </xf>
    <xf numFmtId="168" fontId="59" fillId="0" borderId="0" xfId="0" applyNumberFormat="1" applyFont="1" applyAlignment="1">
      <alignment horizontal="right" vertical="center"/>
    </xf>
    <xf numFmtId="165" fontId="60" fillId="0" borderId="0" xfId="1" applyNumberFormat="1" applyFont="1" applyAlignment="1">
      <alignment vertical="center"/>
    </xf>
    <xf numFmtId="9" fontId="16" fillId="0" borderId="0" xfId="0" applyNumberFormat="1" applyFont="1" applyAlignment="1">
      <alignment horizontal="right" vertical="center"/>
    </xf>
    <xf numFmtId="165" fontId="27" fillId="0" borderId="13" xfId="1" applyNumberFormat="1" applyFont="1" applyBorder="1" applyAlignment="1">
      <alignment vertical="center"/>
    </xf>
    <xf numFmtId="172" fontId="27" fillId="0" borderId="8" xfId="0" applyNumberFormat="1" applyFont="1" applyBorder="1" applyAlignment="1">
      <alignment vertical="center"/>
    </xf>
    <xf numFmtId="0" fontId="61" fillId="0" borderId="0" xfId="0" applyFont="1" applyAlignment="1">
      <alignment vertical="center"/>
    </xf>
    <xf numFmtId="165" fontId="46" fillId="0" borderId="0" xfId="1" applyNumberFormat="1" applyFont="1" applyAlignment="1">
      <alignment horizontal="center" vertical="center"/>
    </xf>
    <xf numFmtId="0" fontId="50" fillId="12" borderId="16" xfId="4" applyFont="1" applyFill="1" applyBorder="1" applyAlignment="1">
      <alignment vertical="top"/>
    </xf>
    <xf numFmtId="0" fontId="50" fillId="12" borderId="18" xfId="4" applyFont="1" applyFill="1" applyBorder="1" applyAlignment="1">
      <alignment horizontal="center" vertical="top"/>
    </xf>
    <xf numFmtId="3" fontId="50" fillId="12" borderId="16" xfId="4" applyNumberFormat="1" applyFont="1" applyFill="1" applyBorder="1" applyAlignment="1">
      <alignment horizontal="center" vertical="top"/>
    </xf>
    <xf numFmtId="0" fontId="50" fillId="12" borderId="19" xfId="4" applyFont="1" applyFill="1" applyBorder="1"/>
    <xf numFmtId="0" fontId="50" fillId="12" borderId="11" xfId="4" applyFont="1" applyFill="1" applyBorder="1" applyAlignment="1">
      <alignment horizontal="center"/>
    </xf>
    <xf numFmtId="0" fontId="50" fillId="12" borderId="20" xfId="4" applyFont="1" applyFill="1" applyBorder="1" applyAlignment="1">
      <alignment horizontal="center"/>
    </xf>
    <xf numFmtId="193" fontId="18" fillId="0" borderId="20" xfId="4" applyNumberFormat="1" applyFont="1" applyBorder="1" applyAlignment="1">
      <alignment vertical="top"/>
    </xf>
    <xf numFmtId="0" fontId="50" fillId="12" borderId="19" xfId="4" applyFont="1" applyFill="1" applyBorder="1" applyAlignment="1">
      <alignment vertical="top"/>
    </xf>
    <xf numFmtId="0" fontId="50" fillId="12" borderId="11" xfId="4" applyFont="1" applyFill="1" applyBorder="1" applyAlignment="1">
      <alignment horizontal="center" vertical="top"/>
    </xf>
    <xf numFmtId="3" fontId="50" fillId="12" borderId="20" xfId="4" applyNumberFormat="1" applyFont="1" applyFill="1" applyBorder="1" applyAlignment="1">
      <alignment horizontal="center" vertical="top"/>
    </xf>
    <xf numFmtId="0" fontId="54" fillId="0" borderId="0" xfId="5" applyFont="1" applyAlignment="1">
      <alignment horizontal="center"/>
    </xf>
    <xf numFmtId="0" fontId="57" fillId="0" borderId="0" xfId="5" applyFont="1" applyAlignment="1">
      <alignment vertical="center"/>
    </xf>
    <xf numFmtId="0" fontId="49" fillId="0" borderId="0" xfId="5" applyFont="1"/>
    <xf numFmtId="8" fontId="58" fillId="0" borderId="0" xfId="5" applyNumberFormat="1" applyFont="1"/>
    <xf numFmtId="193" fontId="49" fillId="0" borderId="0" xfId="5" applyNumberFormat="1" applyFont="1" applyAlignment="1">
      <alignment horizontal="center"/>
    </xf>
    <xf numFmtId="10" fontId="58" fillId="0" borderId="0" xfId="5" applyNumberFormat="1" applyFont="1"/>
    <xf numFmtId="0" fontId="58" fillId="0" borderId="0" xfId="5" applyFont="1"/>
    <xf numFmtId="8" fontId="54" fillId="0" borderId="0" xfId="5" applyNumberFormat="1" applyFont="1"/>
    <xf numFmtId="6" fontId="54" fillId="0" borderId="0" xfId="5" applyNumberFormat="1" applyFont="1"/>
    <xf numFmtId="193" fontId="54" fillId="0" borderId="0" xfId="5" applyNumberFormat="1" applyFont="1" applyAlignment="1">
      <alignment horizontal="center"/>
    </xf>
    <xf numFmtId="2" fontId="54" fillId="0" borderId="0" xfId="5" applyNumberFormat="1" applyFont="1"/>
    <xf numFmtId="0" fontId="54" fillId="0" borderId="0" xfId="5" applyFont="1"/>
    <xf numFmtId="49" fontId="50" fillId="12" borderId="11" xfId="5" applyNumberFormat="1" applyFont="1" applyFill="1" applyBorder="1" applyAlignment="1">
      <alignment horizontal="center"/>
    </xf>
    <xf numFmtId="0" fontId="4" fillId="0" borderId="11" xfId="5" applyFont="1" applyBorder="1" applyAlignment="1">
      <alignment horizontal="center"/>
    </xf>
    <xf numFmtId="194" fontId="4" fillId="0" borderId="11" xfId="12" applyNumberFormat="1" applyFont="1" applyFill="1" applyBorder="1" applyAlignment="1">
      <alignment horizontal="center"/>
    </xf>
    <xf numFmtId="194" fontId="4" fillId="0" borderId="11" xfId="5" applyNumberFormat="1" applyFont="1" applyBorder="1"/>
    <xf numFmtId="194" fontId="54" fillId="0" borderId="11" xfId="5" applyNumberFormat="1" applyFont="1" applyBorder="1"/>
    <xf numFmtId="44" fontId="54" fillId="0" borderId="0" xfId="5" applyNumberFormat="1" applyFont="1"/>
    <xf numFmtId="0" fontId="4" fillId="0" borderId="11" xfId="12" applyNumberFormat="1" applyFont="1" applyFill="1" applyBorder="1" applyAlignment="1">
      <alignment horizontal="center"/>
    </xf>
    <xf numFmtId="194" fontId="4" fillId="0" borderId="11" xfId="5" applyNumberFormat="1" applyFont="1" applyBorder="1" applyAlignment="1">
      <alignment horizontal="center"/>
    </xf>
    <xf numFmtId="0" fontId="49" fillId="11" borderId="11" xfId="5" applyFont="1" applyFill="1" applyBorder="1" applyAlignment="1">
      <alignment horizontal="right"/>
    </xf>
    <xf numFmtId="0" fontId="49" fillId="11" borderId="11" xfId="5" applyFont="1" applyFill="1" applyBorder="1" applyAlignment="1">
      <alignment horizontal="center"/>
    </xf>
    <xf numFmtId="194" fontId="54" fillId="0" borderId="0" xfId="5" applyNumberFormat="1" applyFont="1"/>
    <xf numFmtId="0" fontId="2" fillId="5" borderId="0" xfId="0" applyFont="1" applyFill="1" applyAlignment="1">
      <alignment horizontal="center" vertical="center" wrapText="1"/>
    </xf>
    <xf numFmtId="0" fontId="18" fillId="0" borderId="11" xfId="4" applyFont="1" applyBorder="1"/>
    <xf numFmtId="0" fontId="18" fillId="0" borderId="20" xfId="4" applyFont="1" applyBorder="1"/>
    <xf numFmtId="0" fontId="18" fillId="0" borderId="27" xfId="4" applyFont="1" applyBorder="1"/>
    <xf numFmtId="0" fontId="18" fillId="0" borderId="28" xfId="4" applyFont="1" applyBorder="1"/>
    <xf numFmtId="9" fontId="18" fillId="0" borderId="11" xfId="4" applyNumberFormat="1" applyFont="1" applyBorder="1" applyAlignment="1">
      <alignment horizontal="left"/>
    </xf>
    <xf numFmtId="9" fontId="18" fillId="0" borderId="20" xfId="4" applyNumberFormat="1" applyFont="1" applyBorder="1" applyAlignment="1">
      <alignment horizontal="left"/>
    </xf>
    <xf numFmtId="0" fontId="50" fillId="12" borderId="19" xfId="4" applyFont="1" applyFill="1" applyBorder="1"/>
    <xf numFmtId="0" fontId="50" fillId="12" borderId="11" xfId="4" applyFont="1" applyFill="1" applyBorder="1"/>
    <xf numFmtId="0" fontId="50" fillId="12" borderId="20" xfId="4" applyFont="1" applyFill="1" applyBorder="1"/>
    <xf numFmtId="0" fontId="34" fillId="12" borderId="14" xfId="4" applyFont="1" applyFill="1" applyBorder="1" applyAlignment="1">
      <alignment horizontal="center" vertical="center"/>
    </xf>
    <xf numFmtId="0" fontId="34" fillId="12" borderId="15" xfId="4" applyFont="1" applyFill="1" applyBorder="1" applyAlignment="1">
      <alignment horizontal="center" vertical="center"/>
    </xf>
    <xf numFmtId="0" fontId="50" fillId="12" borderId="17" xfId="4" applyFont="1" applyFill="1" applyBorder="1" applyAlignment="1">
      <alignment horizontal="center"/>
    </xf>
    <xf numFmtId="0" fontId="50" fillId="12" borderId="1" xfId="4" applyFont="1" applyFill="1" applyBorder="1" applyAlignment="1">
      <alignment horizontal="center"/>
    </xf>
    <xf numFmtId="0" fontId="50" fillId="12" borderId="21" xfId="4" applyFont="1" applyFill="1" applyBorder="1" applyAlignment="1">
      <alignment horizontal="center"/>
    </xf>
    <xf numFmtId="0" fontId="50" fillId="12" borderId="22" xfId="4" applyFont="1" applyFill="1" applyBorder="1" applyAlignment="1">
      <alignment horizontal="center"/>
    </xf>
    <xf numFmtId="0" fontId="50" fillId="12" borderId="23" xfId="4" applyFont="1" applyFill="1" applyBorder="1" applyAlignment="1">
      <alignment horizontal="center"/>
    </xf>
    <xf numFmtId="49" fontId="50" fillId="12" borderId="9" xfId="5" applyNumberFormat="1" applyFont="1" applyFill="1" applyBorder="1" applyAlignment="1">
      <alignment horizontal="center" vertical="center"/>
    </xf>
    <xf numFmtId="49" fontId="50" fillId="12" borderId="4" xfId="5" applyNumberFormat="1" applyFont="1" applyFill="1" applyBorder="1" applyAlignment="1">
      <alignment horizontal="center" vertical="center"/>
    </xf>
    <xf numFmtId="49" fontId="50" fillId="12" borderId="10" xfId="5" applyNumberFormat="1" applyFont="1" applyFill="1" applyBorder="1" applyAlignment="1">
      <alignment horizontal="center" vertical="center"/>
    </xf>
  </cellXfs>
  <cellStyles count="13">
    <cellStyle name="Comma" xfId="3" builtinId="3"/>
    <cellStyle name="Comma 2" xfId="9" xr:uid="{36AAC70F-C7A1-424B-918D-035D1C85EAB0}"/>
    <cellStyle name="Comma 2 4 2" xfId="10" xr:uid="{DC04642E-1531-4580-B402-48E3540B4CEF}"/>
    <cellStyle name="Comma_COVER_COVER_COVER (2)" xfId="7" xr:uid="{0EBED46A-FB98-490D-91E8-807FE599782C}"/>
    <cellStyle name="Currency 2" xfId="12" xr:uid="{FA78A7B3-D27D-4BA0-9A28-A43AC864C2AF}"/>
    <cellStyle name="Normal" xfId="0" builtinId="0"/>
    <cellStyle name="Normal 2" xfId="2" xr:uid="{67A52563-4D23-4507-B449-E698DFFF48BF}"/>
    <cellStyle name="Normal 2 2 2 3" xfId="4" xr:uid="{93D63332-EDC0-44B7-8F1E-EBA031B8F14C}"/>
    <cellStyle name="Normal 3" xfId="11" xr:uid="{4964DB5D-7180-4D4B-B4F5-37CA1880A384}"/>
    <cellStyle name="Normal 3 2" xfId="5" xr:uid="{776CF451-407D-4163-B0E0-8EA5B671ADB0}"/>
    <cellStyle name="Normal_COVER_COVER_COVER (2)" xfId="6" xr:uid="{65233263-D52F-43B1-AEE7-23C8504D375A}"/>
    <cellStyle name="Percent" xfId="1" builtinId="5"/>
    <cellStyle name="Percent 2" xfId="8" xr:uid="{C5951720-DE68-4D1A-9217-290610B79C53}"/>
  </cellStyles>
  <dxfs count="0"/>
  <tableStyles count="0" defaultTableStyle="TableStyleMedium2" defaultPivotStyle="PivotStyleLight16"/>
  <colors>
    <mruColors>
      <color rgb="FF0000FF"/>
      <color rgb="FFEBF3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1-month Term SOFR</c:v>
          </c:tx>
          <c:spPr>
            <a:ln>
              <a:solidFill>
                <a:srgbClr val="004578"/>
              </a:solidFill>
            </a:ln>
          </c:spPr>
          <c:marker>
            <c:symbol val="none"/>
          </c:marker>
          <c:cat>
            <c:numRef>
              <c:f>'1-month Term SOFR'!$P$12:$P$132</c:f>
              <c:numCache>
                <c:formatCode>m/d/yyyy</c:formatCode>
                <c:ptCount val="121"/>
                <c:pt idx="0">
                  <c:v>45727</c:v>
                </c:pt>
                <c:pt idx="1">
                  <c:v>45758</c:v>
                </c:pt>
                <c:pt idx="2">
                  <c:v>45789</c:v>
                </c:pt>
                <c:pt idx="3">
                  <c:v>45819</c:v>
                </c:pt>
                <c:pt idx="4">
                  <c:v>45849</c:v>
                </c:pt>
                <c:pt idx="5">
                  <c:v>45880</c:v>
                </c:pt>
                <c:pt idx="6">
                  <c:v>45911</c:v>
                </c:pt>
                <c:pt idx="7">
                  <c:v>45944</c:v>
                </c:pt>
                <c:pt idx="8">
                  <c:v>45973</c:v>
                </c:pt>
                <c:pt idx="9">
                  <c:v>46002</c:v>
                </c:pt>
                <c:pt idx="10">
                  <c:v>46034</c:v>
                </c:pt>
                <c:pt idx="11">
                  <c:v>46064</c:v>
                </c:pt>
                <c:pt idx="12">
                  <c:v>46092</c:v>
                </c:pt>
                <c:pt idx="13">
                  <c:v>46125</c:v>
                </c:pt>
                <c:pt idx="14">
                  <c:v>46153</c:v>
                </c:pt>
                <c:pt idx="15">
                  <c:v>46184</c:v>
                </c:pt>
                <c:pt idx="16">
                  <c:v>46216</c:v>
                </c:pt>
                <c:pt idx="17">
                  <c:v>46245</c:v>
                </c:pt>
                <c:pt idx="18">
                  <c:v>46276</c:v>
                </c:pt>
                <c:pt idx="19">
                  <c:v>46308</c:v>
                </c:pt>
                <c:pt idx="20">
                  <c:v>46338</c:v>
                </c:pt>
                <c:pt idx="21">
                  <c:v>46367</c:v>
                </c:pt>
                <c:pt idx="22">
                  <c:v>46398</c:v>
                </c:pt>
                <c:pt idx="23">
                  <c:v>46429</c:v>
                </c:pt>
                <c:pt idx="24">
                  <c:v>46457</c:v>
                </c:pt>
                <c:pt idx="25">
                  <c:v>46489</c:v>
                </c:pt>
                <c:pt idx="26">
                  <c:v>46518</c:v>
                </c:pt>
                <c:pt idx="27">
                  <c:v>46549</c:v>
                </c:pt>
                <c:pt idx="28">
                  <c:v>46580</c:v>
                </c:pt>
                <c:pt idx="29">
                  <c:v>46610</c:v>
                </c:pt>
                <c:pt idx="30">
                  <c:v>46643</c:v>
                </c:pt>
                <c:pt idx="31">
                  <c:v>46672</c:v>
                </c:pt>
                <c:pt idx="32">
                  <c:v>46703</c:v>
                </c:pt>
                <c:pt idx="33">
                  <c:v>46734</c:v>
                </c:pt>
                <c:pt idx="34">
                  <c:v>46763</c:v>
                </c:pt>
                <c:pt idx="35">
                  <c:v>46794</c:v>
                </c:pt>
                <c:pt idx="36">
                  <c:v>46825</c:v>
                </c:pt>
                <c:pt idx="37">
                  <c:v>46854</c:v>
                </c:pt>
                <c:pt idx="38">
                  <c:v>46884</c:v>
                </c:pt>
                <c:pt idx="39">
                  <c:v>46916</c:v>
                </c:pt>
                <c:pt idx="40">
                  <c:v>46945</c:v>
                </c:pt>
                <c:pt idx="41">
                  <c:v>46976</c:v>
                </c:pt>
                <c:pt idx="42">
                  <c:v>47007</c:v>
                </c:pt>
                <c:pt idx="43">
                  <c:v>47037</c:v>
                </c:pt>
                <c:pt idx="44">
                  <c:v>47070</c:v>
                </c:pt>
                <c:pt idx="45">
                  <c:v>47098</c:v>
                </c:pt>
                <c:pt idx="46">
                  <c:v>47129</c:v>
                </c:pt>
                <c:pt idx="47">
                  <c:v>47161</c:v>
                </c:pt>
                <c:pt idx="48">
                  <c:v>47189</c:v>
                </c:pt>
                <c:pt idx="49">
                  <c:v>47219</c:v>
                </c:pt>
                <c:pt idx="50">
                  <c:v>47249</c:v>
                </c:pt>
                <c:pt idx="51">
                  <c:v>47280</c:v>
                </c:pt>
                <c:pt idx="52">
                  <c:v>47310</c:v>
                </c:pt>
                <c:pt idx="53">
                  <c:v>47343</c:v>
                </c:pt>
                <c:pt idx="54">
                  <c:v>47372</c:v>
                </c:pt>
                <c:pt idx="55">
                  <c:v>47402</c:v>
                </c:pt>
                <c:pt idx="56">
                  <c:v>47435</c:v>
                </c:pt>
                <c:pt idx="57">
                  <c:v>47463</c:v>
                </c:pt>
                <c:pt idx="58">
                  <c:v>47494</c:v>
                </c:pt>
                <c:pt idx="59">
                  <c:v>47525</c:v>
                </c:pt>
                <c:pt idx="60">
                  <c:v>47553</c:v>
                </c:pt>
                <c:pt idx="61">
                  <c:v>47584</c:v>
                </c:pt>
                <c:pt idx="62">
                  <c:v>47616</c:v>
                </c:pt>
                <c:pt idx="63">
                  <c:v>47645</c:v>
                </c:pt>
                <c:pt idx="64">
                  <c:v>47675</c:v>
                </c:pt>
                <c:pt idx="65">
                  <c:v>47707</c:v>
                </c:pt>
                <c:pt idx="66">
                  <c:v>47737</c:v>
                </c:pt>
                <c:pt idx="67">
                  <c:v>47767</c:v>
                </c:pt>
                <c:pt idx="68">
                  <c:v>47799</c:v>
                </c:pt>
                <c:pt idx="69">
                  <c:v>47828</c:v>
                </c:pt>
                <c:pt idx="70">
                  <c:v>47861</c:v>
                </c:pt>
                <c:pt idx="71">
                  <c:v>47890</c:v>
                </c:pt>
                <c:pt idx="72">
                  <c:v>47918</c:v>
                </c:pt>
                <c:pt idx="73">
                  <c:v>47952</c:v>
                </c:pt>
                <c:pt idx="74">
                  <c:v>47980</c:v>
                </c:pt>
                <c:pt idx="75">
                  <c:v>48010</c:v>
                </c:pt>
                <c:pt idx="76">
                  <c:v>48040</c:v>
                </c:pt>
                <c:pt idx="77">
                  <c:v>48071</c:v>
                </c:pt>
                <c:pt idx="78">
                  <c:v>48102</c:v>
                </c:pt>
                <c:pt idx="79">
                  <c:v>48135</c:v>
                </c:pt>
                <c:pt idx="80">
                  <c:v>48164</c:v>
                </c:pt>
                <c:pt idx="81">
                  <c:v>48193</c:v>
                </c:pt>
                <c:pt idx="82">
                  <c:v>48225</c:v>
                </c:pt>
                <c:pt idx="83">
                  <c:v>48255</c:v>
                </c:pt>
                <c:pt idx="84">
                  <c:v>48284</c:v>
                </c:pt>
                <c:pt idx="85">
                  <c:v>48316</c:v>
                </c:pt>
                <c:pt idx="86">
                  <c:v>48345</c:v>
                </c:pt>
                <c:pt idx="87">
                  <c:v>48376</c:v>
                </c:pt>
                <c:pt idx="88">
                  <c:v>48407</c:v>
                </c:pt>
                <c:pt idx="89">
                  <c:v>48437</c:v>
                </c:pt>
                <c:pt idx="90">
                  <c:v>48470</c:v>
                </c:pt>
                <c:pt idx="91">
                  <c:v>48499</c:v>
                </c:pt>
                <c:pt idx="92">
                  <c:v>48530</c:v>
                </c:pt>
                <c:pt idx="93">
                  <c:v>48561</c:v>
                </c:pt>
                <c:pt idx="94">
                  <c:v>48590</c:v>
                </c:pt>
                <c:pt idx="95">
                  <c:v>48621</c:v>
                </c:pt>
                <c:pt idx="96">
                  <c:v>48649</c:v>
                </c:pt>
                <c:pt idx="97">
                  <c:v>48680</c:v>
                </c:pt>
                <c:pt idx="98">
                  <c:v>48710</c:v>
                </c:pt>
                <c:pt idx="99">
                  <c:v>48743</c:v>
                </c:pt>
                <c:pt idx="100">
                  <c:v>48771</c:v>
                </c:pt>
                <c:pt idx="101">
                  <c:v>48802</c:v>
                </c:pt>
                <c:pt idx="102">
                  <c:v>48834</c:v>
                </c:pt>
                <c:pt idx="103">
                  <c:v>48863</c:v>
                </c:pt>
                <c:pt idx="104">
                  <c:v>48897</c:v>
                </c:pt>
                <c:pt idx="105">
                  <c:v>48925</c:v>
                </c:pt>
                <c:pt idx="106">
                  <c:v>48955</c:v>
                </c:pt>
                <c:pt idx="107">
                  <c:v>48988</c:v>
                </c:pt>
                <c:pt idx="108">
                  <c:v>49016</c:v>
                </c:pt>
                <c:pt idx="109">
                  <c:v>49045</c:v>
                </c:pt>
                <c:pt idx="110">
                  <c:v>49075</c:v>
                </c:pt>
                <c:pt idx="111">
                  <c:v>49107</c:v>
                </c:pt>
                <c:pt idx="112">
                  <c:v>49136</c:v>
                </c:pt>
                <c:pt idx="113">
                  <c:v>49167</c:v>
                </c:pt>
                <c:pt idx="114">
                  <c:v>49198</c:v>
                </c:pt>
                <c:pt idx="115">
                  <c:v>49228</c:v>
                </c:pt>
                <c:pt idx="116">
                  <c:v>49261</c:v>
                </c:pt>
                <c:pt idx="117">
                  <c:v>49289</c:v>
                </c:pt>
                <c:pt idx="118">
                  <c:v>49320</c:v>
                </c:pt>
                <c:pt idx="119">
                  <c:v>49352</c:v>
                </c:pt>
                <c:pt idx="120">
                  <c:v>49380</c:v>
                </c:pt>
              </c:numCache>
            </c:numRef>
          </c:cat>
          <c:val>
            <c:numRef>
              <c:f>'1-month Term SOFR'!$Q$12:$Q$132</c:f>
              <c:numCache>
                <c:formatCode>0.00%</c:formatCode>
                <c:ptCount val="121"/>
                <c:pt idx="0">
                  <c:v>4.3301699999999999E-2</c:v>
                </c:pt>
                <c:pt idx="1">
                  <c:v>4.3052899999999998E-2</c:v>
                </c:pt>
                <c:pt idx="2">
                  <c:v>4.2218499999999999E-2</c:v>
                </c:pt>
                <c:pt idx="3">
                  <c:v>4.1257700000000001E-2</c:v>
                </c:pt>
                <c:pt idx="4">
                  <c:v>4.0362500000000003E-2</c:v>
                </c:pt>
                <c:pt idx="5">
                  <c:v>3.9592599999999999E-2</c:v>
                </c:pt>
                <c:pt idx="6">
                  <c:v>3.8102499999999997E-2</c:v>
                </c:pt>
                <c:pt idx="7">
                  <c:v>3.78538E-2</c:v>
                </c:pt>
                <c:pt idx="8">
                  <c:v>3.7851799999999998E-2</c:v>
                </c:pt>
                <c:pt idx="9">
                  <c:v>3.6711399999999998E-2</c:v>
                </c:pt>
                <c:pt idx="10">
                  <c:v>3.6445499999999999E-2</c:v>
                </c:pt>
                <c:pt idx="11">
                  <c:v>3.644E-2</c:v>
                </c:pt>
                <c:pt idx="12">
                  <c:v>3.5883900000000003E-2</c:v>
                </c:pt>
                <c:pt idx="13">
                  <c:v>3.5726399999999998E-2</c:v>
                </c:pt>
                <c:pt idx="14">
                  <c:v>3.5728200000000002E-2</c:v>
                </c:pt>
                <c:pt idx="15">
                  <c:v>3.5572600000000003E-2</c:v>
                </c:pt>
                <c:pt idx="16">
                  <c:v>3.5496800000000002E-2</c:v>
                </c:pt>
                <c:pt idx="17">
                  <c:v>3.5473600000000001E-2</c:v>
                </c:pt>
                <c:pt idx="18">
                  <c:v>3.5467800000000001E-2</c:v>
                </c:pt>
                <c:pt idx="19">
                  <c:v>3.54767E-2</c:v>
                </c:pt>
                <c:pt idx="20">
                  <c:v>3.5506299999999998E-2</c:v>
                </c:pt>
                <c:pt idx="21">
                  <c:v>3.5545899999999998E-2</c:v>
                </c:pt>
                <c:pt idx="22">
                  <c:v>3.5608000000000001E-2</c:v>
                </c:pt>
                <c:pt idx="23">
                  <c:v>3.5678099999999997E-2</c:v>
                </c:pt>
                <c:pt idx="24">
                  <c:v>3.5775300000000003E-2</c:v>
                </c:pt>
                <c:pt idx="25">
                  <c:v>3.5866599999999998E-2</c:v>
                </c:pt>
                <c:pt idx="26">
                  <c:v>3.5957900000000001E-2</c:v>
                </c:pt>
                <c:pt idx="27">
                  <c:v>3.6051E-2</c:v>
                </c:pt>
                <c:pt idx="28">
                  <c:v>3.61432E-2</c:v>
                </c:pt>
                <c:pt idx="29">
                  <c:v>3.6238100000000002E-2</c:v>
                </c:pt>
                <c:pt idx="30">
                  <c:v>3.6324500000000003E-2</c:v>
                </c:pt>
                <c:pt idx="31">
                  <c:v>3.6411399999999997E-2</c:v>
                </c:pt>
                <c:pt idx="32">
                  <c:v>3.6499999999999998E-2</c:v>
                </c:pt>
                <c:pt idx="33">
                  <c:v>3.6587700000000001E-2</c:v>
                </c:pt>
                <c:pt idx="34">
                  <c:v>3.6668899999999997E-2</c:v>
                </c:pt>
                <c:pt idx="35">
                  <c:v>3.6754799999999997E-2</c:v>
                </c:pt>
                <c:pt idx="36">
                  <c:v>3.6839299999999998E-2</c:v>
                </c:pt>
                <c:pt idx="37">
                  <c:v>3.6912300000000002E-2</c:v>
                </c:pt>
                <c:pt idx="38">
                  <c:v>3.6993999999999999E-2</c:v>
                </c:pt>
                <c:pt idx="39">
                  <c:v>3.7064399999999997E-2</c:v>
                </c:pt>
                <c:pt idx="40">
                  <c:v>3.71335E-2</c:v>
                </c:pt>
                <c:pt idx="41">
                  <c:v>3.7200499999999997E-2</c:v>
                </c:pt>
                <c:pt idx="42">
                  <c:v>3.7261000000000002E-2</c:v>
                </c:pt>
                <c:pt idx="43">
                  <c:v>3.7327300000000001E-2</c:v>
                </c:pt>
                <c:pt idx="44">
                  <c:v>3.7378399999999999E-2</c:v>
                </c:pt>
                <c:pt idx="45">
                  <c:v>3.7428400000000001E-2</c:v>
                </c:pt>
                <c:pt idx="46">
                  <c:v>3.7479899999999997E-2</c:v>
                </c:pt>
                <c:pt idx="47">
                  <c:v>3.7515800000000002E-2</c:v>
                </c:pt>
                <c:pt idx="48">
                  <c:v>3.7561900000000002E-2</c:v>
                </c:pt>
                <c:pt idx="49">
                  <c:v>3.7599800000000003E-2</c:v>
                </c:pt>
                <c:pt idx="50">
                  <c:v>3.7643299999999998E-2</c:v>
                </c:pt>
                <c:pt idx="51">
                  <c:v>3.76832E-2</c:v>
                </c:pt>
                <c:pt idx="52">
                  <c:v>3.7732599999999998E-2</c:v>
                </c:pt>
                <c:pt idx="53">
                  <c:v>3.7773099999999997E-2</c:v>
                </c:pt>
                <c:pt idx="54">
                  <c:v>3.7810999999999997E-2</c:v>
                </c:pt>
                <c:pt idx="55">
                  <c:v>3.7861300000000001E-2</c:v>
                </c:pt>
                <c:pt idx="56">
                  <c:v>3.7900000000000003E-2</c:v>
                </c:pt>
                <c:pt idx="57">
                  <c:v>3.7942700000000003E-2</c:v>
                </c:pt>
                <c:pt idx="58">
                  <c:v>3.7987199999999999E-2</c:v>
                </c:pt>
                <c:pt idx="59">
                  <c:v>3.8023800000000003E-2</c:v>
                </c:pt>
                <c:pt idx="60">
                  <c:v>3.8072599999999998E-2</c:v>
                </c:pt>
                <c:pt idx="61">
                  <c:v>3.8119599999999997E-2</c:v>
                </c:pt>
                <c:pt idx="62">
                  <c:v>3.8161800000000003E-2</c:v>
                </c:pt>
                <c:pt idx="63">
                  <c:v>3.81991E-2</c:v>
                </c:pt>
                <c:pt idx="64">
                  <c:v>3.82452E-2</c:v>
                </c:pt>
                <c:pt idx="65">
                  <c:v>3.8285199999999998E-2</c:v>
                </c:pt>
                <c:pt idx="66">
                  <c:v>3.83217E-2</c:v>
                </c:pt>
                <c:pt idx="67">
                  <c:v>3.83656E-2</c:v>
                </c:pt>
                <c:pt idx="68">
                  <c:v>3.84006E-2</c:v>
                </c:pt>
                <c:pt idx="69">
                  <c:v>3.8444399999999997E-2</c:v>
                </c:pt>
                <c:pt idx="70">
                  <c:v>3.8479100000000002E-2</c:v>
                </c:pt>
                <c:pt idx="71">
                  <c:v>3.8505600000000001E-2</c:v>
                </c:pt>
                <c:pt idx="72">
                  <c:v>3.8553999999999998E-2</c:v>
                </c:pt>
                <c:pt idx="73">
                  <c:v>3.8582199999999997E-2</c:v>
                </c:pt>
                <c:pt idx="74">
                  <c:v>3.86161E-2</c:v>
                </c:pt>
                <c:pt idx="75">
                  <c:v>3.8646199999999999E-2</c:v>
                </c:pt>
                <c:pt idx="76">
                  <c:v>3.8680899999999997E-2</c:v>
                </c:pt>
                <c:pt idx="77">
                  <c:v>3.8713200000000003E-2</c:v>
                </c:pt>
                <c:pt idx="78">
                  <c:v>3.875E-2</c:v>
                </c:pt>
                <c:pt idx="79">
                  <c:v>3.8777699999999998E-2</c:v>
                </c:pt>
                <c:pt idx="80">
                  <c:v>3.8803200000000003E-2</c:v>
                </c:pt>
                <c:pt idx="81">
                  <c:v>3.8835799999999997E-2</c:v>
                </c:pt>
                <c:pt idx="82">
                  <c:v>3.8862800000000003E-2</c:v>
                </c:pt>
                <c:pt idx="83">
                  <c:v>3.8884700000000001E-2</c:v>
                </c:pt>
                <c:pt idx="84">
                  <c:v>3.8917899999999998E-2</c:v>
                </c:pt>
                <c:pt idx="85">
                  <c:v>3.8941400000000001E-2</c:v>
                </c:pt>
                <c:pt idx="86">
                  <c:v>3.8970400000000002E-2</c:v>
                </c:pt>
                <c:pt idx="87">
                  <c:v>3.8999300000000001E-2</c:v>
                </c:pt>
                <c:pt idx="88">
                  <c:v>3.9028599999999997E-2</c:v>
                </c:pt>
                <c:pt idx="89">
                  <c:v>3.9062800000000002E-2</c:v>
                </c:pt>
                <c:pt idx="90">
                  <c:v>3.9087499999999997E-2</c:v>
                </c:pt>
                <c:pt idx="91">
                  <c:v>3.9119099999999997E-2</c:v>
                </c:pt>
                <c:pt idx="92">
                  <c:v>3.9150699999999997E-2</c:v>
                </c:pt>
                <c:pt idx="93">
                  <c:v>3.91829E-2</c:v>
                </c:pt>
                <c:pt idx="94">
                  <c:v>3.9213499999999998E-2</c:v>
                </c:pt>
                <c:pt idx="95">
                  <c:v>3.9238700000000001E-2</c:v>
                </c:pt>
                <c:pt idx="96">
                  <c:v>3.9277300000000001E-2</c:v>
                </c:pt>
                <c:pt idx="97">
                  <c:v>3.9308900000000001E-2</c:v>
                </c:pt>
                <c:pt idx="98">
                  <c:v>3.9350799999999998E-2</c:v>
                </c:pt>
                <c:pt idx="99">
                  <c:v>3.93803E-2</c:v>
                </c:pt>
                <c:pt idx="100">
                  <c:v>3.9415600000000002E-2</c:v>
                </c:pt>
                <c:pt idx="101">
                  <c:v>3.9454799999999998E-2</c:v>
                </c:pt>
                <c:pt idx="102">
                  <c:v>3.9487599999999998E-2</c:v>
                </c:pt>
                <c:pt idx="103">
                  <c:v>3.9533899999999997E-2</c:v>
                </c:pt>
                <c:pt idx="104">
                  <c:v>3.9564700000000001E-2</c:v>
                </c:pt>
                <c:pt idx="105">
                  <c:v>3.9602499999999999E-2</c:v>
                </c:pt>
                <c:pt idx="106">
                  <c:v>3.9646199999999999E-2</c:v>
                </c:pt>
                <c:pt idx="107">
                  <c:v>3.9674500000000001E-2</c:v>
                </c:pt>
                <c:pt idx="108">
                  <c:v>3.9719499999999998E-2</c:v>
                </c:pt>
                <c:pt idx="109">
                  <c:v>3.9754999999999999E-2</c:v>
                </c:pt>
                <c:pt idx="110">
                  <c:v>3.9800799999999997E-2</c:v>
                </c:pt>
                <c:pt idx="111">
                  <c:v>3.9838499999999999E-2</c:v>
                </c:pt>
                <c:pt idx="112">
                  <c:v>3.9881199999999999E-2</c:v>
                </c:pt>
                <c:pt idx="113">
                  <c:v>3.9924300000000003E-2</c:v>
                </c:pt>
                <c:pt idx="114">
                  <c:v>3.9965100000000003E-2</c:v>
                </c:pt>
                <c:pt idx="115">
                  <c:v>4.0016700000000002E-2</c:v>
                </c:pt>
                <c:pt idx="116">
                  <c:v>4.0055599999999997E-2</c:v>
                </c:pt>
                <c:pt idx="117">
                  <c:v>4.0099500000000003E-2</c:v>
                </c:pt>
                <c:pt idx="118">
                  <c:v>4.0148400000000001E-2</c:v>
                </c:pt>
                <c:pt idx="119">
                  <c:v>4.0184400000000002E-2</c:v>
                </c:pt>
                <c:pt idx="120">
                  <c:v>4.02355E-2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D9-4C20-882C-3BE123578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787401"/>
        <c:axId val="53623782"/>
      </c:lineChart>
      <c:catAx>
        <c:axId val="30787401"/>
        <c:scaling>
          <c:orientation val="minMax"/>
        </c:scaling>
        <c:delete val="0"/>
        <c:axPos val="b"/>
        <c:title>
          <c:tx>
            <c:rich>
              <a:bodyPr wrap="square"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</c:spPr>
        </c:title>
        <c:numFmt formatCode="m/d/yyyy" sourceLinked="1"/>
        <c:majorTickMark val="out"/>
        <c:minorTickMark val="none"/>
        <c:tickLblPos val="low"/>
        <c:spPr>
          <a:ln>
            <a:solidFill>
              <a:srgbClr val="E3E3E3"/>
            </a:solidFill>
          </a:ln>
        </c:spPr>
        <c:crossAx val="53623782"/>
        <c:crosses val="autoZero"/>
        <c:auto val="0"/>
        <c:lblAlgn val="ctr"/>
        <c:lblOffset val="100"/>
        <c:noMultiLvlLbl val="0"/>
      </c:catAx>
      <c:valAx>
        <c:axId val="53623782"/>
        <c:scaling>
          <c:orientation val="minMax"/>
          <c:max val="5.5707300000000001E-2"/>
          <c:min val="3.4086599999999995E-2"/>
        </c:scaling>
        <c:delete val="0"/>
        <c:axPos val="l"/>
        <c:majorGridlines>
          <c:spPr>
            <a:ln>
              <a:solidFill>
                <a:srgbClr val="E3E3E3"/>
              </a:solidFill>
            </a:ln>
          </c:spPr>
        </c:majorGridlines>
        <c:title>
          <c:tx>
            <c:rich>
              <a:bodyPr rot="-5400000" vert="horz" wrap="square"/>
              <a:lstStyle/>
              <a:p>
                <a:pPr>
                  <a:defRPr/>
                </a:pPr>
                <a:r>
                  <a:rPr lang="en-US"/>
                  <a:t>Rate</a:t>
                </a:r>
              </a:p>
            </c:rich>
          </c:tx>
          <c:overlay val="0"/>
          <c:spPr>
            <a:noFill/>
          </c:spPr>
        </c:title>
        <c:numFmt formatCode="0.00%" sourceLinked="0"/>
        <c:majorTickMark val="out"/>
        <c:minorTickMark val="none"/>
        <c:tickLblPos val="nextTo"/>
        <c:spPr>
          <a:ln>
            <a:solidFill>
              <a:srgbClr val="E3E3E3"/>
            </a:solidFill>
          </a:ln>
        </c:spPr>
        <c:crossAx val="30787401"/>
        <c:crosses val="autoZero"/>
        <c:crossBetween val="between"/>
        <c:minorUnit val="2.5000000000000001E-3"/>
      </c:valAx>
      <c:spPr>
        <a:solidFill>
          <a:srgbClr val="FFFFFF"/>
        </a:solidFill>
        <a:ln w="12700">
          <a:solidFill>
            <a:srgbClr val="E3E3E3"/>
          </a:solidFill>
        </a:ln>
      </c:spPr>
    </c:plotArea>
    <c:legend>
      <c:legendPos val="t"/>
      <c:legendEntry>
        <c:idx val="0"/>
        <c:delete val="1"/>
      </c:legendEntry>
      <c:overlay val="0"/>
    </c:legend>
    <c:plotVisOnly val="1"/>
    <c:dispBlanksAs val="gap"/>
    <c:showDLblsOverMax val="0"/>
  </c:chart>
  <c:spPr>
    <a:ln>
      <a:solidFill>
        <a:srgbClr val="B1B1B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1771650</xdr:colOff>
      <xdr:row>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213B36-7DD2-43E0-8BE0-C861D2219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61925"/>
          <a:ext cx="1771650" cy="5619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13</xdr:col>
      <xdr:colOff>0</xdr:colOff>
      <xdr:row>33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6833747F-76BF-4CAA-8F17-40AEA29EC8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chathamdirect.com/rates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F2DD9-38D4-4177-A2BD-21A0F8865199}">
  <sheetPr>
    <tabColor theme="1"/>
  </sheetPr>
  <dimension ref="B3:C15"/>
  <sheetViews>
    <sheetView showGridLines="0" view="pageBreakPreview" zoomScale="115" zoomScaleNormal="130" zoomScaleSheetLayoutView="115" workbookViewId="0">
      <selection activeCell="C9" sqref="C9"/>
    </sheetView>
  </sheetViews>
  <sheetFormatPr defaultRowHeight="14.25" x14ac:dyDescent="0.45"/>
  <cols>
    <col min="2" max="2" width="5.59765625" style="305" customWidth="1"/>
    <col min="3" max="4" width="10.73046875" customWidth="1"/>
    <col min="5" max="5" width="34" bestFit="1" customWidth="1"/>
    <col min="6" max="6" width="10.73046875" customWidth="1"/>
    <col min="7" max="7" width="30.73046875" customWidth="1"/>
    <col min="8" max="8" width="9.265625" bestFit="1" customWidth="1"/>
    <col min="13" max="13" width="12.59765625" customWidth="1"/>
  </cols>
  <sheetData>
    <row r="3" spans="2:3" ht="17.55" customHeight="1" x14ac:dyDescent="0.45">
      <c r="B3" s="305" t="s">
        <v>329</v>
      </c>
    </row>
    <row r="4" spans="2:3" ht="17.55" customHeight="1" x14ac:dyDescent="0.45">
      <c r="B4" s="305">
        <v>1</v>
      </c>
      <c r="C4" s="24" t="s">
        <v>461</v>
      </c>
    </row>
    <row r="5" spans="2:3" ht="17.55" customHeight="1" x14ac:dyDescent="0.45">
      <c r="B5" s="305">
        <v>2</v>
      </c>
      <c r="C5" s="24"/>
    </row>
    <row r="6" spans="2:3" ht="17.55" customHeight="1" x14ac:dyDescent="0.45">
      <c r="B6" s="305">
        <v>3</v>
      </c>
      <c r="C6" s="24"/>
    </row>
    <row r="7" spans="2:3" ht="17.55" customHeight="1" x14ac:dyDescent="0.45"/>
    <row r="8" spans="2:3" ht="17.55" customHeight="1" x14ac:dyDescent="0.45">
      <c r="B8" s="305" t="s">
        <v>328</v>
      </c>
    </row>
    <row r="9" spans="2:3" ht="17.55" customHeight="1" x14ac:dyDescent="0.45">
      <c r="B9" s="305">
        <v>1</v>
      </c>
      <c r="C9" s="24" t="s">
        <v>459</v>
      </c>
    </row>
    <row r="10" spans="2:3" ht="17.55" customHeight="1" x14ac:dyDescent="0.45">
      <c r="B10" s="305">
        <v>2</v>
      </c>
      <c r="C10" s="24" t="s">
        <v>415</v>
      </c>
    </row>
    <row r="11" spans="2:3" ht="17.55" customHeight="1" x14ac:dyDescent="0.45">
      <c r="B11" s="305">
        <v>3</v>
      </c>
      <c r="C11" s="24" t="s">
        <v>416</v>
      </c>
    </row>
    <row r="12" spans="2:3" ht="17.55" customHeight="1" x14ac:dyDescent="0.45">
      <c r="B12" s="305">
        <v>4</v>
      </c>
      <c r="C12" s="24" t="s">
        <v>460</v>
      </c>
    </row>
    <row r="13" spans="2:3" ht="17.55" customHeight="1" x14ac:dyDescent="0.45">
      <c r="B13" s="305">
        <v>5</v>
      </c>
      <c r="C13" s="24" t="s">
        <v>426</v>
      </c>
    </row>
    <row r="14" spans="2:3" ht="17.55" customHeight="1" x14ac:dyDescent="0.45">
      <c r="B14" s="305">
        <v>6</v>
      </c>
      <c r="C14" s="24" t="s">
        <v>427</v>
      </c>
    </row>
    <row r="15" spans="2:3" ht="17.55" customHeight="1" x14ac:dyDescent="0.45">
      <c r="B15" s="305">
        <v>7</v>
      </c>
      <c r="C15" s="24" t="s">
        <v>428</v>
      </c>
    </row>
  </sheetData>
  <pageMargins left="0.7" right="0.7" top="0.75" bottom="0.75" header="0.3" footer="0.3"/>
  <pageSetup scale="94" orientation="landscape" r:id="rId1"/>
  <headerFooter>
    <oddFooter>&amp;C&amp;P of &amp;N</oddFooter>
  </headerFooter>
  <colBreaks count="1" manualBreakCount="1">
    <brk id="10" min="2" max="14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F9300-9444-4F38-9BB0-58F166223116}">
  <sheetPr>
    <tabColor theme="7" tint="0.59999389629810485"/>
  </sheetPr>
  <dimension ref="C3:M46"/>
  <sheetViews>
    <sheetView showGridLines="0" workbookViewId="0">
      <selection activeCell="C27" sqref="C27"/>
    </sheetView>
  </sheetViews>
  <sheetFormatPr defaultRowHeight="14.25" x14ac:dyDescent="0.45"/>
  <cols>
    <col min="1" max="6" width="9.06640625" style="169"/>
    <col min="7" max="7" width="10.73046875" style="169" bestFit="1" customWidth="1"/>
    <col min="8" max="8" width="11.9296875" style="329" bestFit="1" customWidth="1"/>
    <col min="9" max="10" width="11.59765625" style="205" customWidth="1"/>
    <col min="11" max="11" width="9.06640625" style="169"/>
    <col min="12" max="12" width="1.59765625" style="342" customWidth="1"/>
    <col min="13" max="13" width="30.59765625" style="343" customWidth="1"/>
    <col min="14" max="16384" width="9.06640625" style="169"/>
  </cols>
  <sheetData>
    <row r="3" spans="3:13" s="202" customFormat="1" x14ac:dyDescent="0.45">
      <c r="C3" s="202" t="s">
        <v>339</v>
      </c>
      <c r="G3" s="320"/>
      <c r="H3" s="332"/>
      <c r="J3" s="321"/>
      <c r="K3" s="321"/>
      <c r="L3" s="333"/>
      <c r="M3" s="334"/>
    </row>
    <row r="4" spans="3:13" ht="20" customHeight="1" x14ac:dyDescent="0.45">
      <c r="C4" s="322"/>
      <c r="D4" s="323"/>
      <c r="E4" s="324"/>
      <c r="F4" s="324"/>
      <c r="G4" s="324"/>
      <c r="H4" s="335"/>
      <c r="I4" s="308"/>
      <c r="J4" s="308" t="s">
        <v>52</v>
      </c>
      <c r="K4" s="325" t="s">
        <v>53</v>
      </c>
      <c r="L4" s="336"/>
      <c r="M4" s="337" t="s">
        <v>329</v>
      </c>
    </row>
    <row r="5" spans="3:13" s="332" customFormat="1" ht="20" customHeight="1" x14ac:dyDescent="0.45">
      <c r="C5" s="338" t="s">
        <v>434</v>
      </c>
      <c r="D5" s="338"/>
      <c r="E5" s="338"/>
      <c r="F5" s="338"/>
      <c r="G5" s="338"/>
      <c r="H5" s="338"/>
      <c r="I5" s="339"/>
      <c r="J5" s="339">
        <f t="shared" ref="J5:J6" si="0">+K5/12</f>
        <v>189600</v>
      </c>
      <c r="K5" s="339">
        <f>+Assumptions!J124</f>
        <v>2275200</v>
      </c>
      <c r="L5" s="340"/>
      <c r="M5" s="341" t="s">
        <v>340</v>
      </c>
    </row>
    <row r="6" spans="3:13" ht="20" customHeight="1" x14ac:dyDescent="0.45">
      <c r="C6" s="169" t="str">
        <f>"Plus: "&amp;Assumptions!B131</f>
        <v>Plus: Total Amenity Income</v>
      </c>
      <c r="I6" s="326"/>
      <c r="J6" s="326">
        <f t="shared" si="0"/>
        <v>10648</v>
      </c>
      <c r="K6" s="326">
        <f>+Assumptions!J131</f>
        <v>127776</v>
      </c>
      <c r="M6" s="343" t="s">
        <v>435</v>
      </c>
    </row>
    <row r="7" spans="3:13" ht="20" customHeight="1" x14ac:dyDescent="0.45">
      <c r="C7" s="169" t="s">
        <v>341</v>
      </c>
      <c r="G7" s="344">
        <f>-Assumptions!G146-Assumptions!G145-Assumptions!P144</f>
        <v>-6.6666666666666666E-2</v>
      </c>
      <c r="I7" s="326"/>
      <c r="J7" s="326">
        <f>+$G$7*J5</f>
        <v>-12640</v>
      </c>
      <c r="K7" s="326">
        <f>+$G$7*K5</f>
        <v>-151680</v>
      </c>
      <c r="M7" s="357" t="s">
        <v>342</v>
      </c>
    </row>
    <row r="8" spans="3:13" s="202" customFormat="1" ht="20" customHeight="1" x14ac:dyDescent="0.45">
      <c r="C8" s="345" t="s">
        <v>82</v>
      </c>
      <c r="D8" s="345"/>
      <c r="E8" s="345"/>
      <c r="F8" s="345"/>
      <c r="G8" s="345"/>
      <c r="H8" s="346"/>
      <c r="I8" s="347"/>
      <c r="J8" s="347">
        <f>SUM(J5:J7)</f>
        <v>187608</v>
      </c>
      <c r="K8" s="347">
        <f>SUM(K5:K7)</f>
        <v>2251296</v>
      </c>
      <c r="L8" s="333"/>
      <c r="M8" s="334"/>
    </row>
    <row r="9" spans="3:13" s="372" customFormat="1" ht="20" customHeight="1" x14ac:dyDescent="0.45">
      <c r="H9" s="373"/>
      <c r="I9" s="374"/>
      <c r="J9" s="374"/>
      <c r="L9" s="375"/>
      <c r="M9" s="376"/>
    </row>
    <row r="10" spans="3:13" ht="20" customHeight="1" x14ac:dyDescent="0.45">
      <c r="C10" s="348" t="str">
        <f>Assumptions!B148</f>
        <v>Operating Expenses</v>
      </c>
      <c r="D10" s="322"/>
      <c r="E10" s="322"/>
      <c r="F10" s="322"/>
      <c r="G10" s="349"/>
      <c r="H10" s="350" t="str">
        <f>Assumptions!G148</f>
        <v>Factor</v>
      </c>
      <c r="I10" s="351" t="str">
        <f>Assumptions!H148</f>
        <v>Statistic</v>
      </c>
      <c r="J10" s="308" t="str">
        <f>Assumptions!I148</f>
        <v>Monthly</v>
      </c>
      <c r="K10" s="308" t="str">
        <f>Assumptions!J148</f>
        <v>Annual</v>
      </c>
    </row>
    <row r="11" spans="3:13" ht="20" customHeight="1" x14ac:dyDescent="0.45">
      <c r="C11" s="169" t="str">
        <f>Assumptions!B149</f>
        <v>Property Taxes</v>
      </c>
      <c r="G11" s="328"/>
      <c r="H11" s="352">
        <f>Assumptions!G149</f>
        <v>3815.7179487179496</v>
      </c>
      <c r="I11" s="353">
        <f>Assumptions!H149</f>
        <v>78</v>
      </c>
      <c r="J11" s="204">
        <f>Assumptions!I149</f>
        <v>24802.166666666672</v>
      </c>
      <c r="K11" s="326">
        <f>Assumptions!J149</f>
        <v>297626.00000000006</v>
      </c>
      <c r="M11" s="371" t="s">
        <v>417</v>
      </c>
    </row>
    <row r="12" spans="3:13" ht="20" customHeight="1" x14ac:dyDescent="0.45">
      <c r="C12" s="169" t="str">
        <f>Assumptions!B150</f>
        <v>Insurance</v>
      </c>
      <c r="G12" s="328"/>
      <c r="H12" s="352">
        <f>Assumptions!G150</f>
        <v>1200</v>
      </c>
      <c r="I12" s="353">
        <f>Assumptions!H150</f>
        <v>78</v>
      </c>
      <c r="J12" s="204">
        <f>Assumptions!I150</f>
        <v>7800</v>
      </c>
      <c r="K12" s="204">
        <f>Assumptions!J150</f>
        <v>93600</v>
      </c>
      <c r="M12" s="343" t="s">
        <v>343</v>
      </c>
    </row>
    <row r="13" spans="3:13" ht="20" customHeight="1" x14ac:dyDescent="0.45">
      <c r="C13" s="169" t="str">
        <f>Assumptions!B151</f>
        <v>Water / Sewer</v>
      </c>
      <c r="G13" s="328"/>
      <c r="H13" s="352">
        <f>Assumptions!G151</f>
        <v>600.89743589743568</v>
      </c>
      <c r="I13" s="353">
        <f>Assumptions!H151</f>
        <v>78</v>
      </c>
      <c r="J13" s="204">
        <f>Assumptions!I151</f>
        <v>3905.8333333333321</v>
      </c>
      <c r="K13" s="204">
        <f>Assumptions!J151</f>
        <v>46869.999999999985</v>
      </c>
      <c r="M13" s="343" t="s">
        <v>343</v>
      </c>
    </row>
    <row r="14" spans="3:13" ht="20" customHeight="1" x14ac:dyDescent="0.45">
      <c r="C14" s="169" t="str">
        <f>Assumptions!B152</f>
        <v>Repairs &amp; Maintenance</v>
      </c>
      <c r="G14" s="328"/>
      <c r="H14" s="352">
        <f>Assumptions!G152</f>
        <v>500</v>
      </c>
      <c r="I14" s="353">
        <f>Assumptions!H152</f>
        <v>78</v>
      </c>
      <c r="J14" s="204">
        <f>Assumptions!I152</f>
        <v>3250</v>
      </c>
      <c r="K14" s="204">
        <f>Assumptions!J152</f>
        <v>39000</v>
      </c>
      <c r="M14" s="343" t="s">
        <v>343</v>
      </c>
    </row>
    <row r="15" spans="3:13" ht="20" customHeight="1" x14ac:dyDescent="0.45">
      <c r="C15" s="169" t="str">
        <f>Assumptions!B153</f>
        <v>Elevator Contract</v>
      </c>
      <c r="G15" s="328"/>
      <c r="H15" s="352"/>
      <c r="I15" s="353"/>
      <c r="J15" s="204">
        <f>Assumptions!I153</f>
        <v>0</v>
      </c>
      <c r="K15" s="204">
        <f>Assumptions!J153</f>
        <v>0</v>
      </c>
      <c r="M15" s="343" t="s">
        <v>343</v>
      </c>
    </row>
    <row r="16" spans="3:13" ht="20" customHeight="1" x14ac:dyDescent="0.45">
      <c r="C16" s="169" t="str">
        <f>Assumptions!B154</f>
        <v>Trash</v>
      </c>
      <c r="G16" s="328"/>
      <c r="H16" s="352"/>
      <c r="I16" s="353"/>
      <c r="J16" s="204">
        <f>Assumptions!I154</f>
        <v>200</v>
      </c>
      <c r="K16" s="204">
        <f>Assumptions!J154</f>
        <v>2400</v>
      </c>
      <c r="M16" s="343" t="s">
        <v>436</v>
      </c>
    </row>
    <row r="17" spans="3:13" ht="20" customHeight="1" x14ac:dyDescent="0.45">
      <c r="C17" s="169" t="str">
        <f>Assumptions!B156</f>
        <v>Security, Internet</v>
      </c>
      <c r="G17" s="328"/>
      <c r="H17" s="352"/>
      <c r="I17" s="353"/>
      <c r="J17" s="204">
        <f>Assumptions!I156</f>
        <v>200</v>
      </c>
      <c r="K17" s="204">
        <f>Assumptions!J156</f>
        <v>2400</v>
      </c>
      <c r="M17" s="343" t="s">
        <v>436</v>
      </c>
    </row>
    <row r="18" spans="3:13" ht="20" customHeight="1" x14ac:dyDescent="0.45">
      <c r="C18" s="169" t="str">
        <f>Assumptions!B157</f>
        <v>Pest Control</v>
      </c>
      <c r="G18" s="328"/>
      <c r="H18" s="352">
        <f>Assumptions!G157</f>
        <v>50</v>
      </c>
      <c r="I18" s="353">
        <f>Assumptions!H157</f>
        <v>78</v>
      </c>
      <c r="J18" s="204">
        <f>Assumptions!I157</f>
        <v>325</v>
      </c>
      <c r="K18" s="204">
        <f>Assumptions!J157</f>
        <v>3900</v>
      </c>
      <c r="M18" s="343" t="s">
        <v>436</v>
      </c>
    </row>
    <row r="19" spans="3:13" ht="20" customHeight="1" x14ac:dyDescent="0.45">
      <c r="C19" s="169" t="str">
        <f>Assumptions!B160</f>
        <v>Common Area Electric</v>
      </c>
      <c r="G19" s="328"/>
      <c r="H19" s="354">
        <f>Assumptions!G160</f>
        <v>0.67009900990099036</v>
      </c>
      <c r="I19" s="356">
        <f>Assumptions!H160</f>
        <v>5050</v>
      </c>
      <c r="J19" s="204">
        <f>Assumptions!I160</f>
        <v>282.00000000000011</v>
      </c>
      <c r="K19" s="204">
        <f>Assumptions!J160</f>
        <v>3384.0000000000014</v>
      </c>
      <c r="M19" s="169" t="s">
        <v>417</v>
      </c>
    </row>
    <row r="20" spans="3:13" ht="20" customHeight="1" x14ac:dyDescent="0.45">
      <c r="C20" s="169" t="str">
        <f>Assumptions!B161</f>
        <v>Landscaping / Snow Removal</v>
      </c>
      <c r="G20" s="328"/>
      <c r="H20" s="355"/>
      <c r="I20" s="356"/>
      <c r="J20" s="204">
        <f>Assumptions!I161</f>
        <v>500</v>
      </c>
      <c r="K20" s="204">
        <f>Assumptions!J161</f>
        <v>6000</v>
      </c>
      <c r="M20" s="343" t="s">
        <v>343</v>
      </c>
    </row>
    <row r="21" spans="3:13" ht="20" customHeight="1" x14ac:dyDescent="0.45">
      <c r="C21" s="169" t="str">
        <f>Assumptions!B162</f>
        <v>Property Management</v>
      </c>
      <c r="G21" s="328"/>
      <c r="H21" s="370">
        <f>Assumptions!G162</f>
        <v>0.03</v>
      </c>
      <c r="I21" s="356">
        <f>Assumptions!H162</f>
        <v>2242777.5999999996</v>
      </c>
      <c r="J21" s="204">
        <f>Assumptions!I162</f>
        <v>5606.9439999999986</v>
      </c>
      <c r="K21" s="204">
        <f>Assumptions!J162</f>
        <v>67283.32799999998</v>
      </c>
      <c r="M21" s="343" t="s">
        <v>419</v>
      </c>
    </row>
    <row r="22" spans="3:13" ht="20" customHeight="1" x14ac:dyDescent="0.45">
      <c r="C22" s="169" t="str">
        <f>Assumptions!B163</f>
        <v>Accounting / Legal</v>
      </c>
      <c r="G22" s="328"/>
      <c r="H22" s="370"/>
      <c r="I22" s="356"/>
      <c r="J22" s="204">
        <f>Assumptions!I163</f>
        <v>208.33333333333334</v>
      </c>
      <c r="K22" s="204">
        <f>Assumptions!J163</f>
        <v>2500</v>
      </c>
      <c r="M22" s="357" t="s">
        <v>436</v>
      </c>
    </row>
    <row r="23" spans="3:13" ht="20" customHeight="1" x14ac:dyDescent="0.45">
      <c r="C23" s="327" t="str">
        <f>+Assumptions!B164</f>
        <v>Total Operating Expenses</v>
      </c>
      <c r="D23" s="327"/>
      <c r="E23" s="327"/>
      <c r="F23" s="327"/>
      <c r="G23" s="330"/>
      <c r="H23" s="358"/>
      <c r="I23" s="359"/>
      <c r="J23" s="331">
        <f>Assumptions!I164</f>
        <v>56920.61066666666</v>
      </c>
      <c r="K23" s="331">
        <f>Assumptions!J164</f>
        <v>683047.32799999998</v>
      </c>
    </row>
    <row r="24" spans="3:13" s="342" customFormat="1" ht="20" customHeight="1" x14ac:dyDescent="0.45">
      <c r="C24" s="360" t="s">
        <v>344</v>
      </c>
      <c r="D24" s="360"/>
      <c r="E24" s="360"/>
      <c r="F24" s="360"/>
      <c r="G24" s="361"/>
      <c r="H24" s="362"/>
      <c r="I24" s="361"/>
      <c r="J24" s="363"/>
      <c r="K24" s="364">
        <f>+K23/K8</f>
        <v>0.3034018307677</v>
      </c>
      <c r="M24" s="343"/>
    </row>
    <row r="25" spans="3:13" s="372" customFormat="1" ht="20" customHeight="1" x14ac:dyDescent="0.45">
      <c r="H25" s="373"/>
      <c r="I25" s="374"/>
      <c r="J25" s="374"/>
      <c r="L25" s="375"/>
      <c r="M25" s="376"/>
    </row>
    <row r="26" spans="3:13" s="202" customFormat="1" ht="20" customHeight="1" x14ac:dyDescent="0.45">
      <c r="C26" s="365" t="s">
        <v>345</v>
      </c>
      <c r="D26" s="365"/>
      <c r="E26" s="365"/>
      <c r="F26" s="365"/>
      <c r="G26" s="365"/>
      <c r="H26" s="365"/>
      <c r="I26" s="366"/>
      <c r="J26" s="366">
        <f t="shared" ref="J26:K26" si="1">+J8-J23</f>
        <v>130687.38933333334</v>
      </c>
      <c r="K26" s="366">
        <f t="shared" si="1"/>
        <v>1568248.672</v>
      </c>
      <c r="L26" s="333"/>
      <c r="M26" s="334"/>
    </row>
    <row r="27" spans="3:13" s="342" customFormat="1" ht="20" customHeight="1" x14ac:dyDescent="0.45">
      <c r="C27" s="367" t="str">
        <f>"Implied Stabilized Cap Rate at "&amp;TEXT(Assumptions!G23,"$#,##0")&amp;" Purchase"</f>
        <v>Implied Stabilized Cap Rate at $15,000,000 Purchase</v>
      </c>
      <c r="D27" s="367"/>
      <c r="E27" s="367"/>
      <c r="F27" s="367"/>
      <c r="G27" s="367"/>
      <c r="H27" s="367"/>
      <c r="I27" s="368"/>
      <c r="J27" s="368"/>
      <c r="K27" s="369">
        <f>+K26/Assumptions!G23</f>
        <v>0.10454991146666667</v>
      </c>
      <c r="M27" s="343"/>
    </row>
    <row r="28" spans="3:13" ht="20" customHeight="1" x14ac:dyDescent="0.45"/>
    <row r="29" spans="3:13" ht="20" customHeight="1" x14ac:dyDescent="0.45"/>
    <row r="30" spans="3:13" ht="20" customHeight="1" x14ac:dyDescent="0.45"/>
    <row r="31" spans="3:13" ht="20" customHeight="1" x14ac:dyDescent="0.45"/>
    <row r="32" spans="3:13" ht="20" customHeight="1" x14ac:dyDescent="0.45"/>
    <row r="33" spans="9:10" ht="20" customHeight="1" x14ac:dyDescent="0.45">
      <c r="I33" s="326"/>
      <c r="J33" s="326"/>
    </row>
    <row r="34" spans="9:10" ht="20" customHeight="1" x14ac:dyDescent="0.45">
      <c r="I34" s="326"/>
      <c r="J34" s="326"/>
    </row>
    <row r="35" spans="9:10" ht="20" customHeight="1" x14ac:dyDescent="0.45">
      <c r="I35" s="326"/>
      <c r="J35" s="326"/>
    </row>
    <row r="36" spans="9:10" ht="20" customHeight="1" x14ac:dyDescent="0.45">
      <c r="I36" s="326"/>
      <c r="J36" s="326"/>
    </row>
    <row r="37" spans="9:10" ht="20" customHeight="1" x14ac:dyDescent="0.45">
      <c r="I37" s="326"/>
      <c r="J37" s="326"/>
    </row>
    <row r="38" spans="9:10" ht="20" customHeight="1" x14ac:dyDescent="0.45">
      <c r="I38" s="326"/>
      <c r="J38" s="326"/>
    </row>
    <row r="39" spans="9:10" ht="20" customHeight="1" x14ac:dyDescent="0.45">
      <c r="I39" s="326"/>
      <c r="J39" s="326"/>
    </row>
    <row r="40" spans="9:10" ht="20" customHeight="1" x14ac:dyDescent="0.45">
      <c r="I40" s="326"/>
      <c r="J40" s="326"/>
    </row>
    <row r="41" spans="9:10" ht="20" customHeight="1" x14ac:dyDescent="0.45">
      <c r="I41" s="326"/>
      <c r="J41" s="326"/>
    </row>
    <row r="42" spans="9:10" ht="20" customHeight="1" x14ac:dyDescent="0.45">
      <c r="I42" s="326"/>
      <c r="J42" s="326"/>
    </row>
    <row r="43" spans="9:10" ht="20" customHeight="1" x14ac:dyDescent="0.45">
      <c r="I43" s="326"/>
      <c r="J43" s="326"/>
    </row>
    <row r="44" spans="9:10" ht="20" customHeight="1" x14ac:dyDescent="0.45">
      <c r="I44" s="326"/>
      <c r="J44" s="326"/>
    </row>
    <row r="45" spans="9:10" x14ac:dyDescent="0.45">
      <c r="I45" s="326"/>
      <c r="J45" s="326"/>
    </row>
    <row r="46" spans="9:10" x14ac:dyDescent="0.45">
      <c r="I46" s="326"/>
      <c r="J46" s="3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5DA14-61C7-4D25-BA9C-6868734D68BE}">
  <sheetPr>
    <tabColor theme="7" tint="0.59999389629810485"/>
  </sheetPr>
  <dimension ref="C3:K38"/>
  <sheetViews>
    <sheetView showGridLines="0" workbookViewId="0">
      <selection activeCell="G11" sqref="G11"/>
    </sheetView>
  </sheetViews>
  <sheetFormatPr defaultRowHeight="14.25" x14ac:dyDescent="0.45"/>
  <cols>
    <col min="7" max="11" width="10.59765625" customWidth="1"/>
  </cols>
  <sheetData>
    <row r="3" spans="3:11" s="309" customFormat="1" x14ac:dyDescent="0.45">
      <c r="C3" s="309" t="s">
        <v>346</v>
      </c>
    </row>
    <row r="4" spans="3:11" x14ac:dyDescent="0.45">
      <c r="C4" s="8"/>
      <c r="D4" s="8"/>
      <c r="E4" s="8"/>
      <c r="F4" s="8"/>
      <c r="G4" s="377">
        <v>1</v>
      </c>
      <c r="H4" s="377">
        <f>+G4+1</f>
        <v>2</v>
      </c>
      <c r="I4" s="377">
        <f t="shared" ref="I4:K4" si="0">+H4+1</f>
        <v>3</v>
      </c>
      <c r="J4" s="377">
        <f t="shared" si="0"/>
        <v>4</v>
      </c>
      <c r="K4" s="377">
        <f t="shared" si="0"/>
        <v>5</v>
      </c>
    </row>
    <row r="5" spans="3:11" x14ac:dyDescent="0.45">
      <c r="C5" s="3" t="str">
        <f>'NOI Walk'!B22</f>
        <v>Gross Potential Rent</v>
      </c>
      <c r="D5" s="3"/>
      <c r="E5" s="3"/>
      <c r="F5" s="3"/>
      <c r="G5" s="25">
        <f>+SUMIFS('NOI Walk'!$H22:$CZ22,'NOI Walk'!$H$15:$CZ$15,NOI!G$4)</f>
        <v>2306246.5845791763</v>
      </c>
      <c r="H5" s="25">
        <f>+SUMIFS('NOI Walk'!$H22:$CZ22,'NOI Walk'!$H$15:$CZ$15,NOI!H$4)</f>
        <v>2364568.0021261675</v>
      </c>
      <c r="I5" s="25">
        <f>+SUMIFS('NOI Walk'!$H22:$CZ22,'NOI Walk'!$H$15:$CZ$15,NOI!I$4)</f>
        <v>2424364.2783319997</v>
      </c>
      <c r="J5" s="25">
        <f>+SUMIFS('NOI Walk'!$H22:$CZ22,'NOI Walk'!$H$15:$CZ$15,NOI!J$4)</f>
        <v>2485672.710096424</v>
      </c>
      <c r="K5" s="25">
        <f>+SUMIFS('NOI Walk'!$H22:$CZ22,'NOI Walk'!$H$15:$CZ$15,NOI!K$4)</f>
        <v>2548531.5375002357</v>
      </c>
    </row>
    <row r="6" spans="3:11" x14ac:dyDescent="0.45">
      <c r="C6" s="1" t="s">
        <v>371</v>
      </c>
      <c r="D6" s="1"/>
      <c r="E6" s="1"/>
      <c r="F6" s="1"/>
      <c r="G6" s="24">
        <f>+SUMIFS('NOI Walk'!$H23:$CZ23,'NOI Walk'!$H$15:$CZ$15,NOI!G$4)</f>
        <v>-721212.05215602403</v>
      </c>
      <c r="H6" s="24">
        <f>+SUMIFS('NOI Walk'!$H23:$CZ23,'NOI Walk'!$H$15:$CZ$15,NOI!H$4)</f>
        <v>-369245.47880200273</v>
      </c>
      <c r="I6" s="24">
        <f>+SUMIFS('NOI Walk'!$H23:$CZ23,'NOI Walk'!$H$15:$CZ$15,NOI!I$4)</f>
        <v>-40882.295728411897</v>
      </c>
      <c r="J6" s="24">
        <f>+SUMIFS('NOI Walk'!$H23:$CZ23,'NOI Walk'!$H$15:$CZ$15,NOI!J$4)</f>
        <v>0</v>
      </c>
      <c r="K6" s="24">
        <f>+SUMIFS('NOI Walk'!$H23:$CZ23,'NOI Walk'!$H$15:$CZ$15,NOI!K$4)</f>
        <v>0</v>
      </c>
    </row>
    <row r="7" spans="3:11" x14ac:dyDescent="0.45">
      <c r="C7" s="1" t="s">
        <v>62</v>
      </c>
      <c r="D7" s="1"/>
      <c r="E7" s="1"/>
      <c r="F7" s="1"/>
      <c r="G7" s="24">
        <f>+SUMIFS('NOI Walk'!$H26:$CZ26,'NOI Walk'!$H$15:$CZ$15,NOI!G$4)</f>
        <v>-143581.90785365555</v>
      </c>
      <c r="H7" s="24">
        <f>+SUMIFS('NOI Walk'!$H26:$CZ26,'NOI Walk'!$H$15:$CZ$15,NOI!H$4)</f>
        <v>-176301.68370984093</v>
      </c>
      <c r="I7" s="24">
        <f>+SUMIFS('NOI Walk'!$H26:$CZ26,'NOI Walk'!$H$15:$CZ$15,NOI!I$4)</f>
        <v>-130841.14552314881</v>
      </c>
      <c r="J7" s="24">
        <f>+SUMIFS('NOI Walk'!$H26:$CZ26,'NOI Walk'!$H$15:$CZ$15,NOI!J$4)</f>
        <v>-124283.6355048212</v>
      </c>
      <c r="K7" s="24">
        <f>+SUMIFS('NOI Walk'!$H26:$CZ26,'NOI Walk'!$H$15:$CZ$15,NOI!K$4)</f>
        <v>-127426.57687501181</v>
      </c>
    </row>
    <row r="8" spans="3:11" s="378" customFormat="1" x14ac:dyDescent="0.45">
      <c r="C8" s="83" t="str">
        <f>'NOI Walk'!B27</f>
        <v>Vacancy</v>
      </c>
      <c r="D8" s="83"/>
      <c r="E8" s="83"/>
      <c r="F8" s="83"/>
      <c r="G8" s="256">
        <f t="shared" ref="G8:K8" si="1">-G7/G5</f>
        <v>6.2257830022913671E-2</v>
      </c>
      <c r="H8" s="256">
        <f t="shared" si="1"/>
        <v>7.4559785783836346E-2</v>
      </c>
      <c r="I8" s="256">
        <f t="shared" si="1"/>
        <v>5.396925977360529E-2</v>
      </c>
      <c r="J8" s="256">
        <f t="shared" si="1"/>
        <v>0.05</v>
      </c>
      <c r="K8" s="256">
        <f t="shared" si="1"/>
        <v>5.000000000000001E-2</v>
      </c>
    </row>
    <row r="9" spans="3:11" x14ac:dyDescent="0.45">
      <c r="C9" s="1" t="s">
        <v>349</v>
      </c>
      <c r="D9" s="1"/>
      <c r="E9" s="1"/>
      <c r="F9" s="1"/>
      <c r="G9" s="185">
        <f>+SUMIFS('NOI Walk'!$H24:$CZ24,'NOI Walk'!$H$15:$CZ$15,NOI!G$4)+SUMIFS('NOI Walk'!$H25:$CZ25,'NOI Walk'!$H$15:$CZ$15,NOI!G$4)</f>
        <v>1441452.6245694968</v>
      </c>
      <c r="H9" s="24">
        <f>+SUMIFS('NOI Walk'!$H24:$CZ24,'NOI Walk'!$H$15:$CZ$15,NOI!H$4)+SUMIFS('NOI Walk'!$H25:$CZ25,'NOI Walk'!$H$15:$CZ$15,NOI!H$4)</f>
        <v>1819020.8396143236</v>
      </c>
      <c r="I9" s="24">
        <f>+SUMIFS('NOI Walk'!$H24:$CZ24,'NOI Walk'!$H$15:$CZ$15,NOI!I$4)+SUMIFS('NOI Walk'!$H25:$CZ25,'NOI Walk'!$H$15:$CZ$15,NOI!I$4)</f>
        <v>2323719.1034072074</v>
      </c>
      <c r="J9" s="24">
        <f>+SUMIFS('NOI Walk'!$H24:$CZ24,'NOI Walk'!$H$15:$CZ$15,NOI!J$4)+SUMIFS('NOI Walk'!$H25:$CZ25,'NOI Walk'!$H$15:$CZ$15,NOI!J$4)</f>
        <v>2485672.710096424</v>
      </c>
      <c r="K9" s="24">
        <f>+SUMIFS('NOI Walk'!$H24:$CZ24,'NOI Walk'!$H$15:$CZ$15,NOI!K$4)+SUMIFS('NOI Walk'!$H25:$CZ25,'NOI Walk'!$H$15:$CZ$15,NOI!K$4)</f>
        <v>2548531.5375002357</v>
      </c>
    </row>
    <row r="10" spans="3:11" x14ac:dyDescent="0.45">
      <c r="C10" s="1" t="str">
        <f>'NOI Walk'!B28</f>
        <v>Parking Income</v>
      </c>
      <c r="D10" s="1"/>
      <c r="E10" s="1"/>
      <c r="F10" s="1"/>
      <c r="G10" s="185">
        <f>+SUMIFS('NOI Walk'!$H28:$CZ28,'NOI Walk'!$H$15:$CZ$15,NOI!G$4)</f>
        <v>57717.56840197953</v>
      </c>
      <c r="H10" s="24">
        <f>+SUMIFS('NOI Walk'!$H28:$CZ28,'NOI Walk'!$H$15:$CZ$15,NOI!H$4)</f>
        <v>57639.59034709815</v>
      </c>
      <c r="I10" s="24">
        <f>+SUMIFS('NOI Walk'!$H28:$CZ28,'NOI Walk'!$H$15:$CZ$15,NOI!I$4)</f>
        <v>63932.97093349645</v>
      </c>
      <c r="J10" s="24">
        <f>+SUMIFS('NOI Walk'!$H28:$CZ28,'NOI Walk'!$H$15:$CZ$15,NOI!J$4)</f>
        <v>67814.679937495705</v>
      </c>
      <c r="K10" s="24">
        <f>+SUMIFS('NOI Walk'!$H28:$CZ28,'NOI Walk'!$H$15:$CZ$15,NOI!K$4)</f>
        <v>69183.475557781319</v>
      </c>
    </row>
    <row r="11" spans="3:11" x14ac:dyDescent="0.45">
      <c r="C11" s="1" t="str">
        <f>'NOI Walk'!B29</f>
        <v>Storage Income</v>
      </c>
      <c r="D11" s="1"/>
      <c r="E11" s="1"/>
      <c r="F11" s="1"/>
      <c r="G11" s="185">
        <f>+SUMIFS('NOI Walk'!$H29:$CZ29,'NOI Walk'!$H$15:$CZ$15,NOI!G$4)</f>
        <v>11031.664671629616</v>
      </c>
      <c r="H11" s="24">
        <f>+SUMIFS('NOI Walk'!$H29:$CZ29,'NOI Walk'!$H$15:$CZ$15,NOI!H$4)</f>
        <v>19213.196782366049</v>
      </c>
      <c r="I11" s="24">
        <f>+SUMIFS('NOI Walk'!$H29:$CZ29,'NOI Walk'!$H$15:$CZ$15,NOI!I$4)</f>
        <v>21310.990311165482</v>
      </c>
      <c r="J11" s="24">
        <f>+SUMIFS('NOI Walk'!$H29:$CZ29,'NOI Walk'!$H$15:$CZ$15,NOI!J$4)</f>
        <v>22604.893312498563</v>
      </c>
      <c r="K11" s="24">
        <f>+SUMIFS('NOI Walk'!$H29:$CZ29,'NOI Walk'!$H$15:$CZ$15,NOI!K$4)</f>
        <v>23061.158519260443</v>
      </c>
    </row>
    <row r="12" spans="3:11" x14ac:dyDescent="0.45">
      <c r="C12" s="1" t="str">
        <f>'NOI Walk'!B30</f>
        <v>Laundry Income</v>
      </c>
      <c r="D12" s="1"/>
      <c r="E12" s="1"/>
      <c r="F12" s="1"/>
      <c r="G12" s="185">
        <f>+SUMIFS('NOI Walk'!$H30:$CZ30,'NOI Walk'!$H$15:$CZ$15,NOI!G$4)</f>
        <v>9405.825961804072</v>
      </c>
      <c r="H12" s="24">
        <f>+SUMIFS('NOI Walk'!$H30:$CZ30,'NOI Walk'!$H$15:$CZ$15,NOI!H$4)</f>
        <v>9393.1184269345122</v>
      </c>
      <c r="I12" s="24">
        <f>+SUMIFS('NOI Walk'!$H30:$CZ30,'NOI Walk'!$H$15:$CZ$15,NOI!I$4)</f>
        <v>10418.70637434757</v>
      </c>
      <c r="J12" s="24">
        <f>+SUMIFS('NOI Walk'!$H30:$CZ30,'NOI Walk'!$H$15:$CZ$15,NOI!J$4)</f>
        <v>11051.281174999296</v>
      </c>
      <c r="K12" s="24">
        <f>+SUMIFS('NOI Walk'!$H30:$CZ30,'NOI Walk'!$H$15:$CZ$15,NOI!K$4)</f>
        <v>11274.344164971772</v>
      </c>
    </row>
    <row r="13" spans="3:11" x14ac:dyDescent="0.45">
      <c r="C13" s="1" t="str">
        <f>'NOI Walk'!B31</f>
        <v>Parking Income</v>
      </c>
      <c r="D13" s="1"/>
      <c r="E13" s="1"/>
      <c r="F13" s="1"/>
      <c r="G13" s="24">
        <f>+SUMIFS('NOI Walk'!$H31:$CZ31,'NOI Walk'!$H$15:$CZ$15,NOI!G$4)</f>
        <v>76956.75786930605</v>
      </c>
      <c r="H13" s="24">
        <f>+SUMIFS('NOI Walk'!$H31:$CZ31,'NOI Walk'!$H$15:$CZ$15,NOI!H$4)</f>
        <v>76852.787129464195</v>
      </c>
      <c r="I13" s="24">
        <f>+SUMIFS('NOI Walk'!$H31:$CZ31,'NOI Walk'!$H$15:$CZ$15,NOI!I$4)</f>
        <v>85243.961244661929</v>
      </c>
      <c r="J13" s="24">
        <f>+SUMIFS('NOI Walk'!$H31:$CZ31,'NOI Walk'!$H$15:$CZ$15,NOI!J$4)</f>
        <v>90419.573249994268</v>
      </c>
      <c r="K13" s="24">
        <f>+SUMIFS('NOI Walk'!$H31:$CZ31,'NOI Walk'!$H$15:$CZ$15,NOI!K$4)</f>
        <v>92244.634077041774</v>
      </c>
    </row>
    <row r="14" spans="3:11" x14ac:dyDescent="0.45">
      <c r="C14" s="1" t="str">
        <f>'NOI Walk'!B32</f>
        <v>Turnover Costs</v>
      </c>
      <c r="D14" s="1"/>
      <c r="E14" s="1"/>
      <c r="F14" s="1"/>
      <c r="G14" s="24">
        <f>+SUMIFS('NOI Walk'!$H32:$CZ32,'NOI Walk'!$H$15:$CZ$15,NOI!G$4)</f>
        <v>0</v>
      </c>
      <c r="H14" s="24">
        <f>+SUMIFS('NOI Walk'!$H32:$CZ32,'NOI Walk'!$H$15:$CZ$15,NOI!H$4)</f>
        <v>0</v>
      </c>
      <c r="I14" s="24">
        <f>+SUMIFS('NOI Walk'!$H32:$CZ32,'NOI Walk'!$H$15:$CZ$15,NOI!I$4)</f>
        <v>0</v>
      </c>
      <c r="J14" s="24">
        <f>+SUMIFS('NOI Walk'!$H32:$CZ32,'NOI Walk'!$H$15:$CZ$15,NOI!J$4)</f>
        <v>0</v>
      </c>
      <c r="K14" s="24">
        <f>+SUMIFS('NOI Walk'!$H32:$CZ32,'NOI Walk'!$H$15:$CZ$15,NOI!K$4)</f>
        <v>0</v>
      </c>
    </row>
    <row r="15" spans="3:11" x14ac:dyDescent="0.45">
      <c r="C15" s="4" t="str">
        <f>'NOI Walk'!B34</f>
        <v>Effective Gross Income</v>
      </c>
      <c r="D15" s="4"/>
      <c r="E15" s="4"/>
      <c r="F15" s="4"/>
      <c r="G15" s="26">
        <f>+SUMIFS('NOI Walk'!$H34:$CZ34,'NOI Walk'!$H$15:$CZ$15,NOI!G$4)</f>
        <v>1596564.4414742161</v>
      </c>
      <c r="H15" s="26">
        <f>+SUMIFS('NOI Walk'!$H34:$CZ34,'NOI Walk'!$H$15:$CZ$15,NOI!H$4)</f>
        <v>1982119.5323001863</v>
      </c>
      <c r="I15" s="26">
        <f>+SUMIFS('NOI Walk'!$H34:$CZ34,'NOI Walk'!$H$15:$CZ$15,NOI!I$4)</f>
        <v>2504625.7322708792</v>
      </c>
      <c r="J15" s="26">
        <f>+SUMIFS('NOI Walk'!$H34:$CZ34,'NOI Walk'!$H$15:$CZ$15,NOI!J$4)</f>
        <v>2677563.1377714118</v>
      </c>
      <c r="K15" s="26">
        <f>+SUMIFS('NOI Walk'!$H34:$CZ34,'NOI Walk'!$H$15:$CZ$15,NOI!K$4)</f>
        <v>2744295.1498192912</v>
      </c>
    </row>
    <row r="16" spans="3:11" x14ac:dyDescent="0.45">
      <c r="C16" s="1"/>
      <c r="D16" s="1"/>
      <c r="E16" s="1"/>
      <c r="F16" s="1"/>
      <c r="G16" s="24"/>
      <c r="H16" s="24"/>
      <c r="I16" s="24"/>
      <c r="J16" s="24"/>
      <c r="K16" s="24"/>
    </row>
    <row r="17" spans="3:11" x14ac:dyDescent="0.45">
      <c r="C17" s="83" t="str">
        <f>'NOI Walk'!B36</f>
        <v>Operating Expenses</v>
      </c>
      <c r="D17" s="1"/>
      <c r="E17" s="1"/>
      <c r="F17" s="1"/>
      <c r="G17" s="24"/>
      <c r="H17" s="24"/>
      <c r="I17" s="24"/>
      <c r="J17" s="24"/>
      <c r="K17" s="24"/>
    </row>
    <row r="18" spans="3:11" x14ac:dyDescent="0.45">
      <c r="C18" s="1" t="str">
        <f>'NOI Walk'!B37</f>
        <v>Property Taxes</v>
      </c>
      <c r="D18" s="1"/>
      <c r="E18" s="1"/>
      <c r="F18" s="1"/>
      <c r="G18" s="24">
        <f>+SUMIFS('NOI Walk'!$H37:$CZ37,'NOI Walk'!$H$15:$CZ$15,NOI!G$4)</f>
        <v>300870.06795679755</v>
      </c>
      <c r="H18" s="24">
        <f>+SUMIFS('NOI Walk'!$H37:$CZ37,'NOI Walk'!$H$15:$CZ$15,NOI!H$4)</f>
        <v>306942.9364223553</v>
      </c>
      <c r="I18" s="24">
        <f>+SUMIFS('NOI Walk'!$H37:$CZ37,'NOI Walk'!$H$15:$CZ$15,NOI!I$4)</f>
        <v>313138.3818250288</v>
      </c>
      <c r="J18" s="24">
        <f>+SUMIFS('NOI Walk'!$H37:$CZ37,'NOI Walk'!$H$15:$CZ$15,NOI!J$4)</f>
        <v>319458.87830131518</v>
      </c>
      <c r="K18" s="24">
        <f>+SUMIFS('NOI Walk'!$H37:$CZ37,'NOI Walk'!$H$15:$CZ$15,NOI!K$4)</f>
        <v>325906.94992656272</v>
      </c>
    </row>
    <row r="19" spans="3:11" x14ac:dyDescent="0.45">
      <c r="C19" s="1" t="str">
        <f>'NOI Walk'!B38</f>
        <v>Insurance</v>
      </c>
      <c r="D19" s="1"/>
      <c r="E19" s="1"/>
      <c r="F19" s="1"/>
      <c r="G19" s="24">
        <f>+SUMIFS('NOI Walk'!$H38:$CZ38,'NOI Walk'!$H$15:$CZ$15,NOI!G$4)</f>
        <v>94620.222563741889</v>
      </c>
      <c r="H19" s="24">
        <f>+SUMIFS('NOI Walk'!$H38:$CZ38,'NOI Walk'!$H$15:$CZ$15,NOI!H$4)</f>
        <v>96530.070790631362</v>
      </c>
      <c r="I19" s="24">
        <f>+SUMIFS('NOI Walk'!$H38:$CZ38,'NOI Walk'!$H$15:$CZ$15,NOI!I$4)</f>
        <v>98478.468073430035</v>
      </c>
      <c r="J19" s="24">
        <f>+SUMIFS('NOI Walk'!$H38:$CZ38,'NOI Walk'!$H$15:$CZ$15,NOI!J$4)</f>
        <v>100466.19249999362</v>
      </c>
      <c r="K19" s="24">
        <f>+SUMIFS('NOI Walk'!$H38:$CZ38,'NOI Walk'!$H$15:$CZ$15,NOI!K$4)</f>
        <v>102494.03786337972</v>
      </c>
    </row>
    <row r="20" spans="3:11" x14ac:dyDescent="0.45">
      <c r="C20" s="1" t="str">
        <f>'NOI Walk'!B39</f>
        <v>Water / Sewer</v>
      </c>
      <c r="D20" s="1"/>
      <c r="E20" s="1"/>
      <c r="F20" s="1"/>
      <c r="G20" s="24">
        <f>+SUMIFS('NOI Walk'!$H39:$CZ39,'NOI Walk'!$H$15:$CZ$15,NOI!G$4)</f>
        <v>42817.702295042414</v>
      </c>
      <c r="H20" s="24">
        <f>+SUMIFS('NOI Walk'!$H39:$CZ39,'NOI Walk'!$H$15:$CZ$15,NOI!H$4)</f>
        <v>42759.854377468961</v>
      </c>
      <c r="I20" s="24">
        <f>+SUMIFS('NOI Walk'!$H39:$CZ39,'NOI Walk'!$H$15:$CZ$15,NOI!I$4)</f>
        <v>47428.590497831246</v>
      </c>
      <c r="J20" s="24">
        <f>+SUMIFS('NOI Walk'!$H39:$CZ39,'NOI Walk'!$H$15:$CZ$15,NOI!J$4)</f>
        <v>50308.231223020288</v>
      </c>
      <c r="K20" s="24">
        <f>+SUMIFS('NOI Walk'!$H39:$CZ39,'NOI Walk'!$H$15:$CZ$15,NOI!K$4)</f>
        <v>51323.670455732994</v>
      </c>
    </row>
    <row r="21" spans="3:11" x14ac:dyDescent="0.45">
      <c r="C21" s="1" t="str">
        <f>'NOI Walk'!B40</f>
        <v>Repairs &amp; Maintenance</v>
      </c>
      <c r="D21" s="1"/>
      <c r="E21" s="1"/>
      <c r="F21" s="1"/>
      <c r="G21" s="24">
        <f>+SUMIFS('NOI Walk'!$H40:$CZ40,'NOI Walk'!$H$15:$CZ$15,NOI!G$4)</f>
        <v>35628.128643197248</v>
      </c>
      <c r="H21" s="24">
        <f>+SUMIFS('NOI Walk'!$H40:$CZ40,'NOI Walk'!$H$15:$CZ$15,NOI!H$4)</f>
        <v>35579.994041418613</v>
      </c>
      <c r="I21" s="24">
        <f>+SUMIFS('NOI Walk'!$H40:$CZ40,'NOI Walk'!$H$15:$CZ$15,NOI!I$4)</f>
        <v>39464.796872528677</v>
      </c>
      <c r="J21" s="24">
        <f>+SUMIFS('NOI Walk'!$H40:$CZ40,'NOI Walk'!$H$15:$CZ$15,NOI!J$4)</f>
        <v>41860.913541664006</v>
      </c>
      <c r="K21" s="24">
        <f>+SUMIFS('NOI Walk'!$H40:$CZ40,'NOI Walk'!$H$15:$CZ$15,NOI!K$4)</f>
        <v>42705.849109741554</v>
      </c>
    </row>
    <row r="22" spans="3:11" x14ac:dyDescent="0.45">
      <c r="C22" s="1" t="str">
        <f>'NOI Walk'!B41</f>
        <v>Elevator Contract</v>
      </c>
      <c r="D22" s="1"/>
      <c r="E22" s="1"/>
      <c r="F22" s="1"/>
      <c r="G22" s="24">
        <f>+SUMIFS('NOI Walk'!$H41:$CZ41,'NOI Walk'!$H$15:$CZ$15,NOI!G$4)</f>
        <v>0</v>
      </c>
      <c r="H22" s="24">
        <f>+SUMIFS('NOI Walk'!$H41:$CZ41,'NOI Walk'!$H$15:$CZ$15,NOI!H$4)</f>
        <v>0</v>
      </c>
      <c r="I22" s="24">
        <f>+SUMIFS('NOI Walk'!$H41:$CZ41,'NOI Walk'!$H$15:$CZ$15,NOI!I$4)</f>
        <v>0</v>
      </c>
      <c r="J22" s="24">
        <f>+SUMIFS('NOI Walk'!$H41:$CZ41,'NOI Walk'!$H$15:$CZ$15,NOI!J$4)</f>
        <v>0</v>
      </c>
      <c r="K22" s="24">
        <f>+SUMIFS('NOI Walk'!$H41:$CZ41,'NOI Walk'!$H$15:$CZ$15,NOI!K$4)</f>
        <v>0</v>
      </c>
    </row>
    <row r="23" spans="3:11" x14ac:dyDescent="0.45">
      <c r="C23" s="1" t="str">
        <f>'NOI Walk'!B42</f>
        <v>Trash</v>
      </c>
      <c r="D23" s="1"/>
      <c r="E23" s="1"/>
      <c r="F23" s="1"/>
      <c r="G23" s="24">
        <f>+SUMIFS('NOI Walk'!$H42:$CZ42,'NOI Walk'!$H$15:$CZ$15,NOI!G$4)</f>
        <v>2426.1595529164588</v>
      </c>
      <c r="H23" s="24">
        <f>+SUMIFS('NOI Walk'!$H42:$CZ42,'NOI Walk'!$H$15:$CZ$15,NOI!H$4)</f>
        <v>2475.1300202725988</v>
      </c>
      <c r="I23" s="24">
        <f>+SUMIFS('NOI Walk'!$H42:$CZ42,'NOI Walk'!$H$15:$CZ$15,NOI!I$4)</f>
        <v>2525.0889249597444</v>
      </c>
      <c r="J23" s="24">
        <f>+SUMIFS('NOI Walk'!$H42:$CZ42,'NOI Walk'!$H$15:$CZ$15,NOI!J$4)</f>
        <v>2576.0562179485537</v>
      </c>
      <c r="K23" s="24">
        <f>+SUMIFS('NOI Walk'!$H42:$CZ42,'NOI Walk'!$H$15:$CZ$15,NOI!K$4)</f>
        <v>2628.0522529071727</v>
      </c>
    </row>
    <row r="24" spans="3:11" x14ac:dyDescent="0.45">
      <c r="C24" s="1" t="str">
        <f>'NOI Walk'!B43</f>
        <v>Cleaning</v>
      </c>
      <c r="D24" s="1"/>
      <c r="E24" s="1"/>
      <c r="F24" s="1"/>
      <c r="G24" s="24">
        <f>+SUMIFS('NOI Walk'!$H43:$CZ43,'NOI Walk'!$H$15:$CZ$15,NOI!G$4)</f>
        <v>11827.527820467736</v>
      </c>
      <c r="H24" s="24">
        <f>+SUMIFS('NOI Walk'!$H43:$CZ43,'NOI Walk'!$H$15:$CZ$15,NOI!H$4)</f>
        <v>12066.25884882892</v>
      </c>
      <c r="I24" s="24">
        <f>+SUMIFS('NOI Walk'!$H43:$CZ43,'NOI Walk'!$H$15:$CZ$15,NOI!I$4)</f>
        <v>12309.808509178754</v>
      </c>
      <c r="J24" s="24">
        <f>+SUMIFS('NOI Walk'!$H43:$CZ43,'NOI Walk'!$H$15:$CZ$15,NOI!J$4)</f>
        <v>12558.274062499202</v>
      </c>
      <c r="K24" s="24">
        <f>+SUMIFS('NOI Walk'!$H43:$CZ43,'NOI Walk'!$H$15:$CZ$15,NOI!K$4)</f>
        <v>12811.754732922465</v>
      </c>
    </row>
    <row r="25" spans="3:11" x14ac:dyDescent="0.45">
      <c r="C25" s="1" t="str">
        <f>'NOI Walk'!B44</f>
        <v>Security, Internet</v>
      </c>
      <c r="D25" s="1"/>
      <c r="E25" s="1"/>
      <c r="F25" s="1"/>
      <c r="G25" s="24">
        <f>+SUMIFS('NOI Walk'!$H44:$CZ44,'NOI Walk'!$H$15:$CZ$15,NOI!G$4)</f>
        <v>2426.1595529164588</v>
      </c>
      <c r="H25" s="24">
        <f>+SUMIFS('NOI Walk'!$H44:$CZ44,'NOI Walk'!$H$15:$CZ$15,NOI!H$4)</f>
        <v>2475.1300202725988</v>
      </c>
      <c r="I25" s="24">
        <f>+SUMIFS('NOI Walk'!$H44:$CZ44,'NOI Walk'!$H$15:$CZ$15,NOI!I$4)</f>
        <v>2525.0889249597444</v>
      </c>
      <c r="J25" s="24">
        <f>+SUMIFS('NOI Walk'!$H44:$CZ44,'NOI Walk'!$H$15:$CZ$15,NOI!J$4)</f>
        <v>2576.0562179485537</v>
      </c>
      <c r="K25" s="24">
        <f>+SUMIFS('NOI Walk'!$H44:$CZ44,'NOI Walk'!$H$15:$CZ$15,NOI!K$4)</f>
        <v>2628.0522529071727</v>
      </c>
    </row>
    <row r="26" spans="3:11" x14ac:dyDescent="0.45">
      <c r="C26" s="1" t="str">
        <f>'NOI Walk'!B45</f>
        <v>Pest Control</v>
      </c>
      <c r="D26" s="1"/>
      <c r="E26" s="1"/>
      <c r="F26" s="1"/>
      <c r="G26" s="24">
        <f>+SUMIFS('NOI Walk'!$H45:$CZ45,'NOI Walk'!$H$15:$CZ$15,NOI!G$4)</f>
        <v>3942.5092734892455</v>
      </c>
      <c r="H26" s="24">
        <f>+SUMIFS('NOI Walk'!$H45:$CZ45,'NOI Walk'!$H$15:$CZ$15,NOI!H$4)</f>
        <v>4022.0862829429734</v>
      </c>
      <c r="I26" s="24">
        <f>+SUMIFS('NOI Walk'!$H45:$CZ45,'NOI Walk'!$H$15:$CZ$15,NOI!I$4)</f>
        <v>4103.2695030595842</v>
      </c>
      <c r="J26" s="24">
        <f>+SUMIFS('NOI Walk'!$H45:$CZ45,'NOI Walk'!$H$15:$CZ$15,NOI!J$4)</f>
        <v>4186.0913541664004</v>
      </c>
      <c r="K26" s="24">
        <f>+SUMIFS('NOI Walk'!$H45:$CZ45,'NOI Walk'!$H$15:$CZ$15,NOI!K$4)</f>
        <v>4270.5849109741557</v>
      </c>
    </row>
    <row r="27" spans="3:11" x14ac:dyDescent="0.45">
      <c r="C27" s="1" t="str">
        <f>'NOI Walk'!B46</f>
        <v>Super (Payroll)</v>
      </c>
      <c r="D27" s="1"/>
      <c r="E27" s="1"/>
      <c r="F27" s="1"/>
      <c r="G27" s="24">
        <f>+SUMIFS('NOI Walk'!$H46:$CZ46,'NOI Walk'!$H$15:$CZ$15,NOI!G$4)</f>
        <v>39425.09273489246</v>
      </c>
      <c r="H27" s="24">
        <f>+SUMIFS('NOI Walk'!$H46:$CZ46,'NOI Walk'!$H$15:$CZ$15,NOI!H$4)</f>
        <v>40220.86282942973</v>
      </c>
      <c r="I27" s="24">
        <f>+SUMIFS('NOI Walk'!$H46:$CZ46,'NOI Walk'!$H$15:$CZ$15,NOI!I$4)</f>
        <v>41032.695030595853</v>
      </c>
      <c r="J27" s="24">
        <f>+SUMIFS('NOI Walk'!$H46:$CZ46,'NOI Walk'!$H$15:$CZ$15,NOI!J$4)</f>
        <v>41860.913541664006</v>
      </c>
      <c r="K27" s="24">
        <f>+SUMIFS('NOI Walk'!$H46:$CZ46,'NOI Walk'!$H$15:$CZ$15,NOI!K$4)</f>
        <v>42705.849109741554</v>
      </c>
    </row>
    <row r="28" spans="3:11" x14ac:dyDescent="0.45">
      <c r="C28" s="1" t="str">
        <f>'NOI Walk'!B47</f>
        <v>Heat (Gas)</v>
      </c>
      <c r="D28" s="1"/>
      <c r="E28" s="1"/>
      <c r="F28" s="1"/>
      <c r="G28" s="24">
        <f>+SUMIFS('NOI Walk'!$H47:$CZ47,'NOI Walk'!$H$15:$CZ$15,NOI!G$4)</f>
        <v>68118.473047384425</v>
      </c>
      <c r="H28" s="24">
        <f>+SUMIFS('NOI Walk'!$H47:$CZ47,'NOI Walk'!$H$15:$CZ$15,NOI!H$4)</f>
        <v>69493.400535853652</v>
      </c>
      <c r="I28" s="24">
        <f>+SUMIFS('NOI Walk'!$H47:$CZ47,'NOI Walk'!$H$15:$CZ$15,NOI!I$4)</f>
        <v>70896.080049786411</v>
      </c>
      <c r="J28" s="24">
        <f>+SUMIFS('NOI Walk'!$H47:$CZ47,'NOI Walk'!$H$15:$CZ$15,NOI!J$4)</f>
        <v>72327.071745935566</v>
      </c>
      <c r="K28" s="24">
        <f>+SUMIFS('NOI Walk'!$H47:$CZ47,'NOI Walk'!$H$15:$CZ$15,NOI!K$4)</f>
        <v>73786.94708745704</v>
      </c>
    </row>
    <row r="29" spans="3:11" x14ac:dyDescent="0.45">
      <c r="C29" s="1" t="str">
        <f>'NOI Walk'!B48</f>
        <v>Common Area Electric</v>
      </c>
      <c r="D29" s="1"/>
      <c r="E29" s="1"/>
      <c r="F29" s="1"/>
      <c r="G29" s="24">
        <f>+SUMIFS('NOI Walk'!$H48:$CZ48,'NOI Walk'!$H$15:$CZ$15,NOI!G$4)</f>
        <v>3420.8849696122079</v>
      </c>
      <c r="H29" s="24">
        <f>+SUMIFS('NOI Walk'!$H48:$CZ48,'NOI Walk'!$H$15:$CZ$15,NOI!H$4)</f>
        <v>3489.9333285843663</v>
      </c>
      <c r="I29" s="24">
        <f>+SUMIFS('NOI Walk'!$H48:$CZ48,'NOI Walk'!$H$15:$CZ$15,NOI!I$4)</f>
        <v>3560.3753841932416</v>
      </c>
      <c r="J29" s="24">
        <f>+SUMIFS('NOI Walk'!$H48:$CZ48,'NOI Walk'!$H$15:$CZ$15,NOI!J$4)</f>
        <v>3632.2392673074628</v>
      </c>
      <c r="K29" s="24">
        <f>+SUMIFS('NOI Walk'!$H48:$CZ48,'NOI Walk'!$H$15:$CZ$15,NOI!K$4)</f>
        <v>3705.5536765991155</v>
      </c>
    </row>
    <row r="30" spans="3:11" x14ac:dyDescent="0.45">
      <c r="C30" s="1" t="str">
        <f>'NOI Walk'!B49</f>
        <v>Landscaping / Snow Removal</v>
      </c>
      <c r="D30" s="1"/>
      <c r="E30" s="1"/>
      <c r="F30" s="1"/>
      <c r="G30" s="24">
        <f>+SUMIFS('NOI Walk'!$H49:$CZ49,'NOI Walk'!$H$15:$CZ$15,NOI!G$4)</f>
        <v>6065.398882291146</v>
      </c>
      <c r="H30" s="24">
        <f>+SUMIFS('NOI Walk'!$H49:$CZ49,'NOI Walk'!$H$15:$CZ$15,NOI!H$4)</f>
        <v>6187.8250506814975</v>
      </c>
      <c r="I30" s="24">
        <f>+SUMIFS('NOI Walk'!$H49:$CZ49,'NOI Walk'!$H$15:$CZ$15,NOI!I$4)</f>
        <v>6312.7223123993608</v>
      </c>
      <c r="J30" s="24">
        <f>+SUMIFS('NOI Walk'!$H49:$CZ49,'NOI Walk'!$H$15:$CZ$15,NOI!J$4)</f>
        <v>6440.1405448713849</v>
      </c>
      <c r="K30" s="24">
        <f>+SUMIFS('NOI Walk'!$H49:$CZ49,'NOI Walk'!$H$15:$CZ$15,NOI!K$4)</f>
        <v>6570.1306322679311</v>
      </c>
    </row>
    <row r="31" spans="3:11" x14ac:dyDescent="0.45">
      <c r="C31" s="1" t="str">
        <f>'NOI Walk'!B50</f>
        <v>Property Management</v>
      </c>
      <c r="D31" s="1"/>
      <c r="E31" s="1"/>
      <c r="F31" s="1"/>
      <c r="G31" s="24">
        <f>+SUMIFS('NOI Walk'!$H50:$CZ50,'NOI Walk'!$H$15:$CZ$15,NOI!G$4)</f>
        <v>47896.933244226486</v>
      </c>
      <c r="H31" s="24">
        <f>+SUMIFS('NOI Walk'!$H50:$CZ50,'NOI Walk'!$H$15:$CZ$15,NOI!H$4)</f>
        <v>59463.58596900558</v>
      </c>
      <c r="I31" s="24">
        <f>+SUMIFS('NOI Walk'!$H50:$CZ50,'NOI Walk'!$H$15:$CZ$15,NOI!I$4)</f>
        <v>75138.77196812637</v>
      </c>
      <c r="J31" s="24">
        <f>+SUMIFS('NOI Walk'!$H50:$CZ50,'NOI Walk'!$H$15:$CZ$15,NOI!J$4)</f>
        <v>80326.894133142356</v>
      </c>
      <c r="K31" s="24">
        <f>+SUMIFS('NOI Walk'!$H50:$CZ50,'NOI Walk'!$H$15:$CZ$15,NOI!K$4)</f>
        <v>82328.854494578729</v>
      </c>
    </row>
    <row r="32" spans="3:11" x14ac:dyDescent="0.45">
      <c r="C32" s="1" t="str">
        <f>'NOI Walk'!B51</f>
        <v>Accounting / Legal</v>
      </c>
      <c r="D32" s="1"/>
      <c r="E32" s="1"/>
      <c r="F32" s="1"/>
      <c r="G32" s="24">
        <f>+SUMIFS('NOI Walk'!$H51:$CZ51,'NOI Walk'!$H$15:$CZ$15,NOI!G$4)</f>
        <v>2527.2495342879783</v>
      </c>
      <c r="H32" s="24">
        <f>+SUMIFS('NOI Walk'!$H51:$CZ51,'NOI Walk'!$H$15:$CZ$15,NOI!H$4)</f>
        <v>2578.2604377839571</v>
      </c>
      <c r="I32" s="24">
        <f>+SUMIFS('NOI Walk'!$H51:$CZ51,'NOI Walk'!$H$15:$CZ$15,NOI!I$4)</f>
        <v>2630.3009634997343</v>
      </c>
      <c r="J32" s="24">
        <f>+SUMIFS('NOI Walk'!$H51:$CZ51,'NOI Walk'!$H$15:$CZ$15,NOI!J$4)</f>
        <v>2683.3918936964105</v>
      </c>
      <c r="K32" s="24">
        <f>+SUMIFS('NOI Walk'!$H51:$CZ51,'NOI Walk'!$H$15:$CZ$15,NOI!K$4)</f>
        <v>2737.5544301116388</v>
      </c>
    </row>
    <row r="33" spans="3:11" x14ac:dyDescent="0.45">
      <c r="C33" s="4" t="str">
        <f>'NOI Walk'!B52</f>
        <v>Total Operating Expenses</v>
      </c>
      <c r="D33" s="4"/>
      <c r="E33" s="4"/>
      <c r="F33" s="4"/>
      <c r="G33" s="26">
        <f>+SUMIFS('NOI Walk'!$H52:$CZ52,'NOI Walk'!$H$15:$CZ$15,NOI!G$4)</f>
        <v>662012.51007126353</v>
      </c>
      <c r="H33" s="26">
        <f>+SUMIFS('NOI Walk'!$H52:$CZ52,'NOI Walk'!$H$15:$CZ$15,NOI!H$4)</f>
        <v>684285.32895552996</v>
      </c>
      <c r="I33" s="26">
        <f>+SUMIFS('NOI Walk'!$H52:$CZ52,'NOI Walk'!$H$15:$CZ$15,NOI!I$4)</f>
        <v>719544.4388395776</v>
      </c>
      <c r="J33" s="26">
        <f>+SUMIFS('NOI Walk'!$H52:$CZ52,'NOI Walk'!$H$15:$CZ$15,NOI!J$4)</f>
        <v>741261.34454517311</v>
      </c>
      <c r="K33" s="26">
        <f>+SUMIFS('NOI Walk'!$H52:$CZ52,'NOI Walk'!$H$15:$CZ$15,NOI!K$4)</f>
        <v>756603.84093588404</v>
      </c>
    </row>
    <row r="34" spans="3:11" x14ac:dyDescent="0.45">
      <c r="C34" s="1"/>
      <c r="D34" s="1"/>
      <c r="E34" s="1"/>
      <c r="F34" s="1"/>
      <c r="G34" s="24"/>
      <c r="H34" s="24"/>
      <c r="I34" s="24"/>
      <c r="J34" s="24"/>
      <c r="K34" s="24"/>
    </row>
    <row r="35" spans="3:11" x14ac:dyDescent="0.45">
      <c r="C35" s="380" t="str">
        <f>'NOI Walk'!B54</f>
        <v>Multifamily NOI</v>
      </c>
      <c r="D35" s="380"/>
      <c r="E35" s="380"/>
      <c r="F35" s="380"/>
      <c r="G35" s="381">
        <f>+SUMIFS('NOI Walk'!$H54:$CZ54,'NOI Walk'!$H$15:$CZ$15,NOI!G$4)</f>
        <v>934551.93140295264</v>
      </c>
      <c r="H35" s="381">
        <f>+SUMIFS('NOI Walk'!$H54:$CZ54,'NOI Walk'!$H$15:$CZ$15,NOI!H$4)</f>
        <v>1297834.2033446564</v>
      </c>
      <c r="I35" s="381">
        <f>+SUMIFS('NOI Walk'!$H54:$CZ54,'NOI Walk'!$H$15:$CZ$15,NOI!I$4)</f>
        <v>1785081.2934313016</v>
      </c>
      <c r="J35" s="381">
        <f>+SUMIFS('NOI Walk'!$H54:$CZ54,'NOI Walk'!$H$15:$CZ$15,NOI!J$4)</f>
        <v>1936301.7932262386</v>
      </c>
      <c r="K35" s="381">
        <f>+SUMIFS('NOI Walk'!$H54:$CZ54,'NOI Walk'!$H$15:$CZ$15,NOI!K$4)</f>
        <v>1987691.3088834072</v>
      </c>
    </row>
    <row r="36" spans="3:11" x14ac:dyDescent="0.45">
      <c r="C36" s="3" t="str">
        <f>'NOI Walk'!B58</f>
        <v>Reserves</v>
      </c>
      <c r="D36" s="3"/>
      <c r="E36" s="3"/>
      <c r="F36" s="3"/>
      <c r="G36" s="25">
        <f>-SUMIFS('NOI Walk'!$H59:$CZ59,'NOI Walk'!$H$15:$CZ$15,NOI!G$4)</f>
        <v>-15965.644414742164</v>
      </c>
      <c r="H36" s="25">
        <f>-SUMIFS('NOI Walk'!$H59:$CZ59,'NOI Walk'!$H$15:$CZ$15,NOI!H$4)</f>
        <v>-19821.195323001863</v>
      </c>
      <c r="I36" s="25">
        <f>-SUMIFS('NOI Walk'!$H59:$CZ59,'NOI Walk'!$H$15:$CZ$15,NOI!I$4)</f>
        <v>-25046.257322708792</v>
      </c>
      <c r="J36" s="25">
        <f>-SUMIFS('NOI Walk'!$H59:$CZ59,'NOI Walk'!$H$15:$CZ$15,NOI!J$4)</f>
        <v>-26775.631377714119</v>
      </c>
      <c r="K36" s="25">
        <f>-SUMIFS('NOI Walk'!$H59:$CZ59,'NOI Walk'!$H$15:$CZ$15,NOI!K$4)</f>
        <v>-27442.95149819291</v>
      </c>
    </row>
    <row r="37" spans="3:11" x14ac:dyDescent="0.45">
      <c r="C37" s="380" t="s">
        <v>348</v>
      </c>
      <c r="D37" s="380"/>
      <c r="E37" s="380"/>
      <c r="F37" s="380"/>
      <c r="G37" s="381">
        <f t="shared" ref="G37:K37" si="2">SUM(G35:G36)</f>
        <v>918586.28698821052</v>
      </c>
      <c r="H37" s="381">
        <f t="shared" si="2"/>
        <v>1278013.0080216546</v>
      </c>
      <c r="I37" s="381">
        <f t="shared" si="2"/>
        <v>1760035.0361085928</v>
      </c>
      <c r="J37" s="381">
        <f t="shared" si="2"/>
        <v>1909526.1618485244</v>
      </c>
      <c r="K37" s="381">
        <f t="shared" si="2"/>
        <v>1960248.3573852142</v>
      </c>
    </row>
    <row r="38" spans="3:11" s="378" customFormat="1" x14ac:dyDescent="0.45">
      <c r="C38" s="83" t="s">
        <v>347</v>
      </c>
      <c r="D38" s="83"/>
      <c r="E38" s="83"/>
      <c r="F38" s="83"/>
      <c r="G38" s="256">
        <f>+G37/Assumptions!$F$17</f>
        <v>4.6535877411128149E-2</v>
      </c>
      <c r="H38" s="256">
        <f>+H37/Assumptions!$F$17</f>
        <v>6.4744550962239827E-2</v>
      </c>
      <c r="I38" s="256">
        <f>+I37/Assumptions!$F$17</f>
        <v>8.9163942288081624E-2</v>
      </c>
      <c r="J38" s="256">
        <f>+J37/Assumptions!$F$17</f>
        <v>9.6737210907509946E-2</v>
      </c>
      <c r="K38" s="256">
        <f>+K37/Assumptions!$F$17</f>
        <v>9.9306813684030562E-2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AD08E-DCFB-452D-B28F-0DF3B5BE75C1}">
  <sheetPr>
    <tabColor theme="7" tint="0.59999389629810485"/>
  </sheetPr>
  <dimension ref="B2:U43"/>
  <sheetViews>
    <sheetView showGridLines="0" workbookViewId="0">
      <selection activeCell="K23" sqref="K23"/>
    </sheetView>
  </sheetViews>
  <sheetFormatPr defaultRowHeight="14.25" x14ac:dyDescent="0.45"/>
  <cols>
    <col min="1" max="4" width="9.06640625" style="169"/>
    <col min="5" max="5" width="10.3984375" style="169" bestFit="1" customWidth="1"/>
    <col min="6" max="8" width="10" style="169" bestFit="1" customWidth="1"/>
    <col min="9" max="9" width="11" style="169" bestFit="1" customWidth="1"/>
    <col min="10" max="10" width="10" style="169" bestFit="1" customWidth="1"/>
    <col min="11" max="11" width="11" style="169" bestFit="1" customWidth="1"/>
    <col min="12" max="12" width="10.19921875" style="169" bestFit="1" customWidth="1"/>
    <col min="13" max="13" width="25.59765625" style="169" customWidth="1"/>
    <col min="14" max="15" width="2.33203125" style="169" bestFit="1" customWidth="1"/>
    <col min="16" max="16" width="10.59765625" style="169" customWidth="1"/>
    <col min="17" max="17" width="12.19921875" style="169" bestFit="1" customWidth="1"/>
    <col min="18" max="18" width="15.59765625" style="169" customWidth="1"/>
    <col min="19" max="19" width="10.59765625" style="169" customWidth="1"/>
    <col min="20" max="20" width="6.59765625" style="169" customWidth="1"/>
    <col min="21" max="21" width="14.59765625" style="169" customWidth="1"/>
    <col min="22" max="16384" width="9.06640625" style="169"/>
  </cols>
  <sheetData>
    <row r="2" spans="2:14" x14ac:dyDescent="0.45">
      <c r="B2" s="202" t="s">
        <v>351</v>
      </c>
    </row>
    <row r="3" spans="2:14" hidden="1" x14ac:dyDescent="0.45">
      <c r="F3" s="383">
        <v>0</v>
      </c>
      <c r="G3" s="383">
        <f>+F3+1</f>
        <v>1</v>
      </c>
      <c r="H3" s="383">
        <f t="shared" ref="H3:K3" si="0">+G3+1</f>
        <v>2</v>
      </c>
      <c r="I3" s="383">
        <f t="shared" si="0"/>
        <v>3</v>
      </c>
      <c r="J3" s="383">
        <f t="shared" si="0"/>
        <v>4</v>
      </c>
      <c r="K3" s="383">
        <f t="shared" si="0"/>
        <v>5</v>
      </c>
    </row>
    <row r="4" spans="2:14" x14ac:dyDescent="0.45">
      <c r="F4" s="384"/>
      <c r="G4" s="384"/>
      <c r="H4" s="384"/>
      <c r="I4" s="384"/>
      <c r="J4" s="384"/>
      <c r="K4" s="384"/>
    </row>
    <row r="5" spans="2:14" x14ac:dyDescent="0.45">
      <c r="B5" s="322"/>
      <c r="C5" s="322"/>
      <c r="D5" s="322"/>
      <c r="E5" s="322"/>
      <c r="F5" s="385" t="s">
        <v>352</v>
      </c>
      <c r="G5" s="386">
        <f>+G3</f>
        <v>1</v>
      </c>
      <c r="H5" s="386">
        <f t="shared" ref="H5:K5" si="1">+H3</f>
        <v>2</v>
      </c>
      <c r="I5" s="386">
        <f t="shared" si="1"/>
        <v>3</v>
      </c>
      <c r="J5" s="386">
        <f t="shared" si="1"/>
        <v>4</v>
      </c>
      <c r="K5" s="386">
        <f t="shared" si="1"/>
        <v>5</v>
      </c>
    </row>
    <row r="6" spans="2:14" s="202" customFormat="1" ht="20" customHeight="1" x14ac:dyDescent="0.45">
      <c r="B6" s="387" t="s">
        <v>333</v>
      </c>
      <c r="C6" s="387"/>
      <c r="D6" s="387"/>
      <c r="E6" s="387"/>
      <c r="F6" s="388">
        <f>+SUMIFS(Model!$G30:$DW30,Model!$G$3:$DW$3,'Cash Flow and Exit'!F$3)</f>
        <v>0</v>
      </c>
      <c r="G6" s="388">
        <f>+SUMIFS(Model!$G30:$DW30,Model!$G$3:$DW$3,'Cash Flow and Exit'!G$3)</f>
        <v>918586.28698821028</v>
      </c>
      <c r="H6" s="388">
        <f>+SUMIFS(Model!$G30:$DW30,Model!$G$3:$DW$3,'Cash Flow and Exit'!H$3)</f>
        <v>1278013.0080216543</v>
      </c>
      <c r="I6" s="388">
        <f>+SUMIFS(Model!$G30:$DW30,Model!$G$3:$DW$3,'Cash Flow and Exit'!I$3)</f>
        <v>1760035.0361085928</v>
      </c>
      <c r="J6" s="388">
        <f>+SUMIFS(Model!$G30:$DW30,Model!$G$3:$DW$3,'Cash Flow and Exit'!J$3)</f>
        <v>1909526.1618485244</v>
      </c>
      <c r="K6" s="388">
        <f>+SUMIFS(Model!$G30:$DW30,Model!$G$3:$DW$3,'Cash Flow and Exit'!K$3)</f>
        <v>1960248.3573852147</v>
      </c>
      <c r="L6" s="169"/>
      <c r="M6" s="169"/>
      <c r="N6" s="169"/>
    </row>
    <row r="7" spans="2:14" x14ac:dyDescent="0.45">
      <c r="F7" s="203"/>
      <c r="G7" s="203"/>
      <c r="H7" s="203"/>
      <c r="I7" s="203"/>
      <c r="J7" s="203"/>
      <c r="K7" s="203"/>
    </row>
    <row r="8" spans="2:14" ht="20" customHeight="1" x14ac:dyDescent="0.45">
      <c r="B8" s="389" t="s">
        <v>353</v>
      </c>
      <c r="C8" s="389"/>
      <c r="D8" s="389"/>
      <c r="E8" s="389"/>
      <c r="F8" s="390">
        <f>+SUMIFS(Model!$G44:$DW44,Model!$G$3:$DW$3,'Cash Flow and Exit'!F$3)</f>
        <v>11250000</v>
      </c>
      <c r="G8" s="390">
        <f>+SUMIFS(Model!$G44:$DW44,Model!$G$3:$DW$3,'Cash Flow and Exit'!G$3)</f>
        <v>0</v>
      </c>
      <c r="H8" s="390">
        <f>+SUMIFS(Model!$G44:$DW44,Model!$G$3:$DW$3,'Cash Flow and Exit'!H$3)</f>
        <v>0</v>
      </c>
      <c r="I8" s="390">
        <f>+SUMIFS(Model!$G44:$DW44,Model!$G$3:$DW$3,'Cash Flow and Exit'!I$3)</f>
        <v>0</v>
      </c>
      <c r="J8" s="390">
        <f>+SUMIFS(Model!$G44:$DW44,Model!$G$3:$DW$3,'Cash Flow and Exit'!J$3)</f>
        <v>0</v>
      </c>
      <c r="K8" s="390">
        <f>+SUMIFS(Model!$G44:$DW44,Model!$G$3:$DW$3,'Cash Flow and Exit'!K$3)</f>
        <v>0</v>
      </c>
    </row>
    <row r="9" spans="2:14" ht="20" customHeight="1" x14ac:dyDescent="0.45">
      <c r="B9" s="391" t="s">
        <v>354</v>
      </c>
      <c r="C9" s="391"/>
      <c r="D9" s="391"/>
      <c r="E9" s="391"/>
      <c r="F9" s="392">
        <f>-SUMIFS(Model!$G45:$DW45,Model!$G$3:$DW$3,'Cash Flow and Exit'!F$3)+SUMIFS(Model!$G51:$DW51,Model!$G$3:$DW$3,'Cash Flow and Exit'!F$3)</f>
        <v>0</v>
      </c>
      <c r="G9" s="392">
        <f>-SUMIFS(Model!$G45:$DW45,Model!$G$3:$DW$3,'Cash Flow and Exit'!G$3)+SUMIFS(Model!$G51:$DW51,Model!$G$3:$DW$3,'Cash Flow and Exit'!G$3)</f>
        <v>1184721.6196198785</v>
      </c>
      <c r="H9" s="392">
        <f>-SUMIFS(Model!$G45:$DW45,Model!$G$3:$DW$3,'Cash Flow and Exit'!H$3)+SUMIFS(Model!$G51:$DW51,Model!$G$3:$DW$3,'Cash Flow and Exit'!H$3)</f>
        <v>1184721.6196198782</v>
      </c>
      <c r="I9" s="392">
        <f>-SUMIFS(Model!$G45:$DW45,Model!$G$3:$DW$3,'Cash Flow and Exit'!I$3)+SUMIFS(Model!$G51:$DW51,Model!$G$3:$DW$3,'Cash Flow and Exit'!I$3)</f>
        <v>888541.21471490874</v>
      </c>
      <c r="J9" s="392">
        <f>-SUMIFS(Model!$G45:$DW45,Model!$G$3:$DW$3,'Cash Flow and Exit'!J$3)+SUMIFS(Model!$G51:$DW51,Model!$G$3:$DW$3,'Cash Flow and Exit'!J$3)</f>
        <v>0</v>
      </c>
      <c r="K9" s="392">
        <f>-SUMIFS(Model!$G45:$DW45,Model!$G$3:$DW$3,'Cash Flow and Exit'!K$3)+SUMIFS(Model!$G51:$DW51,Model!$G$3:$DW$3,'Cash Flow and Exit'!K$3)</f>
        <v>0</v>
      </c>
    </row>
    <row r="10" spans="2:14" ht="20" customHeight="1" x14ac:dyDescent="0.45">
      <c r="B10" s="393" t="s">
        <v>355</v>
      </c>
      <c r="C10" s="393"/>
      <c r="D10" s="393"/>
      <c r="E10" s="393"/>
      <c r="F10" s="394">
        <f>+SUMIFS(Model!$G46:$DW46,Model!$G$3:$DW$3,'Cash Flow and Exit'!F$3)</f>
        <v>0</v>
      </c>
      <c r="G10" s="394">
        <f>+SUMIFS(Model!$G46:$DW46,Model!$G$3:$DW$3,'Cash Flow and Exit'!G$3)</f>
        <v>0</v>
      </c>
      <c r="H10" s="394">
        <f>+SUMIFS(Model!$G46:$DW46,Model!$G$3:$DW$3,'Cash Flow and Exit'!H$3)</f>
        <v>0</v>
      </c>
      <c r="I10" s="394">
        <f>+SUMIFS(Model!$G46:$DW46,Model!$G$3:$DW$3,'Cash Flow and Exit'!I$3)</f>
        <v>-11061858.185494566</v>
      </c>
      <c r="J10" s="394">
        <f>+SUMIFS(Model!$G46:$DW46,Model!$G$3:$DW$3,'Cash Flow and Exit'!J$3)</f>
        <v>0</v>
      </c>
      <c r="K10" s="394">
        <f>+SUMIFS(Model!$G46:$DW46,Model!$G$3:$DW$3,'Cash Flow and Exit'!K$3)</f>
        <v>0</v>
      </c>
    </row>
    <row r="11" spans="2:14" x14ac:dyDescent="0.45">
      <c r="F11" s="203"/>
      <c r="G11" s="203"/>
      <c r="H11" s="203"/>
      <c r="I11" s="203"/>
      <c r="J11" s="203"/>
      <c r="K11" s="203"/>
    </row>
    <row r="12" spans="2:14" ht="20" customHeight="1" x14ac:dyDescent="0.45">
      <c r="B12" s="389" t="s">
        <v>356</v>
      </c>
      <c r="C12" s="389"/>
      <c r="D12" s="389"/>
      <c r="E12" s="389"/>
      <c r="F12" s="390">
        <f>+SUMIFS(Model!$G63:$DW63,Model!$G$3:$DW$3,'Cash Flow and Exit'!F$3)</f>
        <v>0</v>
      </c>
      <c r="G12" s="390">
        <f>+SUMIFS(Model!$G63:$DW63,Model!$G$3:$DW$3,'Cash Flow and Exit'!G$3)</f>
        <v>0</v>
      </c>
      <c r="H12" s="390">
        <f>+SUMIFS(Model!$G63:$DW63,Model!$G$3:$DW$3,'Cash Flow and Exit'!H$3)</f>
        <v>0</v>
      </c>
      <c r="I12" s="390">
        <f>+SUMIFS(Model!$G63:$DW63,Model!$G$3:$DW$3,'Cash Flow and Exit'!I$3)</f>
        <v>20678404.454956274</v>
      </c>
      <c r="J12" s="390">
        <f>+SUMIFS(Model!$G63:$DW63,Model!$G$3:$DW$3,'Cash Flow and Exit'!J$3)</f>
        <v>0</v>
      </c>
      <c r="K12" s="390">
        <f>+SUMIFS(Model!$G63:$DW63,Model!$G$3:$DW$3,'Cash Flow and Exit'!K$3)</f>
        <v>0</v>
      </c>
    </row>
    <row r="13" spans="2:14" ht="20" customHeight="1" x14ac:dyDescent="0.45">
      <c r="B13" s="391" t="s">
        <v>357</v>
      </c>
      <c r="C13" s="391"/>
      <c r="D13" s="391"/>
      <c r="E13" s="391"/>
      <c r="F13" s="392">
        <f>-SUMIFS(Model!$G64:$DW64,Model!$G$3:$DW$3,'Cash Flow and Exit'!F$3)-SUMIFS(Model!$G66:$DW66,Model!$G$3:$DW$3,'Cash Flow and Exit'!F$3)</f>
        <v>0</v>
      </c>
      <c r="G13" s="392">
        <f>-SUMIFS(Model!$G64:$DW64,Model!$G$3:$DW$3,'Cash Flow and Exit'!G$3)-SUMIFS(Model!$G66:$DW66,Model!$G$3:$DW$3,'Cash Flow and Exit'!G$3)</f>
        <v>0</v>
      </c>
      <c r="H13" s="392">
        <f>-SUMIFS(Model!$G64:$DW64,Model!$G$3:$DW$3,'Cash Flow and Exit'!H$3)-SUMIFS(Model!$G66:$DW66,Model!$G$3:$DW$3,'Cash Flow and Exit'!H$3)</f>
        <v>0</v>
      </c>
      <c r="I13" s="392">
        <f>-SUMIFS(Model!$G64:$DW64,Model!$G$3:$DW$3,'Cash Flow and Exit'!I$3)-SUMIFS(Model!$G66:$DW66,Model!$G$3:$DW$3,'Cash Flow and Exit'!I$3)</f>
        <v>-259453.7684488192</v>
      </c>
      <c r="J13" s="392">
        <f>-SUMIFS(Model!$G64:$DW64,Model!$G$3:$DW$3,'Cash Flow and Exit'!J$3)-SUMIFS(Model!$G66:$DW66,Model!$G$3:$DW$3,'Cash Flow and Exit'!J$3)</f>
        <v>-1018899.7869520091</v>
      </c>
      <c r="K13" s="392">
        <f>-SUMIFS(Model!$G64:$DW64,Model!$G$3:$DW$3,'Cash Flow and Exit'!K$3)-SUMIFS(Model!$G66:$DW66,Model!$G$3:$DW$3,'Cash Flow and Exit'!K$3)</f>
        <v>-987196.75271926518</v>
      </c>
    </row>
    <row r="14" spans="2:14" ht="20" customHeight="1" x14ac:dyDescent="0.45">
      <c r="B14" s="393" t="s">
        <v>358</v>
      </c>
      <c r="C14" s="393"/>
      <c r="D14" s="393"/>
      <c r="E14" s="393"/>
      <c r="F14" s="394">
        <f>+SUMIFS(Model!$G65:$DW65,Model!$G$3:$DW$3,'Cash Flow and Exit'!F$3)</f>
        <v>0</v>
      </c>
      <c r="G14" s="394">
        <f>+SUMIFS(Model!$G65:$DW65,Model!$G$3:$DW$3,'Cash Flow and Exit'!G$3)</f>
        <v>0</v>
      </c>
      <c r="H14" s="394">
        <f>+SUMIFS(Model!$G65:$DW65,Model!$G$3:$DW$3,'Cash Flow and Exit'!H$3)</f>
        <v>0</v>
      </c>
      <c r="I14" s="394">
        <f>+SUMIFS(Model!$G65:$DW65,Model!$G$3:$DW$3,'Cash Flow and Exit'!I$3)</f>
        <v>0</v>
      </c>
      <c r="J14" s="394">
        <f>+SUMIFS(Model!$G65:$DW65,Model!$G$3:$DW$3,'Cash Flow and Exit'!J$3)</f>
        <v>0</v>
      </c>
      <c r="K14" s="394">
        <f>+SUMIFS(Model!$G65:$DW65,Model!$G$3:$DW$3,'Cash Flow and Exit'!K$3)</f>
        <v>-20104330.613713149</v>
      </c>
    </row>
    <row r="15" spans="2:14" x14ac:dyDescent="0.45">
      <c r="F15" s="203"/>
      <c r="G15" s="203"/>
      <c r="H15" s="203"/>
      <c r="I15" s="203"/>
      <c r="J15" s="203"/>
      <c r="K15" s="203"/>
    </row>
    <row r="16" spans="2:14" ht="20" customHeight="1" x14ac:dyDescent="0.45">
      <c r="B16" s="345" t="s">
        <v>359</v>
      </c>
      <c r="C16" s="345"/>
      <c r="D16" s="345"/>
      <c r="E16" s="345"/>
      <c r="F16" s="395">
        <f>+SUMIFS(Model!$G22:$DW22,Model!$G$3:$DW$3,'Cash Flow and Exit'!F$3)</f>
        <v>0</v>
      </c>
      <c r="G16" s="395">
        <f>+SUMIFS(Model!$G22:$DW22,Model!$G$3:$DW$3,'Cash Flow and Exit'!G$3)</f>
        <v>0</v>
      </c>
      <c r="H16" s="395">
        <f>+SUMIFS(Model!$G22:$DW22,Model!$G$3:$DW$3,'Cash Flow and Exit'!H$3)</f>
        <v>0</v>
      </c>
      <c r="I16" s="395">
        <f>+SUMIFS(Model!$G22:$DW22,Model!$G$3:$DW$3,'Cash Flow and Exit'!I$3)</f>
        <v>0</v>
      </c>
      <c r="J16" s="395">
        <f>+SUMIFS(Model!$G22:$DW22,Model!$G$3:$DW$3,'Cash Flow and Exit'!J$3)</f>
        <v>0</v>
      </c>
      <c r="K16" s="395">
        <f>+SUMIFS(Model!$G22:$DW22,Model!$G$3:$DW$3,'Cash Flow and Exit'!K$3)</f>
        <v>32998037.103848796</v>
      </c>
    </row>
    <row r="17" spans="2:16" x14ac:dyDescent="0.45">
      <c r="F17" s="203"/>
      <c r="G17" s="203"/>
      <c r="H17" s="203"/>
      <c r="I17" s="203"/>
      <c r="J17" s="203"/>
      <c r="K17" s="203"/>
    </row>
    <row r="18" spans="2:16" s="202" customFormat="1" ht="20" customHeight="1" x14ac:dyDescent="0.45">
      <c r="B18" s="396" t="s">
        <v>360</v>
      </c>
      <c r="C18" s="396"/>
      <c r="D18" s="396"/>
      <c r="E18" s="396"/>
      <c r="F18" s="397">
        <f>+SUMIFS(Model!$G69:$DW69,Model!$G$3:$DW$3,'Cash Flow and Exit'!F$3)</f>
        <v>-5651390.8349986859</v>
      </c>
      <c r="G18" s="397">
        <f>+SUMIFS(Model!$G69:$DW69,Model!$G$3:$DW$3,'Cash Flow and Exit'!G$3)</f>
        <v>-1429309.2456751459</v>
      </c>
      <c r="H18" s="397">
        <f>+SUMIFS(Model!$G69:$DW69,Model!$G$3:$DW$3,'Cash Flow and Exit'!H$3)</f>
        <v>-1300834.6985547456</v>
      </c>
      <c r="I18" s="397">
        <f>+SUMIFS(Model!$G69:$DW69,Model!$G$3:$DW$3,'Cash Flow and Exit'!I$3)</f>
        <v>9901956.2695717923</v>
      </c>
      <c r="J18" s="397">
        <f>+SUMIFS(Model!$G69:$DW69,Model!$G$3:$DW$3,'Cash Flow and Exit'!J$3)</f>
        <v>392327.05491237261</v>
      </c>
      <c r="K18" s="397">
        <f>+SUMIFS(Model!$G69:$DW69,Model!$G$3:$DW$3,'Cash Flow and Exit'!K$3)</f>
        <v>13336755.740584709</v>
      </c>
      <c r="L18" s="398"/>
    </row>
    <row r="19" spans="2:16" s="342" customFormat="1" ht="20" customHeight="1" x14ac:dyDescent="0.45">
      <c r="B19" s="342" t="s">
        <v>302</v>
      </c>
      <c r="F19" s="399"/>
      <c r="G19" s="400">
        <f t="shared" ref="G19:K19" si="2">-G18/$F$18</f>
        <v>-0.25291282932044429</v>
      </c>
      <c r="H19" s="400">
        <f t="shared" si="2"/>
        <v>-0.23017956756746732</v>
      </c>
      <c r="I19" s="400">
        <f t="shared" si="2"/>
        <v>1.7521273185088595</v>
      </c>
      <c r="J19" s="400">
        <f t="shared" si="2"/>
        <v>6.9421327663752683E-2</v>
      </c>
      <c r="K19" s="400">
        <f t="shared" si="2"/>
        <v>2.3599068140874406</v>
      </c>
    </row>
    <row r="20" spans="2:16" x14ac:dyDescent="0.45">
      <c r="F20" s="203"/>
      <c r="G20" s="203"/>
      <c r="H20" s="203"/>
      <c r="I20" s="203"/>
      <c r="J20" s="203"/>
      <c r="K20" s="203"/>
    </row>
    <row r="21" spans="2:16" x14ac:dyDescent="0.45">
      <c r="B21" s="401" t="s">
        <v>361</v>
      </c>
      <c r="C21" s="402"/>
      <c r="D21" s="402"/>
      <c r="E21" s="403">
        <f>-Model!$G$70</f>
        <v>8489313.7959519476</v>
      </c>
      <c r="F21" s="404"/>
      <c r="G21" s="404"/>
      <c r="H21" s="404" t="s">
        <v>362</v>
      </c>
      <c r="I21" s="404"/>
      <c r="J21" s="404"/>
      <c r="K21" s="405" t="str">
        <f ca="1">+TEXT(Model!F35,"0.0%")&amp;" / "&amp;TEXT(Model!F36,"0.00x")</f>
        <v>18.5% / 2.26x</v>
      </c>
    </row>
    <row r="22" spans="2:16" x14ac:dyDescent="0.45">
      <c r="B22" s="406" t="s">
        <v>363</v>
      </c>
      <c r="C22" s="407"/>
      <c r="D22" s="407"/>
      <c r="E22" s="408">
        <f>+E23+E21</f>
        <v>23631039.065068871</v>
      </c>
      <c r="F22" s="409"/>
      <c r="G22" s="409"/>
      <c r="H22" s="409" t="s">
        <v>364</v>
      </c>
      <c r="I22" s="409"/>
      <c r="J22" s="409"/>
      <c r="K22" s="410" t="str">
        <f>+TEXT(Model!G72,"0.0%")&amp;" / "&amp;TEXT(Model!G73,"0.00x")</f>
        <v>33.9% / 2.78x</v>
      </c>
    </row>
    <row r="23" spans="2:16" x14ac:dyDescent="0.45">
      <c r="B23" s="411" t="s">
        <v>365</v>
      </c>
      <c r="C23" s="412"/>
      <c r="D23" s="412"/>
      <c r="E23" s="413">
        <f>+Model!G71</f>
        <v>15141725.269116923</v>
      </c>
      <c r="F23" s="414"/>
      <c r="G23" s="414"/>
      <c r="H23" s="414" t="s">
        <v>366</v>
      </c>
      <c r="I23" s="414"/>
      <c r="J23" s="414"/>
      <c r="K23" s="415" t="str">
        <f>+TEXT(Model!E99,"0.0%")&amp;" / "&amp;TEXT(Model!E100,"0.00x")</f>
        <v>23.7% / 2.21x</v>
      </c>
    </row>
    <row r="24" spans="2:16" x14ac:dyDescent="0.45">
      <c r="F24" s="203"/>
      <c r="G24" s="203"/>
      <c r="H24" s="203"/>
      <c r="I24" s="203"/>
      <c r="J24" s="203"/>
      <c r="K24" s="203"/>
      <c r="M24" s="8" t="str">
        <f>+Assumptions!B173</f>
        <v>Multifamily</v>
      </c>
      <c r="N24" s="1"/>
      <c r="O24" s="1"/>
      <c r="P24" s="1"/>
    </row>
    <row r="25" spans="2:16" x14ac:dyDescent="0.45">
      <c r="F25" s="203"/>
      <c r="G25" s="203"/>
      <c r="H25" s="203"/>
      <c r="I25" s="203"/>
      <c r="J25" s="203"/>
      <c r="K25" s="203"/>
      <c r="M25" s="3" t="str">
        <f>+Assumptions!B174</f>
        <v>Exit (June 30, 2030)</v>
      </c>
      <c r="N25" s="3"/>
      <c r="O25" s="3"/>
      <c r="P25" s="416">
        <f>+Assumptions!E174</f>
        <v>60</v>
      </c>
    </row>
    <row r="26" spans="2:16" x14ac:dyDescent="0.45">
      <c r="F26" s="203"/>
      <c r="G26" s="203"/>
      <c r="H26" s="203"/>
      <c r="I26" s="203"/>
      <c r="J26" s="203"/>
      <c r="K26" s="203"/>
      <c r="M26" s="1" t="str">
        <f>+Assumptions!B175</f>
        <v>NTM NOI in Month 60</v>
      </c>
      <c r="N26" s="1"/>
      <c r="O26" s="1"/>
      <c r="P26" s="19">
        <f>+Assumptions!E175</f>
        <v>2043222.1116934239</v>
      </c>
    </row>
    <row r="27" spans="2:16" x14ac:dyDescent="0.45">
      <c r="F27" s="203"/>
      <c r="G27" s="203"/>
      <c r="H27" s="203"/>
      <c r="I27" s="203"/>
      <c r="J27" s="203"/>
      <c r="K27" s="203"/>
      <c r="M27" s="1" t="str">
        <f>+Assumptions!B176</f>
        <v>Applied Exit Cap Rate</v>
      </c>
      <c r="N27" s="1"/>
      <c r="O27" s="1"/>
      <c r="P27" s="417">
        <f>+Assumptions!E176</f>
        <v>0.06</v>
      </c>
    </row>
    <row r="28" spans="2:16" x14ac:dyDescent="0.45">
      <c r="F28" s="203"/>
      <c r="G28" s="203"/>
      <c r="H28" s="203"/>
      <c r="I28" s="203"/>
      <c r="J28" s="203"/>
      <c r="K28" s="203"/>
      <c r="M28" s="1" t="str">
        <f>+Assumptions!B177</f>
        <v>Implied Asset Value</v>
      </c>
      <c r="N28" s="1"/>
      <c r="O28" s="1"/>
      <c r="P28" s="19">
        <f>+Assumptions!E177</f>
        <v>34053701.861557066</v>
      </c>
    </row>
    <row r="29" spans="2:16" x14ac:dyDescent="0.45">
      <c r="F29" s="203"/>
      <c r="G29" s="203"/>
      <c r="H29" s="203"/>
      <c r="I29" s="203"/>
      <c r="J29" s="203"/>
      <c r="K29" s="203"/>
      <c r="M29" s="1" t="str">
        <f>+Assumptions!B178</f>
        <v>Less: Selling Costs</v>
      </c>
      <c r="N29" s="1"/>
      <c r="O29" s="1"/>
      <c r="P29" s="417">
        <f>+Assumptions!E178</f>
        <v>3.1E-2</v>
      </c>
    </row>
    <row r="30" spans="2:16" x14ac:dyDescent="0.45">
      <c r="F30" s="203"/>
      <c r="G30" s="203"/>
      <c r="H30" s="203"/>
      <c r="I30" s="203"/>
      <c r="J30" s="203"/>
      <c r="K30" s="203"/>
      <c r="M30" s="1" t="str">
        <f>+Assumptions!B179</f>
        <v>Less: Selling Costs</v>
      </c>
      <c r="N30" s="1"/>
      <c r="O30" s="1"/>
      <c r="P30" s="19">
        <f>+Assumptions!E179</f>
        <v>-1055664.7577082689</v>
      </c>
    </row>
    <row r="31" spans="2:16" x14ac:dyDescent="0.45">
      <c r="F31" s="203"/>
      <c r="G31" s="203"/>
      <c r="H31" s="203"/>
      <c r="I31" s="203"/>
      <c r="J31" s="203"/>
      <c r="K31" s="203"/>
      <c r="M31" s="4" t="str">
        <f>+Assumptions!B180</f>
        <v>Net Reversion Proceeds</v>
      </c>
      <c r="N31" s="4"/>
      <c r="O31" s="4"/>
      <c r="P31" s="418">
        <f>+Assumptions!E180</f>
        <v>32998037.103848796</v>
      </c>
    </row>
    <row r="32" spans="2:16" x14ac:dyDescent="0.45">
      <c r="F32" s="203"/>
      <c r="G32" s="203"/>
      <c r="H32" s="203"/>
      <c r="I32" s="203"/>
      <c r="J32" s="203"/>
      <c r="K32" s="203"/>
      <c r="M32" s="83" t="str">
        <f>+Assumptions!B181</f>
        <v>$ / Unit</v>
      </c>
      <c r="N32" s="83"/>
      <c r="O32" s="83"/>
      <c r="P32" s="419">
        <f>+Assumptions!E181</f>
        <v>436585.92130201368</v>
      </c>
    </row>
    <row r="33" spans="6:21" x14ac:dyDescent="0.45">
      <c r="F33" s="203"/>
      <c r="G33" s="203"/>
      <c r="H33" s="203"/>
      <c r="I33" s="203"/>
      <c r="J33" s="203"/>
      <c r="K33" s="203"/>
    </row>
    <row r="34" spans="6:21" x14ac:dyDescent="0.45">
      <c r="F34" s="203"/>
      <c r="G34" s="203"/>
      <c r="H34" s="203"/>
      <c r="I34" s="203"/>
      <c r="J34" s="203"/>
      <c r="K34" s="203"/>
      <c r="Q34" s="420" t="s">
        <v>367</v>
      </c>
      <c r="R34" s="385" t="s">
        <v>368</v>
      </c>
      <c r="S34" s="385" t="s">
        <v>174</v>
      </c>
      <c r="T34" s="385" t="s">
        <v>175</v>
      </c>
      <c r="U34" s="385" t="s">
        <v>369</v>
      </c>
    </row>
    <row r="35" spans="6:21" x14ac:dyDescent="0.45">
      <c r="F35" s="203"/>
      <c r="G35" s="203"/>
      <c r="H35" s="203"/>
      <c r="I35" s="203"/>
      <c r="J35" s="203"/>
      <c r="K35" s="203"/>
      <c r="Q35" s="421">
        <v>0.08</v>
      </c>
      <c r="R35" s="204">
        <f t="shared" ref="R35:R39" si="3">+$P$26/Q35</f>
        <v>25540276.3961678</v>
      </c>
      <c r="S35" s="207">
        <f>+R35/Assumptions!$D$124</f>
        <v>327439.44097651023</v>
      </c>
      <c r="T35" s="207">
        <f>+R35/Assumptions!$G$25</f>
        <v>464.36866174850547</v>
      </c>
      <c r="U35" s="205" t="str">
        <f>+TEXT(Assumptions!G190,"0.0%")&amp;" / "&amp;TEXT(Assumptions!G200,"0.0x")</f>
        <v>61.6% / 3.6x</v>
      </c>
    </row>
    <row r="36" spans="6:21" x14ac:dyDescent="0.45">
      <c r="F36" s="203"/>
      <c r="G36" s="203"/>
      <c r="H36" s="203"/>
      <c r="I36" s="203"/>
      <c r="J36" s="203"/>
      <c r="K36" s="203"/>
      <c r="Q36" s="421">
        <f>+Q35-0.25%</f>
        <v>7.7499999999999999E-2</v>
      </c>
      <c r="R36" s="204">
        <f t="shared" si="3"/>
        <v>26364156.279915147</v>
      </c>
      <c r="S36" s="207">
        <f>+R36/Assumptions!$D$124</f>
        <v>338002.00358865573</v>
      </c>
      <c r="T36" s="207">
        <f>+R36/Assumptions!$G$25</f>
        <v>479.34829599845722</v>
      </c>
      <c r="U36" s="205" t="str">
        <f>+TEXT(Assumptions!G191,"0.0%")&amp;" / "&amp;TEXT(Assumptions!G201,"0.0x")</f>
        <v>62.6% / 3.7x</v>
      </c>
    </row>
    <row r="37" spans="6:21" x14ac:dyDescent="0.45">
      <c r="F37" s="203"/>
      <c r="G37" s="203"/>
      <c r="H37" s="203"/>
      <c r="I37" s="203"/>
      <c r="J37" s="203"/>
      <c r="K37" s="203"/>
      <c r="Q37" s="421">
        <f t="shared" ref="Q37:Q39" si="4">+Q36-0.25%</f>
        <v>7.4999999999999997E-2</v>
      </c>
      <c r="R37" s="204">
        <f t="shared" si="3"/>
        <v>27242961.489245653</v>
      </c>
      <c r="S37" s="207">
        <f>+R37/Assumptions!$D$124</f>
        <v>349268.73704161093</v>
      </c>
      <c r="T37" s="207">
        <f>+R37/Assumptions!$G$25</f>
        <v>495.32657253173915</v>
      </c>
      <c r="U37" s="205" t="str">
        <f>+TEXT(Assumptions!G192,"0.0%")&amp;" / "&amp;TEXT(Assumptions!G202,"0.0x")</f>
        <v>63.6% / 3.9x</v>
      </c>
    </row>
    <row r="38" spans="6:21" x14ac:dyDescent="0.45">
      <c r="F38" s="203"/>
      <c r="G38" s="203"/>
      <c r="H38" s="203"/>
      <c r="I38" s="203"/>
      <c r="J38" s="203"/>
      <c r="K38" s="203"/>
      <c r="Q38" s="421">
        <f t="shared" si="4"/>
        <v>7.2499999999999995E-2</v>
      </c>
      <c r="R38" s="204">
        <f t="shared" si="3"/>
        <v>28182373.954392057</v>
      </c>
      <c r="S38" s="207">
        <f>+R38/Assumptions!$D$124</f>
        <v>361312.48659476999</v>
      </c>
      <c r="T38" s="207">
        <f>+R38/Assumptions!$G$25</f>
        <v>512.40679917076466</v>
      </c>
      <c r="U38" s="205" t="str">
        <f>+TEXT(Assumptions!G193,"0.0%")&amp;" / "&amp;TEXT(Assumptions!G203,"0.0x")</f>
        <v>64.6% / 4.0x</v>
      </c>
    </row>
    <row r="39" spans="6:21" x14ac:dyDescent="0.45">
      <c r="F39" s="203"/>
      <c r="G39" s="203"/>
      <c r="H39" s="203"/>
      <c r="I39" s="203"/>
      <c r="J39" s="203"/>
      <c r="K39" s="203"/>
      <c r="Q39" s="422">
        <f t="shared" si="4"/>
        <v>6.9999999999999993E-2</v>
      </c>
      <c r="R39" s="423">
        <f t="shared" si="3"/>
        <v>29188887.309906058</v>
      </c>
      <c r="S39" s="424">
        <f>+R39/Assumptions!$D$124</f>
        <v>374216.50397315458</v>
      </c>
      <c r="T39" s="424">
        <f>+R39/Assumptions!$G$25</f>
        <v>530.70704199829197</v>
      </c>
      <c r="U39" s="308" t="str">
        <f>+TEXT(Assumptions!G194,"0.0%")&amp;" / "&amp;TEXT(Assumptions!G204,"0.0x")</f>
        <v>65.7% / 4.2x</v>
      </c>
    </row>
    <row r="40" spans="6:21" x14ac:dyDescent="0.45">
      <c r="F40" s="203"/>
      <c r="G40" s="203"/>
      <c r="H40" s="203"/>
      <c r="I40" s="203"/>
      <c r="J40" s="203"/>
      <c r="K40" s="203"/>
      <c r="R40" s="205"/>
      <c r="S40" s="205"/>
      <c r="T40" s="205"/>
      <c r="U40" s="205"/>
    </row>
    <row r="41" spans="6:21" x14ac:dyDescent="0.45">
      <c r="F41" s="203"/>
      <c r="G41" s="203"/>
      <c r="H41" s="203"/>
      <c r="I41" s="203"/>
      <c r="J41" s="203"/>
      <c r="K41" s="203"/>
    </row>
    <row r="42" spans="6:21" x14ac:dyDescent="0.45">
      <c r="F42" s="203"/>
      <c r="G42" s="203"/>
      <c r="H42" s="203"/>
      <c r="I42" s="203"/>
      <c r="J42" s="203"/>
      <c r="K42" s="203"/>
    </row>
    <row r="43" spans="6:21" x14ac:dyDescent="0.45">
      <c r="F43" s="203"/>
      <c r="G43" s="203"/>
      <c r="H43" s="203"/>
      <c r="I43" s="203"/>
      <c r="J43" s="203"/>
      <c r="K43" s="20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4A984-DF4F-4841-9F2D-9066635A00DC}">
  <sheetPr>
    <tabColor theme="4"/>
    <pageSetUpPr autoPageBreaks="0"/>
  </sheetPr>
  <dimension ref="B1:EM233"/>
  <sheetViews>
    <sheetView showGridLines="0" zoomScale="115" zoomScaleNormal="115" workbookViewId="0">
      <pane xSplit="4" topLeftCell="E1" activePane="topRight" state="frozen"/>
      <selection activeCell="J44" sqref="J44"/>
      <selection pane="topRight" activeCell="B16" sqref="B16"/>
    </sheetView>
  </sheetViews>
  <sheetFormatPr defaultColWidth="9.1328125" defaultRowHeight="12.75" outlineLevelRow="1" x14ac:dyDescent="0.45"/>
  <cols>
    <col min="1" max="1" width="2.73046875" style="1" customWidth="1"/>
    <col min="2" max="2" width="12.86328125" style="1" bestFit="1" customWidth="1"/>
    <col min="3" max="3" width="2.73046875" style="1" customWidth="1"/>
    <col min="4" max="4" width="23.73046875" style="1" bestFit="1" customWidth="1"/>
    <col min="5" max="5" width="12.73046875" style="1" customWidth="1"/>
    <col min="6" max="6" width="15.73046875" style="1" customWidth="1"/>
    <col min="7" max="7" width="11.73046875" style="1" bestFit="1" customWidth="1"/>
    <col min="8" max="11" width="10.3984375" style="1" bestFit="1" customWidth="1"/>
    <col min="12" max="12" width="11.3984375" style="1" bestFit="1" customWidth="1"/>
    <col min="13" max="16" width="10.3984375" style="1" bestFit="1" customWidth="1"/>
    <col min="17" max="18" width="11.3984375" style="1" bestFit="1" customWidth="1"/>
    <col min="19" max="23" width="10.3984375" style="1" bestFit="1" customWidth="1"/>
    <col min="24" max="45" width="11.265625" style="1" bestFit="1" customWidth="1"/>
    <col min="46" max="46" width="11.3984375" style="1" bestFit="1" customWidth="1"/>
    <col min="47" max="81" width="11.265625" style="1" bestFit="1" customWidth="1"/>
    <col min="82" max="82" width="12.1328125" style="1" bestFit="1" customWidth="1"/>
    <col min="83" max="83" width="11.265625" style="1" bestFit="1" customWidth="1"/>
    <col min="84" max="84" width="12" style="1" bestFit="1" customWidth="1"/>
    <col min="85" max="86" width="11.265625" style="1" bestFit="1" customWidth="1"/>
    <col min="87" max="87" width="12" style="1" bestFit="1" customWidth="1"/>
    <col min="88" max="139" width="11.265625" style="1" bestFit="1" customWidth="1"/>
    <col min="140" max="16384" width="9.1328125" style="1"/>
  </cols>
  <sheetData>
    <row r="1" spans="2:143" x14ac:dyDescent="0.45">
      <c r="EM1" s="1" t="s">
        <v>191</v>
      </c>
    </row>
    <row r="2" spans="2:143" x14ac:dyDescent="0.45">
      <c r="G2" s="16">
        <f>+Assumptions!F2</f>
        <v>45838</v>
      </c>
      <c r="H2" s="16">
        <f>+EOMONTH(G2,1)</f>
        <v>45869</v>
      </c>
      <c r="I2" s="16">
        <f t="shared" ref="I2:T2" si="0">+EOMONTH(H2,1)</f>
        <v>45900</v>
      </c>
      <c r="J2" s="16">
        <f t="shared" si="0"/>
        <v>45930</v>
      </c>
      <c r="K2" s="16">
        <f t="shared" si="0"/>
        <v>45961</v>
      </c>
      <c r="L2" s="16">
        <f t="shared" si="0"/>
        <v>45991</v>
      </c>
      <c r="M2" s="16">
        <f t="shared" si="0"/>
        <v>46022</v>
      </c>
      <c r="N2" s="16">
        <f t="shared" si="0"/>
        <v>46053</v>
      </c>
      <c r="O2" s="16">
        <f t="shared" si="0"/>
        <v>46081</v>
      </c>
      <c r="P2" s="16">
        <f t="shared" si="0"/>
        <v>46112</v>
      </c>
      <c r="Q2" s="16">
        <f t="shared" si="0"/>
        <v>46142</v>
      </c>
      <c r="R2" s="16">
        <f t="shared" si="0"/>
        <v>46173</v>
      </c>
      <c r="S2" s="16">
        <f t="shared" si="0"/>
        <v>46203</v>
      </c>
      <c r="T2" s="16">
        <f t="shared" si="0"/>
        <v>46234</v>
      </c>
      <c r="U2" s="16">
        <f t="shared" ref="U2" si="1">+EOMONTH(T2,1)</f>
        <v>46265</v>
      </c>
      <c r="V2" s="16">
        <f t="shared" ref="V2" si="2">+EOMONTH(U2,1)</f>
        <v>46295</v>
      </c>
      <c r="W2" s="16">
        <f t="shared" ref="W2" si="3">+EOMONTH(V2,1)</f>
        <v>46326</v>
      </c>
      <c r="X2" s="16">
        <f t="shared" ref="X2" si="4">+EOMONTH(W2,1)</f>
        <v>46356</v>
      </c>
      <c r="Y2" s="16">
        <f t="shared" ref="Y2" si="5">+EOMONTH(X2,1)</f>
        <v>46387</v>
      </c>
      <c r="Z2" s="16">
        <f t="shared" ref="Z2" si="6">+EOMONTH(Y2,1)</f>
        <v>46418</v>
      </c>
      <c r="AA2" s="16">
        <f t="shared" ref="AA2" si="7">+EOMONTH(Z2,1)</f>
        <v>46446</v>
      </c>
      <c r="AB2" s="16">
        <f t="shared" ref="AB2" si="8">+EOMONTH(AA2,1)</f>
        <v>46477</v>
      </c>
      <c r="AC2" s="16">
        <f t="shared" ref="AC2" si="9">+EOMONTH(AB2,1)</f>
        <v>46507</v>
      </c>
      <c r="AD2" s="16">
        <f t="shared" ref="AD2" si="10">+EOMONTH(AC2,1)</f>
        <v>46538</v>
      </c>
      <c r="AE2" s="16">
        <f t="shared" ref="AE2" si="11">+EOMONTH(AD2,1)</f>
        <v>46568</v>
      </c>
      <c r="AF2" s="16">
        <f t="shared" ref="AF2" si="12">+EOMONTH(AE2,1)</f>
        <v>46599</v>
      </c>
      <c r="AG2" s="16">
        <f t="shared" ref="AG2" si="13">+EOMONTH(AF2,1)</f>
        <v>46630</v>
      </c>
      <c r="AH2" s="16">
        <f t="shared" ref="AH2" si="14">+EOMONTH(AG2,1)</f>
        <v>46660</v>
      </c>
      <c r="AI2" s="16">
        <f t="shared" ref="AI2" si="15">+EOMONTH(AH2,1)</f>
        <v>46691</v>
      </c>
      <c r="AJ2" s="16">
        <f t="shared" ref="AJ2" si="16">+EOMONTH(AI2,1)</f>
        <v>46721</v>
      </c>
      <c r="AK2" s="16">
        <f t="shared" ref="AK2" si="17">+EOMONTH(AJ2,1)</f>
        <v>46752</v>
      </c>
      <c r="AL2" s="16">
        <f t="shared" ref="AL2" si="18">+EOMONTH(AK2,1)</f>
        <v>46783</v>
      </c>
      <c r="AM2" s="16">
        <f t="shared" ref="AM2" si="19">+EOMONTH(AL2,1)</f>
        <v>46812</v>
      </c>
      <c r="AN2" s="16">
        <f t="shared" ref="AN2" si="20">+EOMONTH(AM2,1)</f>
        <v>46843</v>
      </c>
      <c r="AO2" s="16">
        <f t="shared" ref="AO2" si="21">+EOMONTH(AN2,1)</f>
        <v>46873</v>
      </c>
      <c r="AP2" s="16">
        <f t="shared" ref="AP2" si="22">+EOMONTH(AO2,1)</f>
        <v>46904</v>
      </c>
      <c r="AQ2" s="16">
        <f t="shared" ref="AQ2" si="23">+EOMONTH(AP2,1)</f>
        <v>46934</v>
      </c>
      <c r="AR2" s="16">
        <f t="shared" ref="AR2" si="24">+EOMONTH(AQ2,1)</f>
        <v>46965</v>
      </c>
      <c r="AS2" s="16">
        <f t="shared" ref="AS2" si="25">+EOMONTH(AR2,1)</f>
        <v>46996</v>
      </c>
      <c r="AT2" s="16">
        <f t="shared" ref="AT2" si="26">+EOMONTH(AS2,1)</f>
        <v>47026</v>
      </c>
      <c r="AU2" s="16">
        <f t="shared" ref="AU2" si="27">+EOMONTH(AT2,1)</f>
        <v>47057</v>
      </c>
      <c r="AV2" s="16">
        <f t="shared" ref="AV2" si="28">+EOMONTH(AU2,1)</f>
        <v>47087</v>
      </c>
      <c r="AW2" s="16">
        <f t="shared" ref="AW2" si="29">+EOMONTH(AV2,1)</f>
        <v>47118</v>
      </c>
      <c r="AX2" s="16">
        <f t="shared" ref="AX2" si="30">+EOMONTH(AW2,1)</f>
        <v>47149</v>
      </c>
      <c r="AY2" s="16">
        <f t="shared" ref="AY2" si="31">+EOMONTH(AX2,1)</f>
        <v>47177</v>
      </c>
      <c r="AZ2" s="16">
        <f t="shared" ref="AZ2" si="32">+EOMONTH(AY2,1)</f>
        <v>47208</v>
      </c>
      <c r="BA2" s="16">
        <f t="shared" ref="BA2" si="33">+EOMONTH(AZ2,1)</f>
        <v>47238</v>
      </c>
      <c r="BB2" s="16">
        <f t="shared" ref="BB2" si="34">+EOMONTH(BA2,1)</f>
        <v>47269</v>
      </c>
      <c r="BC2" s="16">
        <f t="shared" ref="BC2" si="35">+EOMONTH(BB2,1)</f>
        <v>47299</v>
      </c>
      <c r="BD2" s="16">
        <f t="shared" ref="BD2" si="36">+EOMONTH(BC2,1)</f>
        <v>47330</v>
      </c>
      <c r="BE2" s="16">
        <f t="shared" ref="BE2" si="37">+EOMONTH(BD2,1)</f>
        <v>47361</v>
      </c>
      <c r="BF2" s="16">
        <f t="shared" ref="BF2" si="38">+EOMONTH(BE2,1)</f>
        <v>47391</v>
      </c>
      <c r="BG2" s="16">
        <f t="shared" ref="BG2" si="39">+EOMONTH(BF2,1)</f>
        <v>47422</v>
      </c>
      <c r="BH2" s="16">
        <f t="shared" ref="BH2" si="40">+EOMONTH(BG2,1)</f>
        <v>47452</v>
      </c>
      <c r="BI2" s="16">
        <f t="shared" ref="BI2" si="41">+EOMONTH(BH2,1)</f>
        <v>47483</v>
      </c>
      <c r="BJ2" s="16">
        <f t="shared" ref="BJ2" si="42">+EOMONTH(BI2,1)</f>
        <v>47514</v>
      </c>
      <c r="BK2" s="16">
        <f t="shared" ref="BK2" si="43">+EOMONTH(BJ2,1)</f>
        <v>47542</v>
      </c>
      <c r="BL2" s="16">
        <f t="shared" ref="BL2" si="44">+EOMONTH(BK2,1)</f>
        <v>47573</v>
      </c>
      <c r="BM2" s="16">
        <f t="shared" ref="BM2" si="45">+EOMONTH(BL2,1)</f>
        <v>47603</v>
      </c>
      <c r="BN2" s="16">
        <f t="shared" ref="BN2" si="46">+EOMONTH(BM2,1)</f>
        <v>47634</v>
      </c>
      <c r="BO2" s="16">
        <f t="shared" ref="BO2" si="47">+EOMONTH(BN2,1)</f>
        <v>47664</v>
      </c>
      <c r="BP2" s="16">
        <f t="shared" ref="BP2" si="48">+EOMONTH(BO2,1)</f>
        <v>47695</v>
      </c>
      <c r="BQ2" s="16">
        <f t="shared" ref="BQ2" si="49">+EOMONTH(BP2,1)</f>
        <v>47726</v>
      </c>
      <c r="BR2" s="16">
        <f t="shared" ref="BR2" si="50">+EOMONTH(BQ2,1)</f>
        <v>47756</v>
      </c>
      <c r="BS2" s="16">
        <f t="shared" ref="BS2" si="51">+EOMONTH(BR2,1)</f>
        <v>47787</v>
      </c>
      <c r="BT2" s="16">
        <f t="shared" ref="BT2" si="52">+EOMONTH(BS2,1)</f>
        <v>47817</v>
      </c>
      <c r="BU2" s="16">
        <f t="shared" ref="BU2" si="53">+EOMONTH(BT2,1)</f>
        <v>47848</v>
      </c>
      <c r="BV2" s="16">
        <f t="shared" ref="BV2" si="54">+EOMONTH(BU2,1)</f>
        <v>47879</v>
      </c>
      <c r="BW2" s="16">
        <f t="shared" ref="BW2" si="55">+EOMONTH(BV2,1)</f>
        <v>47907</v>
      </c>
      <c r="BX2" s="16">
        <f t="shared" ref="BX2" si="56">+EOMONTH(BW2,1)</f>
        <v>47938</v>
      </c>
      <c r="BY2" s="16">
        <f t="shared" ref="BY2" si="57">+EOMONTH(BX2,1)</f>
        <v>47968</v>
      </c>
      <c r="BZ2" s="16">
        <f t="shared" ref="BZ2" si="58">+EOMONTH(BY2,1)</f>
        <v>47999</v>
      </c>
      <c r="CA2" s="16">
        <f t="shared" ref="CA2" si="59">+EOMONTH(BZ2,1)</f>
        <v>48029</v>
      </c>
      <c r="CB2" s="16">
        <f t="shared" ref="CB2" si="60">+EOMONTH(CA2,1)</f>
        <v>48060</v>
      </c>
      <c r="CC2" s="16">
        <f t="shared" ref="CC2" si="61">+EOMONTH(CB2,1)</f>
        <v>48091</v>
      </c>
      <c r="CD2" s="16">
        <f t="shared" ref="CD2" si="62">+EOMONTH(CC2,1)</f>
        <v>48121</v>
      </c>
      <c r="CE2" s="16">
        <f t="shared" ref="CE2" si="63">+EOMONTH(CD2,1)</f>
        <v>48152</v>
      </c>
      <c r="CF2" s="16">
        <f t="shared" ref="CF2" si="64">+EOMONTH(CE2,1)</f>
        <v>48182</v>
      </c>
      <c r="CG2" s="16">
        <f t="shared" ref="CG2" si="65">+EOMONTH(CF2,1)</f>
        <v>48213</v>
      </c>
      <c r="CH2" s="16">
        <f t="shared" ref="CH2" si="66">+EOMONTH(CG2,1)</f>
        <v>48244</v>
      </c>
      <c r="CI2" s="16">
        <f t="shared" ref="CI2" si="67">+EOMONTH(CH2,1)</f>
        <v>48273</v>
      </c>
      <c r="CJ2" s="16">
        <f t="shared" ref="CJ2" si="68">+EOMONTH(CI2,1)</f>
        <v>48304</v>
      </c>
      <c r="CK2" s="16">
        <f t="shared" ref="CK2" si="69">+EOMONTH(CJ2,1)</f>
        <v>48334</v>
      </c>
      <c r="CL2" s="16">
        <f t="shared" ref="CL2" si="70">+EOMONTH(CK2,1)</f>
        <v>48365</v>
      </c>
      <c r="CM2" s="16">
        <f t="shared" ref="CM2" si="71">+EOMONTH(CL2,1)</f>
        <v>48395</v>
      </c>
      <c r="CN2" s="16">
        <f t="shared" ref="CN2" si="72">+EOMONTH(CM2,1)</f>
        <v>48426</v>
      </c>
      <c r="CO2" s="16">
        <f t="shared" ref="CO2" si="73">+EOMONTH(CN2,1)</f>
        <v>48457</v>
      </c>
      <c r="CP2" s="16">
        <f t="shared" ref="CP2" si="74">+EOMONTH(CO2,1)</f>
        <v>48487</v>
      </c>
      <c r="CQ2" s="16">
        <f t="shared" ref="CQ2" si="75">+EOMONTH(CP2,1)</f>
        <v>48518</v>
      </c>
      <c r="CR2" s="16">
        <f t="shared" ref="CR2" si="76">+EOMONTH(CQ2,1)</f>
        <v>48548</v>
      </c>
      <c r="CS2" s="16">
        <f t="shared" ref="CS2" si="77">+EOMONTH(CR2,1)</f>
        <v>48579</v>
      </c>
      <c r="CT2" s="16">
        <f t="shared" ref="CT2" si="78">+EOMONTH(CS2,1)</f>
        <v>48610</v>
      </c>
      <c r="CU2" s="16">
        <f t="shared" ref="CU2" si="79">+EOMONTH(CT2,1)</f>
        <v>48638</v>
      </c>
      <c r="CV2" s="16">
        <f t="shared" ref="CV2" si="80">+EOMONTH(CU2,1)</f>
        <v>48669</v>
      </c>
      <c r="CW2" s="16">
        <f t="shared" ref="CW2" si="81">+EOMONTH(CV2,1)</f>
        <v>48699</v>
      </c>
      <c r="CX2" s="16">
        <f t="shared" ref="CX2" si="82">+EOMONTH(CW2,1)</f>
        <v>48730</v>
      </c>
      <c r="CY2" s="16">
        <f t="shared" ref="CY2" si="83">+EOMONTH(CX2,1)</f>
        <v>48760</v>
      </c>
      <c r="CZ2" s="16">
        <f t="shared" ref="CZ2" si="84">+EOMONTH(CY2,1)</f>
        <v>48791</v>
      </c>
      <c r="DA2" s="16">
        <f t="shared" ref="DA2" si="85">+EOMONTH(CZ2,1)</f>
        <v>48822</v>
      </c>
      <c r="DB2" s="16">
        <f t="shared" ref="DB2" si="86">+EOMONTH(DA2,1)</f>
        <v>48852</v>
      </c>
      <c r="DC2" s="16">
        <f t="shared" ref="DC2" si="87">+EOMONTH(DB2,1)</f>
        <v>48883</v>
      </c>
      <c r="DD2" s="16">
        <f t="shared" ref="DD2" si="88">+EOMONTH(DC2,1)</f>
        <v>48913</v>
      </c>
      <c r="DE2" s="16">
        <f t="shared" ref="DE2" si="89">+EOMONTH(DD2,1)</f>
        <v>48944</v>
      </c>
      <c r="DF2" s="16">
        <f t="shared" ref="DF2" si="90">+EOMONTH(DE2,1)</f>
        <v>48975</v>
      </c>
      <c r="DG2" s="16">
        <f t="shared" ref="DG2" si="91">+EOMONTH(DF2,1)</f>
        <v>49003</v>
      </c>
      <c r="DH2" s="16">
        <f t="shared" ref="DH2" si="92">+EOMONTH(DG2,1)</f>
        <v>49034</v>
      </c>
      <c r="DI2" s="16">
        <f t="shared" ref="DI2" si="93">+EOMONTH(DH2,1)</f>
        <v>49064</v>
      </c>
      <c r="DJ2" s="16">
        <f t="shared" ref="DJ2" si="94">+EOMONTH(DI2,1)</f>
        <v>49095</v>
      </c>
      <c r="DK2" s="16">
        <f t="shared" ref="DK2" si="95">+EOMONTH(DJ2,1)</f>
        <v>49125</v>
      </c>
      <c r="DL2" s="16">
        <f t="shared" ref="DL2" si="96">+EOMONTH(DK2,1)</f>
        <v>49156</v>
      </c>
      <c r="DM2" s="16">
        <f t="shared" ref="DM2" si="97">+EOMONTH(DL2,1)</f>
        <v>49187</v>
      </c>
      <c r="DN2" s="16">
        <f t="shared" ref="DN2" si="98">+EOMONTH(DM2,1)</f>
        <v>49217</v>
      </c>
      <c r="DO2" s="16">
        <f t="shared" ref="DO2" si="99">+EOMONTH(DN2,1)</f>
        <v>49248</v>
      </c>
      <c r="DP2" s="16">
        <f t="shared" ref="DP2" si="100">+EOMONTH(DO2,1)</f>
        <v>49278</v>
      </c>
      <c r="DQ2" s="16">
        <f t="shared" ref="DQ2" si="101">+EOMONTH(DP2,1)</f>
        <v>49309</v>
      </c>
      <c r="DR2" s="16">
        <f t="shared" ref="DR2" si="102">+EOMONTH(DQ2,1)</f>
        <v>49340</v>
      </c>
      <c r="DS2" s="16">
        <f t="shared" ref="DS2" si="103">+EOMONTH(DR2,1)</f>
        <v>49368</v>
      </c>
      <c r="DT2" s="16">
        <f t="shared" ref="DT2" si="104">+EOMONTH(DS2,1)</f>
        <v>49399</v>
      </c>
      <c r="DU2" s="16">
        <f t="shared" ref="DU2" si="105">+EOMONTH(DT2,1)</f>
        <v>49429</v>
      </c>
      <c r="DV2" s="16">
        <f t="shared" ref="DV2" si="106">+EOMONTH(DU2,1)</f>
        <v>49460</v>
      </c>
      <c r="DW2" s="16">
        <f t="shared" ref="DW2" si="107">+EOMONTH(DV2,1)</f>
        <v>49490</v>
      </c>
      <c r="DX2" s="16">
        <f t="shared" ref="DX2" si="108">+EOMONTH(DW2,1)</f>
        <v>49521</v>
      </c>
      <c r="DY2" s="16">
        <f t="shared" ref="DY2" si="109">+EOMONTH(DX2,1)</f>
        <v>49552</v>
      </c>
      <c r="DZ2" s="16">
        <f t="shared" ref="DZ2" si="110">+EOMONTH(DY2,1)</f>
        <v>49582</v>
      </c>
      <c r="EA2" s="16">
        <f t="shared" ref="EA2" si="111">+EOMONTH(DZ2,1)</f>
        <v>49613</v>
      </c>
      <c r="EB2" s="16">
        <f t="shared" ref="EB2" si="112">+EOMONTH(EA2,1)</f>
        <v>49643</v>
      </c>
      <c r="EC2" s="16">
        <f t="shared" ref="EC2" si="113">+EOMONTH(EB2,1)</f>
        <v>49674</v>
      </c>
      <c r="ED2" s="16">
        <f t="shared" ref="ED2" si="114">+EOMONTH(EC2,1)</f>
        <v>49705</v>
      </c>
      <c r="EE2" s="16">
        <f t="shared" ref="EE2" si="115">+EOMONTH(ED2,1)</f>
        <v>49734</v>
      </c>
      <c r="EF2" s="16">
        <f t="shared" ref="EF2" si="116">+EOMONTH(EE2,1)</f>
        <v>49765</v>
      </c>
      <c r="EG2" s="16">
        <f t="shared" ref="EG2" si="117">+EOMONTH(EF2,1)</f>
        <v>49795</v>
      </c>
      <c r="EH2" s="16">
        <f t="shared" ref="EH2" si="118">+EOMONTH(EG2,1)</f>
        <v>49826</v>
      </c>
      <c r="EI2" s="16">
        <f t="shared" ref="EI2" si="119">+EOMONTH(EH2,1)</f>
        <v>49856</v>
      </c>
      <c r="EM2" s="1" t="s">
        <v>191</v>
      </c>
    </row>
    <row r="3" spans="2:143" x14ac:dyDescent="0.45">
      <c r="G3" s="15">
        <f>ROUNDUP(G4/12,0)</f>
        <v>0</v>
      </c>
      <c r="H3" s="15">
        <f t="shared" ref="H3:K3" si="120">ROUNDUP(H4/12,0)</f>
        <v>1</v>
      </c>
      <c r="I3" s="15">
        <f t="shared" si="120"/>
        <v>1</v>
      </c>
      <c r="J3" s="15">
        <f t="shared" si="120"/>
        <v>1</v>
      </c>
      <c r="K3" s="15">
        <f t="shared" si="120"/>
        <v>1</v>
      </c>
      <c r="L3" s="15">
        <f t="shared" ref="L3" si="121">ROUNDUP(L4/12,0)</f>
        <v>1</v>
      </c>
      <c r="M3" s="15">
        <f t="shared" ref="M3" si="122">ROUNDUP(M4/12,0)</f>
        <v>1</v>
      </c>
      <c r="N3" s="15">
        <f t="shared" ref="N3" si="123">ROUNDUP(N4/12,0)</f>
        <v>1</v>
      </c>
      <c r="O3" s="15">
        <f t="shared" ref="O3" si="124">ROUNDUP(O4/12,0)</f>
        <v>1</v>
      </c>
      <c r="P3" s="15">
        <f t="shared" ref="P3" si="125">ROUNDUP(P4/12,0)</f>
        <v>1</v>
      </c>
      <c r="Q3" s="15">
        <f t="shared" ref="Q3" si="126">ROUNDUP(Q4/12,0)</f>
        <v>1</v>
      </c>
      <c r="R3" s="15">
        <f t="shared" ref="R3" si="127">ROUNDUP(R4/12,0)</f>
        <v>1</v>
      </c>
      <c r="S3" s="15">
        <f t="shared" ref="S3" si="128">ROUNDUP(S4/12,0)</f>
        <v>1</v>
      </c>
      <c r="T3" s="15">
        <f t="shared" ref="T3:EI3" si="129">ROUNDUP(T4/12,0)</f>
        <v>2</v>
      </c>
      <c r="U3" s="15">
        <f t="shared" si="129"/>
        <v>2</v>
      </c>
      <c r="V3" s="15">
        <f t="shared" si="129"/>
        <v>2</v>
      </c>
      <c r="W3" s="15">
        <f t="shared" si="129"/>
        <v>2</v>
      </c>
      <c r="X3" s="15">
        <f t="shared" si="129"/>
        <v>2</v>
      </c>
      <c r="Y3" s="15">
        <f t="shared" si="129"/>
        <v>2</v>
      </c>
      <c r="Z3" s="15">
        <f t="shared" si="129"/>
        <v>2</v>
      </c>
      <c r="AA3" s="15">
        <f t="shared" si="129"/>
        <v>2</v>
      </c>
      <c r="AB3" s="15">
        <f t="shared" si="129"/>
        <v>2</v>
      </c>
      <c r="AC3" s="15">
        <f t="shared" si="129"/>
        <v>2</v>
      </c>
      <c r="AD3" s="15">
        <f t="shared" si="129"/>
        <v>2</v>
      </c>
      <c r="AE3" s="15">
        <f t="shared" si="129"/>
        <v>2</v>
      </c>
      <c r="AF3" s="15">
        <f t="shared" si="129"/>
        <v>3</v>
      </c>
      <c r="AG3" s="15">
        <f t="shared" si="129"/>
        <v>3</v>
      </c>
      <c r="AH3" s="15">
        <f t="shared" si="129"/>
        <v>3</v>
      </c>
      <c r="AI3" s="15">
        <f t="shared" si="129"/>
        <v>3</v>
      </c>
      <c r="AJ3" s="15">
        <f t="shared" si="129"/>
        <v>3</v>
      </c>
      <c r="AK3" s="15">
        <f t="shared" si="129"/>
        <v>3</v>
      </c>
      <c r="AL3" s="15">
        <f t="shared" si="129"/>
        <v>3</v>
      </c>
      <c r="AM3" s="15">
        <f t="shared" si="129"/>
        <v>3</v>
      </c>
      <c r="AN3" s="15">
        <f t="shared" si="129"/>
        <v>3</v>
      </c>
      <c r="AO3" s="15">
        <f t="shared" si="129"/>
        <v>3</v>
      </c>
      <c r="AP3" s="15">
        <f t="shared" si="129"/>
        <v>3</v>
      </c>
      <c r="AQ3" s="15">
        <f t="shared" si="129"/>
        <v>3</v>
      </c>
      <c r="AR3" s="15">
        <f t="shared" si="129"/>
        <v>4</v>
      </c>
      <c r="AS3" s="15">
        <f t="shared" si="129"/>
        <v>4</v>
      </c>
      <c r="AT3" s="15">
        <f t="shared" si="129"/>
        <v>4</v>
      </c>
      <c r="AU3" s="15">
        <f t="shared" si="129"/>
        <v>4</v>
      </c>
      <c r="AV3" s="15">
        <f t="shared" si="129"/>
        <v>4</v>
      </c>
      <c r="AW3" s="15">
        <f t="shared" si="129"/>
        <v>4</v>
      </c>
      <c r="AX3" s="15">
        <f t="shared" si="129"/>
        <v>4</v>
      </c>
      <c r="AY3" s="15">
        <f t="shared" si="129"/>
        <v>4</v>
      </c>
      <c r="AZ3" s="15">
        <f t="shared" si="129"/>
        <v>4</v>
      </c>
      <c r="BA3" s="15">
        <f t="shared" si="129"/>
        <v>4</v>
      </c>
      <c r="BB3" s="15">
        <f t="shared" si="129"/>
        <v>4</v>
      </c>
      <c r="BC3" s="15">
        <f t="shared" si="129"/>
        <v>4</v>
      </c>
      <c r="BD3" s="15">
        <f t="shared" si="129"/>
        <v>5</v>
      </c>
      <c r="BE3" s="15">
        <f t="shared" si="129"/>
        <v>5</v>
      </c>
      <c r="BF3" s="15">
        <f t="shared" si="129"/>
        <v>5</v>
      </c>
      <c r="BG3" s="15">
        <f t="shared" si="129"/>
        <v>5</v>
      </c>
      <c r="BH3" s="15">
        <f t="shared" si="129"/>
        <v>5</v>
      </c>
      <c r="BI3" s="15">
        <f t="shared" si="129"/>
        <v>5</v>
      </c>
      <c r="BJ3" s="15">
        <f t="shared" si="129"/>
        <v>5</v>
      </c>
      <c r="BK3" s="15">
        <f t="shared" si="129"/>
        <v>5</v>
      </c>
      <c r="BL3" s="15">
        <f t="shared" si="129"/>
        <v>5</v>
      </c>
      <c r="BM3" s="15">
        <f t="shared" si="129"/>
        <v>5</v>
      </c>
      <c r="BN3" s="15">
        <f t="shared" si="129"/>
        <v>5</v>
      </c>
      <c r="BO3" s="15">
        <f t="shared" si="129"/>
        <v>5</v>
      </c>
      <c r="BP3" s="15">
        <f t="shared" si="129"/>
        <v>6</v>
      </c>
      <c r="BQ3" s="15">
        <f t="shared" si="129"/>
        <v>6</v>
      </c>
      <c r="BR3" s="15">
        <f t="shared" si="129"/>
        <v>6</v>
      </c>
      <c r="BS3" s="15">
        <f t="shared" si="129"/>
        <v>6</v>
      </c>
      <c r="BT3" s="15">
        <f t="shared" si="129"/>
        <v>6</v>
      </c>
      <c r="BU3" s="15">
        <f t="shared" si="129"/>
        <v>6</v>
      </c>
      <c r="BV3" s="15">
        <f t="shared" si="129"/>
        <v>6</v>
      </c>
      <c r="BW3" s="15">
        <f t="shared" si="129"/>
        <v>6</v>
      </c>
      <c r="BX3" s="15">
        <f t="shared" si="129"/>
        <v>6</v>
      </c>
      <c r="BY3" s="15">
        <f t="shared" si="129"/>
        <v>6</v>
      </c>
      <c r="BZ3" s="15">
        <f t="shared" si="129"/>
        <v>6</v>
      </c>
      <c r="CA3" s="15">
        <f t="shared" si="129"/>
        <v>6</v>
      </c>
      <c r="CB3" s="15">
        <f t="shared" si="129"/>
        <v>7</v>
      </c>
      <c r="CC3" s="15">
        <f t="shared" si="129"/>
        <v>7</v>
      </c>
      <c r="CD3" s="15">
        <f t="shared" si="129"/>
        <v>7</v>
      </c>
      <c r="CE3" s="15">
        <f t="shared" si="129"/>
        <v>7</v>
      </c>
      <c r="CF3" s="15">
        <f t="shared" si="129"/>
        <v>7</v>
      </c>
      <c r="CG3" s="15">
        <f t="shared" si="129"/>
        <v>7</v>
      </c>
      <c r="CH3" s="15">
        <f t="shared" si="129"/>
        <v>7</v>
      </c>
      <c r="CI3" s="15">
        <f t="shared" si="129"/>
        <v>7</v>
      </c>
      <c r="CJ3" s="15">
        <f t="shared" si="129"/>
        <v>7</v>
      </c>
      <c r="CK3" s="15">
        <f t="shared" si="129"/>
        <v>7</v>
      </c>
      <c r="CL3" s="15">
        <f t="shared" si="129"/>
        <v>7</v>
      </c>
      <c r="CM3" s="15">
        <f t="shared" si="129"/>
        <v>7</v>
      </c>
      <c r="CN3" s="15">
        <f t="shared" si="129"/>
        <v>8</v>
      </c>
      <c r="CO3" s="15">
        <f t="shared" si="129"/>
        <v>8</v>
      </c>
      <c r="CP3" s="15">
        <f t="shared" si="129"/>
        <v>8</v>
      </c>
      <c r="CQ3" s="15">
        <f t="shared" si="129"/>
        <v>8</v>
      </c>
      <c r="CR3" s="15">
        <f t="shared" si="129"/>
        <v>8</v>
      </c>
      <c r="CS3" s="15">
        <f t="shared" si="129"/>
        <v>8</v>
      </c>
      <c r="CT3" s="15">
        <f t="shared" si="129"/>
        <v>8</v>
      </c>
      <c r="CU3" s="15">
        <f t="shared" si="129"/>
        <v>8</v>
      </c>
      <c r="CV3" s="15">
        <f t="shared" si="129"/>
        <v>8</v>
      </c>
      <c r="CW3" s="15">
        <f t="shared" si="129"/>
        <v>8</v>
      </c>
      <c r="CX3" s="15">
        <f t="shared" si="129"/>
        <v>8</v>
      </c>
      <c r="CY3" s="15">
        <f t="shared" si="129"/>
        <v>8</v>
      </c>
      <c r="CZ3" s="15">
        <f t="shared" si="129"/>
        <v>9</v>
      </c>
      <c r="DA3" s="15">
        <f t="shared" si="129"/>
        <v>9</v>
      </c>
      <c r="DB3" s="15">
        <f t="shared" si="129"/>
        <v>9</v>
      </c>
      <c r="DC3" s="15">
        <f t="shared" si="129"/>
        <v>9</v>
      </c>
      <c r="DD3" s="15">
        <f t="shared" si="129"/>
        <v>9</v>
      </c>
      <c r="DE3" s="15">
        <f t="shared" si="129"/>
        <v>9</v>
      </c>
      <c r="DF3" s="15">
        <f t="shared" si="129"/>
        <v>9</v>
      </c>
      <c r="DG3" s="15">
        <f t="shared" si="129"/>
        <v>9</v>
      </c>
      <c r="DH3" s="15">
        <f t="shared" si="129"/>
        <v>9</v>
      </c>
      <c r="DI3" s="15">
        <f t="shared" si="129"/>
        <v>9</v>
      </c>
      <c r="DJ3" s="15">
        <f t="shared" si="129"/>
        <v>9</v>
      </c>
      <c r="DK3" s="15">
        <f t="shared" si="129"/>
        <v>9</v>
      </c>
      <c r="DL3" s="15">
        <f t="shared" si="129"/>
        <v>10</v>
      </c>
      <c r="DM3" s="15">
        <f t="shared" si="129"/>
        <v>10</v>
      </c>
      <c r="DN3" s="15">
        <f t="shared" si="129"/>
        <v>10</v>
      </c>
      <c r="DO3" s="15">
        <f t="shared" si="129"/>
        <v>10</v>
      </c>
      <c r="DP3" s="15">
        <f t="shared" si="129"/>
        <v>10</v>
      </c>
      <c r="DQ3" s="15">
        <f t="shared" si="129"/>
        <v>10</v>
      </c>
      <c r="DR3" s="15">
        <f t="shared" si="129"/>
        <v>10</v>
      </c>
      <c r="DS3" s="15">
        <f t="shared" si="129"/>
        <v>10</v>
      </c>
      <c r="DT3" s="15">
        <f t="shared" si="129"/>
        <v>10</v>
      </c>
      <c r="DU3" s="15">
        <f t="shared" si="129"/>
        <v>10</v>
      </c>
      <c r="DV3" s="15">
        <f t="shared" si="129"/>
        <v>10</v>
      </c>
      <c r="DW3" s="15">
        <f t="shared" si="129"/>
        <v>10</v>
      </c>
      <c r="DX3" s="15">
        <f t="shared" si="129"/>
        <v>11</v>
      </c>
      <c r="DY3" s="15">
        <f t="shared" si="129"/>
        <v>11</v>
      </c>
      <c r="DZ3" s="15">
        <f t="shared" si="129"/>
        <v>11</v>
      </c>
      <c r="EA3" s="15">
        <f t="shared" si="129"/>
        <v>11</v>
      </c>
      <c r="EB3" s="15">
        <f t="shared" si="129"/>
        <v>11</v>
      </c>
      <c r="EC3" s="15">
        <f t="shared" si="129"/>
        <v>11</v>
      </c>
      <c r="ED3" s="15">
        <f t="shared" si="129"/>
        <v>11</v>
      </c>
      <c r="EE3" s="15">
        <f t="shared" si="129"/>
        <v>11</v>
      </c>
      <c r="EF3" s="15">
        <f t="shared" si="129"/>
        <v>11</v>
      </c>
      <c r="EG3" s="15">
        <f t="shared" si="129"/>
        <v>11</v>
      </c>
      <c r="EH3" s="15">
        <f t="shared" si="129"/>
        <v>11</v>
      </c>
      <c r="EI3" s="15">
        <f t="shared" si="129"/>
        <v>11</v>
      </c>
      <c r="EM3" s="1" t="s">
        <v>191</v>
      </c>
    </row>
    <row r="4" spans="2:143" x14ac:dyDescent="0.45">
      <c r="D4" s="2"/>
      <c r="E4" s="2"/>
      <c r="F4" s="2"/>
      <c r="G4" s="18">
        <v>0</v>
      </c>
      <c r="H4" s="18">
        <f>+G4+1</f>
        <v>1</v>
      </c>
      <c r="I4" s="18">
        <f t="shared" ref="I4:T4" si="130">+H4+1</f>
        <v>2</v>
      </c>
      <c r="J4" s="18">
        <f t="shared" si="130"/>
        <v>3</v>
      </c>
      <c r="K4" s="18">
        <f t="shared" si="130"/>
        <v>4</v>
      </c>
      <c r="L4" s="18">
        <f t="shared" si="130"/>
        <v>5</v>
      </c>
      <c r="M4" s="18">
        <f t="shared" si="130"/>
        <v>6</v>
      </c>
      <c r="N4" s="18">
        <f t="shared" si="130"/>
        <v>7</v>
      </c>
      <c r="O4" s="18">
        <f t="shared" si="130"/>
        <v>8</v>
      </c>
      <c r="P4" s="18">
        <f t="shared" si="130"/>
        <v>9</v>
      </c>
      <c r="Q4" s="18">
        <f t="shared" si="130"/>
        <v>10</v>
      </c>
      <c r="R4" s="18">
        <f t="shared" si="130"/>
        <v>11</v>
      </c>
      <c r="S4" s="18">
        <f t="shared" si="130"/>
        <v>12</v>
      </c>
      <c r="T4" s="18">
        <f t="shared" si="130"/>
        <v>13</v>
      </c>
      <c r="U4" s="18">
        <f t="shared" ref="U4" si="131">+T4+1</f>
        <v>14</v>
      </c>
      <c r="V4" s="18">
        <f t="shared" ref="V4" si="132">+U4+1</f>
        <v>15</v>
      </c>
      <c r="W4" s="18">
        <f t="shared" ref="W4" si="133">+V4+1</f>
        <v>16</v>
      </c>
      <c r="X4" s="18">
        <f t="shared" ref="X4" si="134">+W4+1</f>
        <v>17</v>
      </c>
      <c r="Y4" s="18">
        <f t="shared" ref="Y4" si="135">+X4+1</f>
        <v>18</v>
      </c>
      <c r="Z4" s="18">
        <f t="shared" ref="Z4" si="136">+Y4+1</f>
        <v>19</v>
      </c>
      <c r="AA4" s="18">
        <f t="shared" ref="AA4" si="137">+Z4+1</f>
        <v>20</v>
      </c>
      <c r="AB4" s="18">
        <f t="shared" ref="AB4" si="138">+AA4+1</f>
        <v>21</v>
      </c>
      <c r="AC4" s="18">
        <f t="shared" ref="AC4" si="139">+AB4+1</f>
        <v>22</v>
      </c>
      <c r="AD4" s="18">
        <f t="shared" ref="AD4" si="140">+AC4+1</f>
        <v>23</v>
      </c>
      <c r="AE4" s="18">
        <f t="shared" ref="AE4" si="141">+AD4+1</f>
        <v>24</v>
      </c>
      <c r="AF4" s="18">
        <f t="shared" ref="AF4" si="142">+AE4+1</f>
        <v>25</v>
      </c>
      <c r="AG4" s="18">
        <f t="shared" ref="AG4" si="143">+AF4+1</f>
        <v>26</v>
      </c>
      <c r="AH4" s="18">
        <f t="shared" ref="AH4" si="144">+AG4+1</f>
        <v>27</v>
      </c>
      <c r="AI4" s="18">
        <f t="shared" ref="AI4" si="145">+AH4+1</f>
        <v>28</v>
      </c>
      <c r="AJ4" s="18">
        <f t="shared" ref="AJ4" si="146">+AI4+1</f>
        <v>29</v>
      </c>
      <c r="AK4" s="18">
        <f t="shared" ref="AK4" si="147">+AJ4+1</f>
        <v>30</v>
      </c>
      <c r="AL4" s="18">
        <f t="shared" ref="AL4" si="148">+AK4+1</f>
        <v>31</v>
      </c>
      <c r="AM4" s="18">
        <f t="shared" ref="AM4" si="149">+AL4+1</f>
        <v>32</v>
      </c>
      <c r="AN4" s="18">
        <f t="shared" ref="AN4" si="150">+AM4+1</f>
        <v>33</v>
      </c>
      <c r="AO4" s="18">
        <f t="shared" ref="AO4" si="151">+AN4+1</f>
        <v>34</v>
      </c>
      <c r="AP4" s="18">
        <f t="shared" ref="AP4" si="152">+AO4+1</f>
        <v>35</v>
      </c>
      <c r="AQ4" s="18">
        <f t="shared" ref="AQ4" si="153">+AP4+1</f>
        <v>36</v>
      </c>
      <c r="AR4" s="18">
        <f t="shared" ref="AR4" si="154">+AQ4+1</f>
        <v>37</v>
      </c>
      <c r="AS4" s="18">
        <f t="shared" ref="AS4" si="155">+AR4+1</f>
        <v>38</v>
      </c>
      <c r="AT4" s="18">
        <f t="shared" ref="AT4" si="156">+AS4+1</f>
        <v>39</v>
      </c>
      <c r="AU4" s="18">
        <f t="shared" ref="AU4" si="157">+AT4+1</f>
        <v>40</v>
      </c>
      <c r="AV4" s="18">
        <f t="shared" ref="AV4" si="158">+AU4+1</f>
        <v>41</v>
      </c>
      <c r="AW4" s="18">
        <f t="shared" ref="AW4" si="159">+AV4+1</f>
        <v>42</v>
      </c>
      <c r="AX4" s="18">
        <f t="shared" ref="AX4" si="160">+AW4+1</f>
        <v>43</v>
      </c>
      <c r="AY4" s="18">
        <f t="shared" ref="AY4" si="161">+AX4+1</f>
        <v>44</v>
      </c>
      <c r="AZ4" s="18">
        <f t="shared" ref="AZ4" si="162">+AY4+1</f>
        <v>45</v>
      </c>
      <c r="BA4" s="18">
        <f t="shared" ref="BA4" si="163">+AZ4+1</f>
        <v>46</v>
      </c>
      <c r="BB4" s="18">
        <f t="shared" ref="BB4" si="164">+BA4+1</f>
        <v>47</v>
      </c>
      <c r="BC4" s="18">
        <f t="shared" ref="BC4" si="165">+BB4+1</f>
        <v>48</v>
      </c>
      <c r="BD4" s="18">
        <f t="shared" ref="BD4" si="166">+BC4+1</f>
        <v>49</v>
      </c>
      <c r="BE4" s="18">
        <f t="shared" ref="BE4" si="167">+BD4+1</f>
        <v>50</v>
      </c>
      <c r="BF4" s="18">
        <f t="shared" ref="BF4" si="168">+BE4+1</f>
        <v>51</v>
      </c>
      <c r="BG4" s="18">
        <f t="shared" ref="BG4" si="169">+BF4+1</f>
        <v>52</v>
      </c>
      <c r="BH4" s="18">
        <f t="shared" ref="BH4" si="170">+BG4+1</f>
        <v>53</v>
      </c>
      <c r="BI4" s="18">
        <f t="shared" ref="BI4" si="171">+BH4+1</f>
        <v>54</v>
      </c>
      <c r="BJ4" s="18">
        <f t="shared" ref="BJ4" si="172">+BI4+1</f>
        <v>55</v>
      </c>
      <c r="BK4" s="18">
        <f t="shared" ref="BK4" si="173">+BJ4+1</f>
        <v>56</v>
      </c>
      <c r="BL4" s="18">
        <f t="shared" ref="BL4" si="174">+BK4+1</f>
        <v>57</v>
      </c>
      <c r="BM4" s="18">
        <f t="shared" ref="BM4" si="175">+BL4+1</f>
        <v>58</v>
      </c>
      <c r="BN4" s="18">
        <f t="shared" ref="BN4" si="176">+BM4+1</f>
        <v>59</v>
      </c>
      <c r="BO4" s="18">
        <f t="shared" ref="BO4" si="177">+BN4+1</f>
        <v>60</v>
      </c>
      <c r="BP4" s="18">
        <f t="shared" ref="BP4" si="178">+BO4+1</f>
        <v>61</v>
      </c>
      <c r="BQ4" s="18">
        <f t="shared" ref="BQ4" si="179">+BP4+1</f>
        <v>62</v>
      </c>
      <c r="BR4" s="18">
        <f t="shared" ref="BR4" si="180">+BQ4+1</f>
        <v>63</v>
      </c>
      <c r="BS4" s="18">
        <f t="shared" ref="BS4" si="181">+BR4+1</f>
        <v>64</v>
      </c>
      <c r="BT4" s="18">
        <f t="shared" ref="BT4" si="182">+BS4+1</f>
        <v>65</v>
      </c>
      <c r="BU4" s="18">
        <f t="shared" ref="BU4" si="183">+BT4+1</f>
        <v>66</v>
      </c>
      <c r="BV4" s="18">
        <f t="shared" ref="BV4" si="184">+BU4+1</f>
        <v>67</v>
      </c>
      <c r="BW4" s="18">
        <f t="shared" ref="BW4" si="185">+BV4+1</f>
        <v>68</v>
      </c>
      <c r="BX4" s="18">
        <f t="shared" ref="BX4" si="186">+BW4+1</f>
        <v>69</v>
      </c>
      <c r="BY4" s="18">
        <f t="shared" ref="BY4" si="187">+BX4+1</f>
        <v>70</v>
      </c>
      <c r="BZ4" s="18">
        <f t="shared" ref="BZ4" si="188">+BY4+1</f>
        <v>71</v>
      </c>
      <c r="CA4" s="18">
        <f t="shared" ref="CA4" si="189">+BZ4+1</f>
        <v>72</v>
      </c>
      <c r="CB4" s="18">
        <f t="shared" ref="CB4" si="190">+CA4+1</f>
        <v>73</v>
      </c>
      <c r="CC4" s="18">
        <f t="shared" ref="CC4" si="191">+CB4+1</f>
        <v>74</v>
      </c>
      <c r="CD4" s="18">
        <f t="shared" ref="CD4" si="192">+CC4+1</f>
        <v>75</v>
      </c>
      <c r="CE4" s="18">
        <f t="shared" ref="CE4" si="193">+CD4+1</f>
        <v>76</v>
      </c>
      <c r="CF4" s="18">
        <f t="shared" ref="CF4" si="194">+CE4+1</f>
        <v>77</v>
      </c>
      <c r="CG4" s="18">
        <f t="shared" ref="CG4" si="195">+CF4+1</f>
        <v>78</v>
      </c>
      <c r="CH4" s="18">
        <f t="shared" ref="CH4" si="196">+CG4+1</f>
        <v>79</v>
      </c>
      <c r="CI4" s="18">
        <f t="shared" ref="CI4" si="197">+CH4+1</f>
        <v>80</v>
      </c>
      <c r="CJ4" s="18">
        <f t="shared" ref="CJ4" si="198">+CI4+1</f>
        <v>81</v>
      </c>
      <c r="CK4" s="18">
        <f t="shared" ref="CK4" si="199">+CJ4+1</f>
        <v>82</v>
      </c>
      <c r="CL4" s="18">
        <f t="shared" ref="CL4" si="200">+CK4+1</f>
        <v>83</v>
      </c>
      <c r="CM4" s="18">
        <f t="shared" ref="CM4" si="201">+CL4+1</f>
        <v>84</v>
      </c>
      <c r="CN4" s="18">
        <f t="shared" ref="CN4" si="202">+CM4+1</f>
        <v>85</v>
      </c>
      <c r="CO4" s="18">
        <f t="shared" ref="CO4" si="203">+CN4+1</f>
        <v>86</v>
      </c>
      <c r="CP4" s="18">
        <f t="shared" ref="CP4" si="204">+CO4+1</f>
        <v>87</v>
      </c>
      <c r="CQ4" s="18">
        <f t="shared" ref="CQ4" si="205">+CP4+1</f>
        <v>88</v>
      </c>
      <c r="CR4" s="18">
        <f t="shared" ref="CR4" si="206">+CQ4+1</f>
        <v>89</v>
      </c>
      <c r="CS4" s="18">
        <f t="shared" ref="CS4" si="207">+CR4+1</f>
        <v>90</v>
      </c>
      <c r="CT4" s="18">
        <f t="shared" ref="CT4" si="208">+CS4+1</f>
        <v>91</v>
      </c>
      <c r="CU4" s="18">
        <f t="shared" ref="CU4" si="209">+CT4+1</f>
        <v>92</v>
      </c>
      <c r="CV4" s="18">
        <f t="shared" ref="CV4" si="210">+CU4+1</f>
        <v>93</v>
      </c>
      <c r="CW4" s="18">
        <f t="shared" ref="CW4" si="211">+CV4+1</f>
        <v>94</v>
      </c>
      <c r="CX4" s="18">
        <f t="shared" ref="CX4" si="212">+CW4+1</f>
        <v>95</v>
      </c>
      <c r="CY4" s="18">
        <f t="shared" ref="CY4" si="213">+CX4+1</f>
        <v>96</v>
      </c>
      <c r="CZ4" s="18">
        <f t="shared" ref="CZ4" si="214">+CY4+1</f>
        <v>97</v>
      </c>
      <c r="DA4" s="18">
        <f t="shared" ref="DA4" si="215">+CZ4+1</f>
        <v>98</v>
      </c>
      <c r="DB4" s="18">
        <f t="shared" ref="DB4" si="216">+DA4+1</f>
        <v>99</v>
      </c>
      <c r="DC4" s="18">
        <f t="shared" ref="DC4" si="217">+DB4+1</f>
        <v>100</v>
      </c>
      <c r="DD4" s="18">
        <f t="shared" ref="DD4" si="218">+DC4+1</f>
        <v>101</v>
      </c>
      <c r="DE4" s="18">
        <f t="shared" ref="DE4" si="219">+DD4+1</f>
        <v>102</v>
      </c>
      <c r="DF4" s="18">
        <f t="shared" ref="DF4" si="220">+DE4+1</f>
        <v>103</v>
      </c>
      <c r="DG4" s="18">
        <f t="shared" ref="DG4" si="221">+DF4+1</f>
        <v>104</v>
      </c>
      <c r="DH4" s="18">
        <f t="shared" ref="DH4" si="222">+DG4+1</f>
        <v>105</v>
      </c>
      <c r="DI4" s="18">
        <f t="shared" ref="DI4" si="223">+DH4+1</f>
        <v>106</v>
      </c>
      <c r="DJ4" s="18">
        <f t="shared" ref="DJ4" si="224">+DI4+1</f>
        <v>107</v>
      </c>
      <c r="DK4" s="18">
        <f t="shared" ref="DK4" si="225">+DJ4+1</f>
        <v>108</v>
      </c>
      <c r="DL4" s="18">
        <f t="shared" ref="DL4" si="226">+DK4+1</f>
        <v>109</v>
      </c>
      <c r="DM4" s="18">
        <f t="shared" ref="DM4" si="227">+DL4+1</f>
        <v>110</v>
      </c>
      <c r="DN4" s="18">
        <f t="shared" ref="DN4" si="228">+DM4+1</f>
        <v>111</v>
      </c>
      <c r="DO4" s="18">
        <f t="shared" ref="DO4" si="229">+DN4+1</f>
        <v>112</v>
      </c>
      <c r="DP4" s="18">
        <f t="shared" ref="DP4" si="230">+DO4+1</f>
        <v>113</v>
      </c>
      <c r="DQ4" s="18">
        <f t="shared" ref="DQ4" si="231">+DP4+1</f>
        <v>114</v>
      </c>
      <c r="DR4" s="18">
        <f t="shared" ref="DR4" si="232">+DQ4+1</f>
        <v>115</v>
      </c>
      <c r="DS4" s="18">
        <f t="shared" ref="DS4" si="233">+DR4+1</f>
        <v>116</v>
      </c>
      <c r="DT4" s="18">
        <f t="shared" ref="DT4" si="234">+DS4+1</f>
        <v>117</v>
      </c>
      <c r="DU4" s="18">
        <f t="shared" ref="DU4" si="235">+DT4+1</f>
        <v>118</v>
      </c>
      <c r="DV4" s="18">
        <f t="shared" ref="DV4" si="236">+DU4+1</f>
        <v>119</v>
      </c>
      <c r="DW4" s="18">
        <f t="shared" ref="DW4" si="237">+DV4+1</f>
        <v>120</v>
      </c>
      <c r="DX4" s="18">
        <f t="shared" ref="DX4" si="238">+DW4+1</f>
        <v>121</v>
      </c>
      <c r="DY4" s="18">
        <f t="shared" ref="DY4" si="239">+DX4+1</f>
        <v>122</v>
      </c>
      <c r="DZ4" s="18">
        <f t="shared" ref="DZ4" si="240">+DY4+1</f>
        <v>123</v>
      </c>
      <c r="EA4" s="18">
        <f t="shared" ref="EA4" si="241">+DZ4+1</f>
        <v>124</v>
      </c>
      <c r="EB4" s="18">
        <f t="shared" ref="EB4" si="242">+EA4+1</f>
        <v>125</v>
      </c>
      <c r="EC4" s="18">
        <f t="shared" ref="EC4" si="243">+EB4+1</f>
        <v>126</v>
      </c>
      <c r="ED4" s="18">
        <f t="shared" ref="ED4" si="244">+EC4+1</f>
        <v>127</v>
      </c>
      <c r="EE4" s="18">
        <f t="shared" ref="EE4" si="245">+ED4+1</f>
        <v>128</v>
      </c>
      <c r="EF4" s="18">
        <f t="shared" ref="EF4" si="246">+EE4+1</f>
        <v>129</v>
      </c>
      <c r="EG4" s="18">
        <f t="shared" ref="EG4" si="247">+EF4+1</f>
        <v>130</v>
      </c>
      <c r="EH4" s="18">
        <f t="shared" ref="EH4" si="248">+EG4+1</f>
        <v>131</v>
      </c>
      <c r="EI4" s="18">
        <f t="shared" ref="EI4" si="249">+EH4+1</f>
        <v>132</v>
      </c>
      <c r="EM4" s="1" t="s">
        <v>191</v>
      </c>
    </row>
    <row r="5" spans="2:143" x14ac:dyDescent="0.45">
      <c r="B5" s="24">
        <f t="shared" ref="B5:B10" si="250">SUM(G5:EI5)</f>
        <v>15000000</v>
      </c>
      <c r="D5" s="1" t="s">
        <v>4</v>
      </c>
      <c r="G5" s="24">
        <f>+IF(G4=Assumptions!$G$24,Assumptions!$G$23,0)</f>
        <v>15000000</v>
      </c>
      <c r="H5" s="24">
        <f>+IF(H4=Assumptions!$G$24,Assumptions!$G$23,0)</f>
        <v>0</v>
      </c>
      <c r="I5" s="24">
        <f>+IF(I4=Assumptions!$G$24,Assumptions!$G$23,0)</f>
        <v>0</v>
      </c>
      <c r="J5" s="24">
        <f>+IF(J4=Assumptions!$G$24,Assumptions!$G$23,0)</f>
        <v>0</v>
      </c>
      <c r="K5" s="24">
        <f>+IF(K4=Assumptions!$G$24,Assumptions!$G$23,0)</f>
        <v>0</v>
      </c>
      <c r="L5" s="24">
        <f>+IF(L4=Assumptions!$G$24,Assumptions!$G$23,0)</f>
        <v>0</v>
      </c>
      <c r="M5" s="24">
        <f>+IF(M4=Assumptions!$G$24,Assumptions!$G$23,0)</f>
        <v>0</v>
      </c>
      <c r="N5" s="24">
        <f>+IF(N4=Assumptions!$G$24,Assumptions!$G$23,0)</f>
        <v>0</v>
      </c>
      <c r="O5" s="24">
        <f>+IF(O4=Assumptions!$G$24,Assumptions!$G$23,0)</f>
        <v>0</v>
      </c>
      <c r="P5" s="24">
        <f>+IF(P4=Assumptions!$G$24,Assumptions!$G$23,0)</f>
        <v>0</v>
      </c>
      <c r="Q5" s="24">
        <f>+IF(Q4=Assumptions!$G$24,Assumptions!$G$23,0)</f>
        <v>0</v>
      </c>
      <c r="R5" s="24">
        <f>+IF(R4=Assumptions!$G$24,Assumptions!$G$23,0)</f>
        <v>0</v>
      </c>
      <c r="S5" s="24">
        <f>+IF(S4=Assumptions!$G$24,Assumptions!$G$23,0)</f>
        <v>0</v>
      </c>
      <c r="T5" s="24">
        <f>+IF(T4=Assumptions!$G$24,Assumptions!$G$23,0)</f>
        <v>0</v>
      </c>
      <c r="U5" s="24">
        <f>+IF(U4=Assumptions!$G$24,Assumptions!$G$23,0)</f>
        <v>0</v>
      </c>
      <c r="V5" s="24">
        <f>+IF(V4=Assumptions!$G$24,Assumptions!$G$23,0)</f>
        <v>0</v>
      </c>
      <c r="W5" s="24">
        <f>+IF(W4=Assumptions!$G$24,Assumptions!$G$23,0)</f>
        <v>0</v>
      </c>
      <c r="X5" s="24">
        <f>+IF(X4=Assumptions!$G$24,Assumptions!$G$23,0)</f>
        <v>0</v>
      </c>
      <c r="Y5" s="24">
        <f>+IF(Y4=Assumptions!$G$24,Assumptions!$G$23,0)</f>
        <v>0</v>
      </c>
      <c r="Z5" s="24">
        <f>+IF(Z4=Assumptions!$G$24,Assumptions!$G$23,0)</f>
        <v>0</v>
      </c>
      <c r="AA5" s="24">
        <f>+IF(AA4=Assumptions!$G$24,Assumptions!$G$23,0)</f>
        <v>0</v>
      </c>
      <c r="AB5" s="24">
        <f>+IF(AB4=Assumptions!$G$24,Assumptions!$G$23,0)</f>
        <v>0</v>
      </c>
      <c r="AC5" s="24">
        <f>+IF(AC4=Assumptions!$G$24,Assumptions!$G$23,0)</f>
        <v>0</v>
      </c>
      <c r="AD5" s="24">
        <f>+IF(AD4=Assumptions!$G$24,Assumptions!$G$23,0)</f>
        <v>0</v>
      </c>
      <c r="AE5" s="24">
        <f>+IF(AE4=Assumptions!$G$24,Assumptions!$G$23,0)</f>
        <v>0</v>
      </c>
      <c r="AF5" s="24">
        <f>+IF(AF4=Assumptions!$G$24,Assumptions!$G$23,0)</f>
        <v>0</v>
      </c>
      <c r="AG5" s="24">
        <f>+IF(AG4=Assumptions!$G$24,Assumptions!$G$23,0)</f>
        <v>0</v>
      </c>
      <c r="AH5" s="24">
        <f>+IF(AH4=Assumptions!$G$24,Assumptions!$G$23,0)</f>
        <v>0</v>
      </c>
      <c r="AI5" s="24">
        <f>+IF(AI4=Assumptions!$G$24,Assumptions!$G$23,0)</f>
        <v>0</v>
      </c>
      <c r="AJ5" s="24">
        <f>+IF(AJ4=Assumptions!$G$24,Assumptions!$G$23,0)</f>
        <v>0</v>
      </c>
      <c r="AK5" s="24">
        <f>+IF(AK4=Assumptions!$G$24,Assumptions!$G$23,0)</f>
        <v>0</v>
      </c>
      <c r="AL5" s="24">
        <f>+IF(AL4=Assumptions!$G$24,Assumptions!$G$23,0)</f>
        <v>0</v>
      </c>
      <c r="AM5" s="24">
        <f>+IF(AM4=Assumptions!$G$24,Assumptions!$G$23,0)</f>
        <v>0</v>
      </c>
      <c r="AN5" s="24">
        <f>+IF(AN4=Assumptions!$G$24,Assumptions!$G$23,0)</f>
        <v>0</v>
      </c>
      <c r="AO5" s="24">
        <f>+IF(AO4=Assumptions!$G$24,Assumptions!$G$23,0)</f>
        <v>0</v>
      </c>
      <c r="AP5" s="24">
        <f>+IF(AP4=Assumptions!$G$24,Assumptions!$G$23,0)</f>
        <v>0</v>
      </c>
      <c r="AQ5" s="24">
        <f>+IF(AQ4=Assumptions!$G$24,Assumptions!$G$23,0)</f>
        <v>0</v>
      </c>
      <c r="AR5" s="24">
        <f>+IF(AR4=Assumptions!$G$24,Assumptions!$G$23,0)</f>
        <v>0</v>
      </c>
      <c r="AS5" s="24">
        <f>+IF(AS4=Assumptions!$G$24,Assumptions!$G$23,0)</f>
        <v>0</v>
      </c>
      <c r="AT5" s="24">
        <f>+IF(AT4=Assumptions!$G$24,Assumptions!$G$23,0)</f>
        <v>0</v>
      </c>
      <c r="AU5" s="24">
        <f>+IF(AU4=Assumptions!$G$24,Assumptions!$G$23,0)</f>
        <v>0</v>
      </c>
      <c r="AV5" s="24">
        <f>+IF(AV4=Assumptions!$G$24,Assumptions!$G$23,0)</f>
        <v>0</v>
      </c>
      <c r="AW5" s="24">
        <f>+IF(AW4=Assumptions!$G$24,Assumptions!$G$23,0)</f>
        <v>0</v>
      </c>
      <c r="AX5" s="24">
        <f>+IF(AX4=Assumptions!$G$24,Assumptions!$G$23,0)</f>
        <v>0</v>
      </c>
      <c r="AY5" s="24">
        <f>+IF(AY4=Assumptions!$G$24,Assumptions!$G$23,0)</f>
        <v>0</v>
      </c>
      <c r="AZ5" s="24">
        <f>+IF(AZ4=Assumptions!$G$24,Assumptions!$G$23,0)</f>
        <v>0</v>
      </c>
      <c r="BA5" s="24">
        <f>+IF(BA4=Assumptions!$G$24,Assumptions!$G$23,0)</f>
        <v>0</v>
      </c>
      <c r="BB5" s="24">
        <f>+IF(BB4=Assumptions!$G$24,Assumptions!$G$23,0)</f>
        <v>0</v>
      </c>
      <c r="BC5" s="24">
        <f>+IF(BC4=Assumptions!$G$24,Assumptions!$G$23,0)</f>
        <v>0</v>
      </c>
      <c r="BD5" s="24">
        <f>+IF(BD4=Assumptions!$G$24,Assumptions!$G$23,0)</f>
        <v>0</v>
      </c>
      <c r="BE5" s="24">
        <f>+IF(BE4=Assumptions!$G$24,Assumptions!$G$23,0)</f>
        <v>0</v>
      </c>
      <c r="BF5" s="24">
        <f>+IF(BF4=Assumptions!$G$24,Assumptions!$G$23,0)</f>
        <v>0</v>
      </c>
      <c r="BG5" s="24">
        <f>+IF(BG4=Assumptions!$G$24,Assumptions!$G$23,0)</f>
        <v>0</v>
      </c>
      <c r="BH5" s="24">
        <f>+IF(BH4=Assumptions!$G$24,Assumptions!$G$23,0)</f>
        <v>0</v>
      </c>
      <c r="BI5" s="24">
        <f>+IF(BI4=Assumptions!$G$24,Assumptions!$G$23,0)</f>
        <v>0</v>
      </c>
      <c r="BJ5" s="24">
        <f>+IF(BJ4=Assumptions!$G$24,Assumptions!$G$23,0)</f>
        <v>0</v>
      </c>
      <c r="BK5" s="24">
        <f>+IF(BK4=Assumptions!$G$24,Assumptions!$G$23,0)</f>
        <v>0</v>
      </c>
      <c r="BL5" s="24">
        <f>+IF(BL4=Assumptions!$G$24,Assumptions!$G$23,0)</f>
        <v>0</v>
      </c>
      <c r="BM5" s="24">
        <f>+IF(BM4=Assumptions!$G$24,Assumptions!$G$23,0)</f>
        <v>0</v>
      </c>
      <c r="BN5" s="24">
        <f>+IF(BN4=Assumptions!$G$24,Assumptions!$G$23,0)</f>
        <v>0</v>
      </c>
      <c r="BO5" s="24">
        <f>+IF(BO4=Assumptions!$G$24,Assumptions!$G$23,0)</f>
        <v>0</v>
      </c>
      <c r="BP5" s="24">
        <f>+IF(BP4=Assumptions!$G$24,Assumptions!$G$23,0)</f>
        <v>0</v>
      </c>
      <c r="BQ5" s="24">
        <f>+IF(BQ4=Assumptions!$G$24,Assumptions!$G$23,0)</f>
        <v>0</v>
      </c>
      <c r="BR5" s="24">
        <f>+IF(BR4=Assumptions!$G$24,Assumptions!$G$23,0)</f>
        <v>0</v>
      </c>
      <c r="BS5" s="24">
        <f>+IF(BS4=Assumptions!$G$24,Assumptions!$G$23,0)</f>
        <v>0</v>
      </c>
      <c r="BT5" s="24">
        <f>+IF(BT4=Assumptions!$G$24,Assumptions!$G$23,0)</f>
        <v>0</v>
      </c>
      <c r="BU5" s="24">
        <f>+IF(BU4=Assumptions!$G$24,Assumptions!$G$23,0)</f>
        <v>0</v>
      </c>
      <c r="BV5" s="24">
        <f>+IF(BV4=Assumptions!$G$24,Assumptions!$G$23,0)</f>
        <v>0</v>
      </c>
      <c r="BW5" s="24">
        <f>+IF(BW4=Assumptions!$G$24,Assumptions!$G$23,0)</f>
        <v>0</v>
      </c>
      <c r="BX5" s="24">
        <f>+IF(BX4=Assumptions!$G$24,Assumptions!$G$23,0)</f>
        <v>0</v>
      </c>
      <c r="BY5" s="24">
        <f>+IF(BY4=Assumptions!$G$24,Assumptions!$G$23,0)</f>
        <v>0</v>
      </c>
      <c r="BZ5" s="24">
        <f>+IF(BZ4=Assumptions!$G$24,Assumptions!$G$23,0)</f>
        <v>0</v>
      </c>
      <c r="CA5" s="24">
        <f>+IF(CA4=Assumptions!$G$24,Assumptions!$G$23,0)</f>
        <v>0</v>
      </c>
      <c r="CB5" s="24">
        <f>+IF(CB4=Assumptions!$G$24,Assumptions!$G$23,0)</f>
        <v>0</v>
      </c>
      <c r="CC5" s="24">
        <f>+IF(CC4=Assumptions!$G$24,Assumptions!$G$23,0)</f>
        <v>0</v>
      </c>
      <c r="CD5" s="24">
        <f>+IF(CD4=Assumptions!$G$24,Assumptions!$G$23,0)</f>
        <v>0</v>
      </c>
      <c r="CE5" s="24">
        <f>+IF(CE4=Assumptions!$G$24,Assumptions!$G$23,0)</f>
        <v>0</v>
      </c>
      <c r="CF5" s="24">
        <f>+IF(CF4=Assumptions!$G$24,Assumptions!$G$23,0)</f>
        <v>0</v>
      </c>
      <c r="CG5" s="24">
        <f>+IF(CG4=Assumptions!$G$24,Assumptions!$G$23,0)</f>
        <v>0</v>
      </c>
      <c r="CH5" s="24">
        <f>+IF(CH4=Assumptions!$G$24,Assumptions!$G$23,0)</f>
        <v>0</v>
      </c>
      <c r="CI5" s="24">
        <f>+IF(CI4=Assumptions!$G$24,Assumptions!$G$23,0)</f>
        <v>0</v>
      </c>
      <c r="CJ5" s="24">
        <f>+IF(CJ4=Assumptions!$G$24,Assumptions!$G$23,0)</f>
        <v>0</v>
      </c>
      <c r="CK5" s="24">
        <f>+IF(CK4=Assumptions!$G$24,Assumptions!$G$23,0)</f>
        <v>0</v>
      </c>
      <c r="CL5" s="24">
        <f>+IF(CL4=Assumptions!$G$24,Assumptions!$G$23,0)</f>
        <v>0</v>
      </c>
      <c r="CM5" s="24">
        <f>+IF(CM4=Assumptions!$G$24,Assumptions!$G$23,0)</f>
        <v>0</v>
      </c>
      <c r="CN5" s="24">
        <f>+IF(CN4=Assumptions!$G$24,Assumptions!$G$23,0)</f>
        <v>0</v>
      </c>
      <c r="CO5" s="24">
        <f>+IF(CO4=Assumptions!$G$24,Assumptions!$G$23,0)</f>
        <v>0</v>
      </c>
      <c r="CP5" s="24">
        <f>+IF(CP4=Assumptions!$G$24,Assumptions!$G$23,0)</f>
        <v>0</v>
      </c>
      <c r="CQ5" s="24">
        <f>+IF(CQ4=Assumptions!$G$24,Assumptions!$G$23,0)</f>
        <v>0</v>
      </c>
      <c r="CR5" s="24">
        <f>+IF(CR4=Assumptions!$G$24,Assumptions!$G$23,0)</f>
        <v>0</v>
      </c>
      <c r="CS5" s="24">
        <f>+IF(CS4=Assumptions!$G$24,Assumptions!$G$23,0)</f>
        <v>0</v>
      </c>
      <c r="CT5" s="24">
        <f>+IF(CT4=Assumptions!$G$24,Assumptions!$G$23,0)</f>
        <v>0</v>
      </c>
      <c r="CU5" s="24">
        <f>+IF(CU4=Assumptions!$G$24,Assumptions!$G$23,0)</f>
        <v>0</v>
      </c>
      <c r="CV5" s="24">
        <f>+IF(CV4=Assumptions!$G$24,Assumptions!$G$23,0)</f>
        <v>0</v>
      </c>
      <c r="CW5" s="24">
        <f>+IF(CW4=Assumptions!$G$24,Assumptions!$G$23,0)</f>
        <v>0</v>
      </c>
      <c r="CX5" s="24">
        <f>+IF(CX4=Assumptions!$G$24,Assumptions!$G$23,0)</f>
        <v>0</v>
      </c>
      <c r="CY5" s="24">
        <f>+IF(CY4=Assumptions!$G$24,Assumptions!$G$23,0)</f>
        <v>0</v>
      </c>
      <c r="CZ5" s="24">
        <f>+IF(CZ4=Assumptions!$G$24,Assumptions!$G$23,0)</f>
        <v>0</v>
      </c>
      <c r="DA5" s="24">
        <f>+IF(DA4=Assumptions!$G$24,Assumptions!$G$23,0)</f>
        <v>0</v>
      </c>
      <c r="DB5" s="24">
        <f>+IF(DB4=Assumptions!$G$24,Assumptions!$G$23,0)</f>
        <v>0</v>
      </c>
      <c r="DC5" s="24">
        <f>+IF(DC4=Assumptions!$G$24,Assumptions!$G$23,0)</f>
        <v>0</v>
      </c>
      <c r="DD5" s="24">
        <f>+IF(DD4=Assumptions!$G$24,Assumptions!$G$23,0)</f>
        <v>0</v>
      </c>
      <c r="DE5" s="24">
        <f>+IF(DE4=Assumptions!$G$24,Assumptions!$G$23,0)</f>
        <v>0</v>
      </c>
      <c r="DF5" s="24">
        <f>+IF(DF4=Assumptions!$G$24,Assumptions!$G$23,0)</f>
        <v>0</v>
      </c>
      <c r="DG5" s="24">
        <f>+IF(DG4=Assumptions!$G$24,Assumptions!$G$23,0)</f>
        <v>0</v>
      </c>
      <c r="DH5" s="24">
        <f>+IF(DH4=Assumptions!$G$24,Assumptions!$G$23,0)</f>
        <v>0</v>
      </c>
      <c r="DI5" s="24">
        <f>+IF(DI4=Assumptions!$G$24,Assumptions!$G$23,0)</f>
        <v>0</v>
      </c>
      <c r="DJ5" s="24">
        <f>+IF(DJ4=Assumptions!$G$24,Assumptions!$G$23,0)</f>
        <v>0</v>
      </c>
      <c r="DK5" s="24">
        <f>+IF(DK4=Assumptions!$G$24,Assumptions!$G$23,0)</f>
        <v>0</v>
      </c>
      <c r="DL5" s="24">
        <f>+IF(DL4=Assumptions!$G$24,Assumptions!$G$23,0)</f>
        <v>0</v>
      </c>
      <c r="DM5" s="24">
        <f>+IF(DM4=Assumptions!$G$24,Assumptions!$G$23,0)</f>
        <v>0</v>
      </c>
      <c r="DN5" s="24">
        <f>+IF(DN4=Assumptions!$G$24,Assumptions!$G$23,0)</f>
        <v>0</v>
      </c>
      <c r="DO5" s="24">
        <f>+IF(DO4=Assumptions!$G$24,Assumptions!$G$23,0)</f>
        <v>0</v>
      </c>
      <c r="DP5" s="24">
        <f>+IF(DP4=Assumptions!$G$24,Assumptions!$G$23,0)</f>
        <v>0</v>
      </c>
      <c r="DQ5" s="24">
        <f>+IF(DQ4=Assumptions!$G$24,Assumptions!$G$23,0)</f>
        <v>0</v>
      </c>
      <c r="DR5" s="24">
        <f>+IF(DR4=Assumptions!$G$24,Assumptions!$G$23,0)</f>
        <v>0</v>
      </c>
      <c r="DS5" s="24">
        <f>+IF(DS4=Assumptions!$G$24,Assumptions!$G$23,0)</f>
        <v>0</v>
      </c>
      <c r="DT5" s="24">
        <f>+IF(DT4=Assumptions!$G$24,Assumptions!$G$23,0)</f>
        <v>0</v>
      </c>
      <c r="DU5" s="24">
        <f>+IF(DU4=Assumptions!$G$24,Assumptions!$G$23,0)</f>
        <v>0</v>
      </c>
      <c r="DV5" s="24">
        <f>+IF(DV4=Assumptions!$G$24,Assumptions!$G$23,0)</f>
        <v>0</v>
      </c>
      <c r="DW5" s="24">
        <f>+IF(DW4=Assumptions!$G$24,Assumptions!$G$23,0)</f>
        <v>0</v>
      </c>
      <c r="DX5" s="24">
        <f>+IF(DX4=Assumptions!$G$24,Assumptions!$G$23,0)</f>
        <v>0</v>
      </c>
      <c r="DY5" s="24">
        <f>+IF(DY4=Assumptions!$G$24,Assumptions!$G$23,0)</f>
        <v>0</v>
      </c>
      <c r="DZ5" s="24">
        <f>+IF(DZ4=Assumptions!$G$24,Assumptions!$G$23,0)</f>
        <v>0</v>
      </c>
      <c r="EA5" s="24">
        <f>+IF(EA4=Assumptions!$G$24,Assumptions!$G$23,0)</f>
        <v>0</v>
      </c>
      <c r="EB5" s="24">
        <f>+IF(EB4=Assumptions!$G$24,Assumptions!$G$23,0)</f>
        <v>0</v>
      </c>
      <c r="EC5" s="24">
        <f>+IF(EC4=Assumptions!$G$24,Assumptions!$G$23,0)</f>
        <v>0</v>
      </c>
      <c r="ED5" s="24">
        <f>+IF(ED4=Assumptions!$G$24,Assumptions!$G$23,0)</f>
        <v>0</v>
      </c>
      <c r="EE5" s="24">
        <f>+IF(EE4=Assumptions!$G$24,Assumptions!$G$23,0)</f>
        <v>0</v>
      </c>
      <c r="EF5" s="24">
        <f>+IF(EF4=Assumptions!$G$24,Assumptions!$G$23,0)</f>
        <v>0</v>
      </c>
      <c r="EG5" s="24">
        <f>+IF(EG4=Assumptions!$G$24,Assumptions!$G$23,0)</f>
        <v>0</v>
      </c>
      <c r="EH5" s="24">
        <f>+IF(EH4=Assumptions!$G$24,Assumptions!$G$23,0)</f>
        <v>0</v>
      </c>
      <c r="EI5" s="24">
        <f>+IF(EI4=Assumptions!$G$24,Assumptions!$G$23,0)</f>
        <v>0</v>
      </c>
      <c r="EM5" s="1" t="s">
        <v>191</v>
      </c>
    </row>
    <row r="6" spans="2:143" x14ac:dyDescent="0.45">
      <c r="B6" s="24">
        <f t="shared" si="250"/>
        <v>1062339.075</v>
      </c>
      <c r="D6" s="1" t="str">
        <f>+'Closing Costs'!B4</f>
        <v>Closing Costs</v>
      </c>
      <c r="G6" s="24" cm="1">
        <f t="array" ref="G6">INDEX('Closing Costs'!$J$19:$EL$19,,MATCH(Model!G$4,'Closing Costs'!$J$4:$EL$4,0))</f>
        <v>1062339.075</v>
      </c>
      <c r="H6" s="24" cm="1">
        <f t="array" ref="H6">INDEX('Closing Costs'!$J$19:$EL$19,,MATCH(Model!H$4,'Closing Costs'!$J$4:$EL$4,0))</f>
        <v>0</v>
      </c>
      <c r="I6" s="24" cm="1">
        <f t="array" ref="I6">INDEX('Closing Costs'!$J$19:$EL$19,,MATCH(Model!I$4,'Closing Costs'!$J$4:$EL$4,0))</f>
        <v>0</v>
      </c>
      <c r="J6" s="24" cm="1">
        <f t="array" ref="J6">INDEX('Closing Costs'!$J$19:$EL$19,,MATCH(Model!J$4,'Closing Costs'!$J$4:$EL$4,0))</f>
        <v>0</v>
      </c>
      <c r="K6" s="24" cm="1">
        <f t="array" ref="K6">INDEX('Closing Costs'!$J$19:$EL$19,,MATCH(Model!K$4,'Closing Costs'!$J$4:$EL$4,0))</f>
        <v>0</v>
      </c>
      <c r="L6" s="24" cm="1">
        <f t="array" ref="L6">INDEX('Closing Costs'!$J$19:$EL$19,,MATCH(Model!L$4,'Closing Costs'!$J$4:$EL$4,0))</f>
        <v>0</v>
      </c>
      <c r="M6" s="24" cm="1">
        <f t="array" ref="M6">INDEX('Closing Costs'!$J$19:$EL$19,,MATCH(Model!M$4,'Closing Costs'!$J$4:$EL$4,0))</f>
        <v>0</v>
      </c>
      <c r="N6" s="24" cm="1">
        <f t="array" ref="N6">INDEX('Closing Costs'!$J$19:$EL$19,,MATCH(Model!N$4,'Closing Costs'!$J$4:$EL$4,0))</f>
        <v>0</v>
      </c>
      <c r="O6" s="24" cm="1">
        <f t="array" ref="O6">INDEX('Closing Costs'!$J$19:$EL$19,,MATCH(Model!O$4,'Closing Costs'!$J$4:$EL$4,0))</f>
        <v>0</v>
      </c>
      <c r="P6" s="24" cm="1">
        <f t="array" ref="P6">INDEX('Closing Costs'!$J$19:$EL$19,,MATCH(Model!P$4,'Closing Costs'!$J$4:$EL$4,0))</f>
        <v>0</v>
      </c>
      <c r="Q6" s="24" cm="1">
        <f t="array" ref="Q6">INDEX('Closing Costs'!$J$19:$EL$19,,MATCH(Model!Q$4,'Closing Costs'!$J$4:$EL$4,0))</f>
        <v>0</v>
      </c>
      <c r="R6" s="24" cm="1">
        <f t="array" ref="R6">INDEX('Closing Costs'!$J$19:$EL$19,,MATCH(Model!R$4,'Closing Costs'!$J$4:$EL$4,0))</f>
        <v>0</v>
      </c>
      <c r="S6" s="24" cm="1">
        <f t="array" ref="S6">INDEX('Closing Costs'!$J$19:$EL$19,,MATCH(Model!S$4,'Closing Costs'!$J$4:$EL$4,0))</f>
        <v>0</v>
      </c>
      <c r="T6" s="24" cm="1">
        <f t="array" ref="T6">INDEX('Closing Costs'!$J$19:$EL$19,,MATCH(Model!T$4,'Closing Costs'!$J$4:$EL$4,0))</f>
        <v>0</v>
      </c>
      <c r="U6" s="24" cm="1">
        <f t="array" ref="U6">INDEX('Closing Costs'!$J$19:$EL$19,,MATCH(Model!U$4,'Closing Costs'!$J$4:$EL$4,0))</f>
        <v>0</v>
      </c>
      <c r="V6" s="24" cm="1">
        <f t="array" ref="V6">INDEX('Closing Costs'!$J$19:$EL$19,,MATCH(Model!V$4,'Closing Costs'!$J$4:$EL$4,0))</f>
        <v>0</v>
      </c>
      <c r="W6" s="24" cm="1">
        <f t="array" ref="W6">INDEX('Closing Costs'!$J$19:$EL$19,,MATCH(Model!W$4,'Closing Costs'!$J$4:$EL$4,0))</f>
        <v>0</v>
      </c>
      <c r="X6" s="24" cm="1">
        <f t="array" ref="X6">INDEX('Closing Costs'!$J$19:$EL$19,,MATCH(Model!X$4,'Closing Costs'!$J$4:$EL$4,0))</f>
        <v>0</v>
      </c>
      <c r="Y6" s="24" cm="1">
        <f t="array" ref="Y6">INDEX('Closing Costs'!$J$19:$EL$19,,MATCH(Model!Y$4,'Closing Costs'!$J$4:$EL$4,0))</f>
        <v>0</v>
      </c>
      <c r="Z6" s="24" cm="1">
        <f t="array" ref="Z6">INDEX('Closing Costs'!$J$19:$EL$19,,MATCH(Model!Z$4,'Closing Costs'!$J$4:$EL$4,0))</f>
        <v>0</v>
      </c>
      <c r="AA6" s="24" cm="1">
        <f t="array" ref="AA6">INDEX('Closing Costs'!$J$19:$EL$19,,MATCH(Model!AA$4,'Closing Costs'!$J$4:$EL$4,0))</f>
        <v>0</v>
      </c>
      <c r="AB6" s="24" cm="1">
        <f t="array" ref="AB6">INDEX('Closing Costs'!$J$19:$EL$19,,MATCH(Model!AB$4,'Closing Costs'!$J$4:$EL$4,0))</f>
        <v>0</v>
      </c>
      <c r="AC6" s="24" cm="1">
        <f t="array" ref="AC6">INDEX('Closing Costs'!$J$19:$EL$19,,MATCH(Model!AC$4,'Closing Costs'!$J$4:$EL$4,0))</f>
        <v>0</v>
      </c>
      <c r="AD6" s="24" cm="1">
        <f t="array" ref="AD6">INDEX('Closing Costs'!$J$19:$EL$19,,MATCH(Model!AD$4,'Closing Costs'!$J$4:$EL$4,0))</f>
        <v>0</v>
      </c>
      <c r="AE6" s="24" cm="1">
        <f t="array" ref="AE6">INDEX('Closing Costs'!$J$19:$EL$19,,MATCH(Model!AE$4,'Closing Costs'!$J$4:$EL$4,0))</f>
        <v>0</v>
      </c>
      <c r="AF6" s="24" cm="1">
        <f t="array" ref="AF6">INDEX('Closing Costs'!$J$19:$EL$19,,MATCH(Model!AF$4,'Closing Costs'!$J$4:$EL$4,0))</f>
        <v>0</v>
      </c>
      <c r="AG6" s="24" cm="1">
        <f t="array" ref="AG6">INDEX('Closing Costs'!$J$19:$EL$19,,MATCH(Model!AG$4,'Closing Costs'!$J$4:$EL$4,0))</f>
        <v>0</v>
      </c>
      <c r="AH6" s="24" cm="1">
        <f t="array" ref="AH6">INDEX('Closing Costs'!$J$19:$EL$19,,MATCH(Model!AH$4,'Closing Costs'!$J$4:$EL$4,0))</f>
        <v>0</v>
      </c>
      <c r="AI6" s="24" cm="1">
        <f t="array" ref="AI6">INDEX('Closing Costs'!$J$19:$EL$19,,MATCH(Model!AI$4,'Closing Costs'!$J$4:$EL$4,0))</f>
        <v>0</v>
      </c>
      <c r="AJ6" s="24" cm="1">
        <f t="array" ref="AJ6">INDEX('Closing Costs'!$J$19:$EL$19,,MATCH(Model!AJ$4,'Closing Costs'!$J$4:$EL$4,0))</f>
        <v>0</v>
      </c>
      <c r="AK6" s="24" cm="1">
        <f t="array" ref="AK6">INDEX('Closing Costs'!$J$19:$EL$19,,MATCH(Model!AK$4,'Closing Costs'!$J$4:$EL$4,0))</f>
        <v>0</v>
      </c>
      <c r="AL6" s="24" cm="1">
        <f t="array" ref="AL6">INDEX('Closing Costs'!$J$19:$EL$19,,MATCH(Model!AL$4,'Closing Costs'!$J$4:$EL$4,0))</f>
        <v>0</v>
      </c>
      <c r="AM6" s="24" cm="1">
        <f t="array" ref="AM6">INDEX('Closing Costs'!$J$19:$EL$19,,MATCH(Model!AM$4,'Closing Costs'!$J$4:$EL$4,0))</f>
        <v>0</v>
      </c>
      <c r="AN6" s="24" cm="1">
        <f t="array" ref="AN6">INDEX('Closing Costs'!$J$19:$EL$19,,MATCH(Model!AN$4,'Closing Costs'!$J$4:$EL$4,0))</f>
        <v>0</v>
      </c>
      <c r="AO6" s="24" cm="1">
        <f t="array" ref="AO6">INDEX('Closing Costs'!$J$19:$EL$19,,MATCH(Model!AO$4,'Closing Costs'!$J$4:$EL$4,0))</f>
        <v>0</v>
      </c>
      <c r="AP6" s="24" cm="1">
        <f t="array" ref="AP6">INDEX('Closing Costs'!$J$19:$EL$19,,MATCH(Model!AP$4,'Closing Costs'!$J$4:$EL$4,0))</f>
        <v>0</v>
      </c>
      <c r="AQ6" s="24" cm="1">
        <f t="array" ref="AQ6">INDEX('Closing Costs'!$J$19:$EL$19,,MATCH(Model!AQ$4,'Closing Costs'!$J$4:$EL$4,0))</f>
        <v>0</v>
      </c>
      <c r="AR6" s="24" cm="1">
        <f t="array" ref="AR6">INDEX('Closing Costs'!$J$19:$EL$19,,MATCH(Model!AR$4,'Closing Costs'!$J$4:$EL$4,0))</f>
        <v>0</v>
      </c>
      <c r="AS6" s="24" cm="1">
        <f t="array" ref="AS6">INDEX('Closing Costs'!$J$19:$EL$19,,MATCH(Model!AS$4,'Closing Costs'!$J$4:$EL$4,0))</f>
        <v>0</v>
      </c>
      <c r="AT6" s="24" cm="1">
        <f t="array" ref="AT6">INDEX('Closing Costs'!$J$19:$EL$19,,MATCH(Model!AT$4,'Closing Costs'!$J$4:$EL$4,0))</f>
        <v>0</v>
      </c>
      <c r="AU6" s="24" cm="1">
        <f t="array" ref="AU6">INDEX('Closing Costs'!$J$19:$EL$19,,MATCH(Model!AU$4,'Closing Costs'!$J$4:$EL$4,0))</f>
        <v>0</v>
      </c>
      <c r="AV6" s="24" cm="1">
        <f t="array" ref="AV6">INDEX('Closing Costs'!$J$19:$EL$19,,MATCH(Model!AV$4,'Closing Costs'!$J$4:$EL$4,0))</f>
        <v>0</v>
      </c>
      <c r="AW6" s="24" cm="1">
        <f t="array" ref="AW6">INDEX('Closing Costs'!$J$19:$EL$19,,MATCH(Model!AW$4,'Closing Costs'!$J$4:$EL$4,0))</f>
        <v>0</v>
      </c>
      <c r="AX6" s="24" cm="1">
        <f t="array" ref="AX6">INDEX('Closing Costs'!$J$19:$EL$19,,MATCH(Model!AX$4,'Closing Costs'!$J$4:$EL$4,0))</f>
        <v>0</v>
      </c>
      <c r="AY6" s="24" cm="1">
        <f t="array" ref="AY6">INDEX('Closing Costs'!$J$19:$EL$19,,MATCH(Model!AY$4,'Closing Costs'!$J$4:$EL$4,0))</f>
        <v>0</v>
      </c>
      <c r="AZ6" s="24" cm="1">
        <f t="array" ref="AZ6">INDEX('Closing Costs'!$J$19:$EL$19,,MATCH(Model!AZ$4,'Closing Costs'!$J$4:$EL$4,0))</f>
        <v>0</v>
      </c>
      <c r="BA6" s="24" cm="1">
        <f t="array" ref="BA6">INDEX('Closing Costs'!$J$19:$EL$19,,MATCH(Model!BA$4,'Closing Costs'!$J$4:$EL$4,0))</f>
        <v>0</v>
      </c>
      <c r="BB6" s="24" cm="1">
        <f t="array" ref="BB6">INDEX('Closing Costs'!$J$19:$EL$19,,MATCH(Model!BB$4,'Closing Costs'!$J$4:$EL$4,0))</f>
        <v>0</v>
      </c>
      <c r="BC6" s="24" cm="1">
        <f t="array" ref="BC6">INDEX('Closing Costs'!$J$19:$EL$19,,MATCH(Model!BC$4,'Closing Costs'!$J$4:$EL$4,0))</f>
        <v>0</v>
      </c>
      <c r="BD6" s="24" cm="1">
        <f t="array" ref="BD6">INDEX('Closing Costs'!$J$19:$EL$19,,MATCH(Model!BD$4,'Closing Costs'!$J$4:$EL$4,0))</f>
        <v>0</v>
      </c>
      <c r="BE6" s="24" cm="1">
        <f t="array" ref="BE6">INDEX('Closing Costs'!$J$19:$EL$19,,MATCH(Model!BE$4,'Closing Costs'!$J$4:$EL$4,0))</f>
        <v>0</v>
      </c>
      <c r="BF6" s="24" cm="1">
        <f t="array" ref="BF6">INDEX('Closing Costs'!$J$19:$EL$19,,MATCH(Model!BF$4,'Closing Costs'!$J$4:$EL$4,0))</f>
        <v>0</v>
      </c>
      <c r="BG6" s="24" cm="1">
        <f t="array" ref="BG6">INDEX('Closing Costs'!$J$19:$EL$19,,MATCH(Model!BG$4,'Closing Costs'!$J$4:$EL$4,0))</f>
        <v>0</v>
      </c>
      <c r="BH6" s="24" cm="1">
        <f t="array" ref="BH6">INDEX('Closing Costs'!$J$19:$EL$19,,MATCH(Model!BH$4,'Closing Costs'!$J$4:$EL$4,0))</f>
        <v>0</v>
      </c>
      <c r="BI6" s="24" cm="1">
        <f t="array" ref="BI6">INDEX('Closing Costs'!$J$19:$EL$19,,MATCH(Model!BI$4,'Closing Costs'!$J$4:$EL$4,0))</f>
        <v>0</v>
      </c>
      <c r="BJ6" s="24" cm="1">
        <f t="array" ref="BJ6">INDEX('Closing Costs'!$J$19:$EL$19,,MATCH(Model!BJ$4,'Closing Costs'!$J$4:$EL$4,0))</f>
        <v>0</v>
      </c>
      <c r="BK6" s="24" cm="1">
        <f t="array" ref="BK6">INDEX('Closing Costs'!$J$19:$EL$19,,MATCH(Model!BK$4,'Closing Costs'!$J$4:$EL$4,0))</f>
        <v>0</v>
      </c>
      <c r="BL6" s="24" cm="1">
        <f t="array" ref="BL6">INDEX('Closing Costs'!$J$19:$EL$19,,MATCH(Model!BL$4,'Closing Costs'!$J$4:$EL$4,0))</f>
        <v>0</v>
      </c>
      <c r="BM6" s="24" cm="1">
        <f t="array" ref="BM6">INDEX('Closing Costs'!$J$19:$EL$19,,MATCH(Model!BM$4,'Closing Costs'!$J$4:$EL$4,0))</f>
        <v>0</v>
      </c>
      <c r="BN6" s="24" cm="1">
        <f t="array" ref="BN6">INDEX('Closing Costs'!$J$19:$EL$19,,MATCH(Model!BN$4,'Closing Costs'!$J$4:$EL$4,0))</f>
        <v>0</v>
      </c>
      <c r="BO6" s="24" cm="1">
        <f t="array" ref="BO6">INDEX('Closing Costs'!$J$19:$EL$19,,MATCH(Model!BO$4,'Closing Costs'!$J$4:$EL$4,0))</f>
        <v>0</v>
      </c>
      <c r="BP6" s="24" cm="1">
        <f t="array" ref="BP6">INDEX('Closing Costs'!$J$19:$EL$19,,MATCH(Model!BP$4,'Closing Costs'!$J$4:$EL$4,0))</f>
        <v>0</v>
      </c>
      <c r="BQ6" s="24" cm="1">
        <f t="array" ref="BQ6">INDEX('Closing Costs'!$J$19:$EL$19,,MATCH(Model!BQ$4,'Closing Costs'!$J$4:$EL$4,0))</f>
        <v>0</v>
      </c>
      <c r="BR6" s="24" cm="1">
        <f t="array" ref="BR6">INDEX('Closing Costs'!$J$19:$EL$19,,MATCH(Model!BR$4,'Closing Costs'!$J$4:$EL$4,0))</f>
        <v>0</v>
      </c>
      <c r="BS6" s="24" cm="1">
        <f t="array" ref="BS6">INDEX('Closing Costs'!$J$19:$EL$19,,MATCH(Model!BS$4,'Closing Costs'!$J$4:$EL$4,0))</f>
        <v>0</v>
      </c>
      <c r="BT6" s="24" cm="1">
        <f t="array" ref="BT6">INDEX('Closing Costs'!$J$19:$EL$19,,MATCH(Model!BT$4,'Closing Costs'!$J$4:$EL$4,0))</f>
        <v>0</v>
      </c>
      <c r="BU6" s="24" cm="1">
        <f t="array" ref="BU6">INDEX('Closing Costs'!$J$19:$EL$19,,MATCH(Model!BU$4,'Closing Costs'!$J$4:$EL$4,0))</f>
        <v>0</v>
      </c>
      <c r="BV6" s="24" cm="1">
        <f t="array" ref="BV6">INDEX('Closing Costs'!$J$19:$EL$19,,MATCH(Model!BV$4,'Closing Costs'!$J$4:$EL$4,0))</f>
        <v>0</v>
      </c>
      <c r="BW6" s="24" cm="1">
        <f t="array" ref="BW6">INDEX('Closing Costs'!$J$19:$EL$19,,MATCH(Model!BW$4,'Closing Costs'!$J$4:$EL$4,0))</f>
        <v>0</v>
      </c>
      <c r="BX6" s="24" cm="1">
        <f t="array" ref="BX6">INDEX('Closing Costs'!$J$19:$EL$19,,MATCH(Model!BX$4,'Closing Costs'!$J$4:$EL$4,0))</f>
        <v>0</v>
      </c>
      <c r="BY6" s="24" cm="1">
        <f t="array" ref="BY6">INDEX('Closing Costs'!$J$19:$EL$19,,MATCH(Model!BY$4,'Closing Costs'!$J$4:$EL$4,0))</f>
        <v>0</v>
      </c>
      <c r="BZ6" s="24" cm="1">
        <f t="array" ref="BZ6">INDEX('Closing Costs'!$J$19:$EL$19,,MATCH(Model!BZ$4,'Closing Costs'!$J$4:$EL$4,0))</f>
        <v>0</v>
      </c>
      <c r="CA6" s="24" cm="1">
        <f t="array" ref="CA6">INDEX('Closing Costs'!$J$19:$EL$19,,MATCH(Model!CA$4,'Closing Costs'!$J$4:$EL$4,0))</f>
        <v>0</v>
      </c>
      <c r="CB6" s="24" cm="1">
        <f t="array" ref="CB6">INDEX('Closing Costs'!$J$19:$EL$19,,MATCH(Model!CB$4,'Closing Costs'!$J$4:$EL$4,0))</f>
        <v>0</v>
      </c>
      <c r="CC6" s="24" cm="1">
        <f t="array" ref="CC6">INDEX('Closing Costs'!$J$19:$EL$19,,MATCH(Model!CC$4,'Closing Costs'!$J$4:$EL$4,0))</f>
        <v>0</v>
      </c>
      <c r="CD6" s="24" cm="1">
        <f t="array" ref="CD6">INDEX('Closing Costs'!$J$19:$EL$19,,MATCH(Model!CD$4,'Closing Costs'!$J$4:$EL$4,0))</f>
        <v>0</v>
      </c>
      <c r="CE6" s="24" cm="1">
        <f t="array" ref="CE6">INDEX('Closing Costs'!$J$19:$EL$19,,MATCH(Model!CE$4,'Closing Costs'!$J$4:$EL$4,0))</f>
        <v>0</v>
      </c>
      <c r="CF6" s="24" cm="1">
        <f t="array" ref="CF6">INDEX('Closing Costs'!$J$19:$EL$19,,MATCH(Model!CF$4,'Closing Costs'!$J$4:$EL$4,0))</f>
        <v>0</v>
      </c>
      <c r="CG6" s="24" cm="1">
        <f t="array" ref="CG6">INDEX('Closing Costs'!$J$19:$EL$19,,MATCH(Model!CG$4,'Closing Costs'!$J$4:$EL$4,0))</f>
        <v>0</v>
      </c>
      <c r="CH6" s="24" cm="1">
        <f t="array" ref="CH6">INDEX('Closing Costs'!$J$19:$EL$19,,MATCH(Model!CH$4,'Closing Costs'!$J$4:$EL$4,0))</f>
        <v>0</v>
      </c>
      <c r="CI6" s="24" cm="1">
        <f t="array" ref="CI6">INDEX('Closing Costs'!$J$19:$EL$19,,MATCH(Model!CI$4,'Closing Costs'!$J$4:$EL$4,0))</f>
        <v>0</v>
      </c>
      <c r="CJ6" s="24" cm="1">
        <f t="array" ref="CJ6">INDEX('Closing Costs'!$J$19:$EL$19,,MATCH(Model!CJ$4,'Closing Costs'!$J$4:$EL$4,0))</f>
        <v>0</v>
      </c>
      <c r="CK6" s="24" cm="1">
        <f t="array" ref="CK6">INDEX('Closing Costs'!$J$19:$EL$19,,MATCH(Model!CK$4,'Closing Costs'!$J$4:$EL$4,0))</f>
        <v>0</v>
      </c>
      <c r="CL6" s="24" cm="1">
        <f t="array" ref="CL6">INDEX('Closing Costs'!$J$19:$EL$19,,MATCH(Model!CL$4,'Closing Costs'!$J$4:$EL$4,0))</f>
        <v>0</v>
      </c>
      <c r="CM6" s="24" cm="1">
        <f t="array" ref="CM6">INDEX('Closing Costs'!$J$19:$EL$19,,MATCH(Model!CM$4,'Closing Costs'!$J$4:$EL$4,0))</f>
        <v>0</v>
      </c>
      <c r="CN6" s="24" cm="1">
        <f t="array" ref="CN6">INDEX('Closing Costs'!$J$19:$EL$19,,MATCH(Model!CN$4,'Closing Costs'!$J$4:$EL$4,0))</f>
        <v>0</v>
      </c>
      <c r="CO6" s="24" cm="1">
        <f t="array" ref="CO6">INDEX('Closing Costs'!$J$19:$EL$19,,MATCH(Model!CO$4,'Closing Costs'!$J$4:$EL$4,0))</f>
        <v>0</v>
      </c>
      <c r="CP6" s="24" cm="1">
        <f t="array" ref="CP6">INDEX('Closing Costs'!$J$19:$EL$19,,MATCH(Model!CP$4,'Closing Costs'!$J$4:$EL$4,0))</f>
        <v>0</v>
      </c>
      <c r="CQ6" s="24" cm="1">
        <f t="array" ref="CQ6">INDEX('Closing Costs'!$J$19:$EL$19,,MATCH(Model!CQ$4,'Closing Costs'!$J$4:$EL$4,0))</f>
        <v>0</v>
      </c>
      <c r="CR6" s="24" cm="1">
        <f t="array" ref="CR6">INDEX('Closing Costs'!$J$19:$EL$19,,MATCH(Model!CR$4,'Closing Costs'!$J$4:$EL$4,0))</f>
        <v>0</v>
      </c>
      <c r="CS6" s="24" cm="1">
        <f t="array" ref="CS6">INDEX('Closing Costs'!$J$19:$EL$19,,MATCH(Model!CS$4,'Closing Costs'!$J$4:$EL$4,0))</f>
        <v>0</v>
      </c>
      <c r="CT6" s="24" cm="1">
        <f t="array" ref="CT6">INDEX('Closing Costs'!$J$19:$EL$19,,MATCH(Model!CT$4,'Closing Costs'!$J$4:$EL$4,0))</f>
        <v>0</v>
      </c>
      <c r="CU6" s="24" cm="1">
        <f t="array" ref="CU6">INDEX('Closing Costs'!$J$19:$EL$19,,MATCH(Model!CU$4,'Closing Costs'!$J$4:$EL$4,0))</f>
        <v>0</v>
      </c>
      <c r="CV6" s="24" cm="1">
        <f t="array" ref="CV6">INDEX('Closing Costs'!$J$19:$EL$19,,MATCH(Model!CV$4,'Closing Costs'!$J$4:$EL$4,0))</f>
        <v>0</v>
      </c>
      <c r="CW6" s="24" cm="1">
        <f t="array" ref="CW6">INDEX('Closing Costs'!$J$19:$EL$19,,MATCH(Model!CW$4,'Closing Costs'!$J$4:$EL$4,0))</f>
        <v>0</v>
      </c>
      <c r="CX6" s="24" cm="1">
        <f t="array" ref="CX6">INDEX('Closing Costs'!$J$19:$EL$19,,MATCH(Model!CX$4,'Closing Costs'!$J$4:$EL$4,0))</f>
        <v>0</v>
      </c>
      <c r="CY6" s="24" cm="1">
        <f t="array" ref="CY6">INDEX('Closing Costs'!$J$19:$EL$19,,MATCH(Model!CY$4,'Closing Costs'!$J$4:$EL$4,0))</f>
        <v>0</v>
      </c>
      <c r="CZ6" s="24" cm="1">
        <f t="array" ref="CZ6">INDEX('Closing Costs'!$J$19:$EL$19,,MATCH(Model!CZ$4,'Closing Costs'!$J$4:$EL$4,0))</f>
        <v>0</v>
      </c>
      <c r="DA6" s="24" cm="1">
        <f t="array" ref="DA6">INDEX('Closing Costs'!$J$19:$EL$19,,MATCH(Model!DA$4,'Closing Costs'!$J$4:$EL$4,0))</f>
        <v>0</v>
      </c>
      <c r="DB6" s="24" cm="1">
        <f t="array" ref="DB6">INDEX('Closing Costs'!$J$19:$EL$19,,MATCH(Model!DB$4,'Closing Costs'!$J$4:$EL$4,0))</f>
        <v>0</v>
      </c>
      <c r="DC6" s="24" cm="1">
        <f t="array" ref="DC6">INDEX('Closing Costs'!$J$19:$EL$19,,MATCH(Model!DC$4,'Closing Costs'!$J$4:$EL$4,0))</f>
        <v>0</v>
      </c>
      <c r="DD6" s="24" cm="1">
        <f t="array" ref="DD6">INDEX('Closing Costs'!$J$19:$EL$19,,MATCH(Model!DD$4,'Closing Costs'!$J$4:$EL$4,0))</f>
        <v>0</v>
      </c>
      <c r="DE6" s="24" cm="1">
        <f t="array" ref="DE6">INDEX('Closing Costs'!$J$19:$EL$19,,MATCH(Model!DE$4,'Closing Costs'!$J$4:$EL$4,0))</f>
        <v>0</v>
      </c>
      <c r="DF6" s="24" cm="1">
        <f t="array" ref="DF6">INDEX('Closing Costs'!$J$19:$EL$19,,MATCH(Model!DF$4,'Closing Costs'!$J$4:$EL$4,0))</f>
        <v>0</v>
      </c>
      <c r="DG6" s="24" cm="1">
        <f t="array" ref="DG6">INDEX('Closing Costs'!$J$19:$EL$19,,MATCH(Model!DG$4,'Closing Costs'!$J$4:$EL$4,0))</f>
        <v>0</v>
      </c>
      <c r="DH6" s="24" cm="1">
        <f t="array" ref="DH6">INDEX('Closing Costs'!$J$19:$EL$19,,MATCH(Model!DH$4,'Closing Costs'!$J$4:$EL$4,0))</f>
        <v>0</v>
      </c>
      <c r="DI6" s="24" cm="1">
        <f t="array" ref="DI6">INDEX('Closing Costs'!$J$19:$EL$19,,MATCH(Model!DI$4,'Closing Costs'!$J$4:$EL$4,0))</f>
        <v>0</v>
      </c>
      <c r="DJ6" s="24" cm="1">
        <f t="array" ref="DJ6">INDEX('Closing Costs'!$J$19:$EL$19,,MATCH(Model!DJ$4,'Closing Costs'!$J$4:$EL$4,0))</f>
        <v>0</v>
      </c>
      <c r="DK6" s="24" cm="1">
        <f t="array" ref="DK6">INDEX('Closing Costs'!$J$19:$EL$19,,MATCH(Model!DK$4,'Closing Costs'!$J$4:$EL$4,0))</f>
        <v>0</v>
      </c>
      <c r="DL6" s="24" cm="1">
        <f t="array" ref="DL6">INDEX('Closing Costs'!$J$19:$EL$19,,MATCH(Model!DL$4,'Closing Costs'!$J$4:$EL$4,0))</f>
        <v>0</v>
      </c>
      <c r="DM6" s="24" cm="1">
        <f t="array" ref="DM6">INDEX('Closing Costs'!$J$19:$EL$19,,MATCH(Model!DM$4,'Closing Costs'!$J$4:$EL$4,0))</f>
        <v>0</v>
      </c>
      <c r="DN6" s="24" cm="1">
        <f t="array" ref="DN6">INDEX('Closing Costs'!$J$19:$EL$19,,MATCH(Model!DN$4,'Closing Costs'!$J$4:$EL$4,0))</f>
        <v>0</v>
      </c>
      <c r="DO6" s="24" cm="1">
        <f t="array" ref="DO6">INDEX('Closing Costs'!$J$19:$EL$19,,MATCH(Model!DO$4,'Closing Costs'!$J$4:$EL$4,0))</f>
        <v>0</v>
      </c>
      <c r="DP6" s="24" cm="1">
        <f t="array" ref="DP6">INDEX('Closing Costs'!$J$19:$EL$19,,MATCH(Model!DP$4,'Closing Costs'!$J$4:$EL$4,0))</f>
        <v>0</v>
      </c>
      <c r="DQ6" s="24" cm="1">
        <f t="array" ref="DQ6">INDEX('Closing Costs'!$J$19:$EL$19,,MATCH(Model!DQ$4,'Closing Costs'!$J$4:$EL$4,0))</f>
        <v>0</v>
      </c>
      <c r="DR6" s="24" cm="1">
        <f t="array" ref="DR6">INDEX('Closing Costs'!$J$19:$EL$19,,MATCH(Model!DR$4,'Closing Costs'!$J$4:$EL$4,0))</f>
        <v>0</v>
      </c>
      <c r="DS6" s="24" cm="1">
        <f t="array" ref="DS6">INDEX('Closing Costs'!$J$19:$EL$19,,MATCH(Model!DS$4,'Closing Costs'!$J$4:$EL$4,0))</f>
        <v>0</v>
      </c>
      <c r="DT6" s="24" cm="1">
        <f t="array" ref="DT6">INDEX('Closing Costs'!$J$19:$EL$19,,MATCH(Model!DT$4,'Closing Costs'!$J$4:$EL$4,0))</f>
        <v>0</v>
      </c>
      <c r="DU6" s="24" cm="1">
        <f t="array" ref="DU6">INDEX('Closing Costs'!$J$19:$EL$19,,MATCH(Model!DU$4,'Closing Costs'!$J$4:$EL$4,0))</f>
        <v>0</v>
      </c>
      <c r="DV6" s="24" cm="1">
        <f t="array" ref="DV6">INDEX('Closing Costs'!$J$19:$EL$19,,MATCH(Model!DV$4,'Closing Costs'!$J$4:$EL$4,0))</f>
        <v>0</v>
      </c>
      <c r="DW6" s="24" cm="1">
        <f t="array" ref="DW6">INDEX('Closing Costs'!$J$19:$EL$19,,MATCH(Model!DW$4,'Closing Costs'!$J$4:$EL$4,0))</f>
        <v>0</v>
      </c>
      <c r="DX6" s="24" cm="1">
        <f t="array" ref="DX6">INDEX('Closing Costs'!$J$19:$EL$19,,MATCH(Model!DX$4,'Closing Costs'!$J$4:$EL$4,0))</f>
        <v>0</v>
      </c>
      <c r="DY6" s="24" cm="1">
        <f t="array" ref="DY6">INDEX('Closing Costs'!$J$19:$EL$19,,MATCH(Model!DY$4,'Closing Costs'!$J$4:$EL$4,0))</f>
        <v>0</v>
      </c>
      <c r="DZ6" s="24" cm="1">
        <f t="array" ref="DZ6">INDEX('Closing Costs'!$J$19:$EL$19,,MATCH(Model!DZ$4,'Closing Costs'!$J$4:$EL$4,0))</f>
        <v>0</v>
      </c>
      <c r="EA6" s="24" cm="1">
        <f t="array" ref="EA6">INDEX('Closing Costs'!$J$19:$EL$19,,MATCH(Model!EA$4,'Closing Costs'!$J$4:$EL$4,0))</f>
        <v>0</v>
      </c>
      <c r="EB6" s="24" cm="1">
        <f t="array" ref="EB6">INDEX('Closing Costs'!$J$19:$EL$19,,MATCH(Model!EB$4,'Closing Costs'!$J$4:$EL$4,0))</f>
        <v>0</v>
      </c>
      <c r="EC6" s="24" cm="1">
        <f t="array" ref="EC6">INDEX('Closing Costs'!$J$19:$EL$19,,MATCH(Model!EC$4,'Closing Costs'!$J$4:$EL$4,0))</f>
        <v>0</v>
      </c>
      <c r="ED6" s="24" cm="1">
        <f t="array" ref="ED6">INDEX('Closing Costs'!$J$19:$EL$19,,MATCH(Model!ED$4,'Closing Costs'!$J$4:$EL$4,0))</f>
        <v>0</v>
      </c>
      <c r="EE6" s="24" cm="1">
        <f t="array" ref="EE6">INDEX('Closing Costs'!$J$19:$EL$19,,MATCH(Model!EE$4,'Closing Costs'!$J$4:$EL$4,0))</f>
        <v>0</v>
      </c>
      <c r="EF6" s="24" cm="1">
        <f t="array" ref="EF6">INDEX('Closing Costs'!$J$19:$EL$19,,MATCH(Model!EF$4,'Closing Costs'!$J$4:$EL$4,0))</f>
        <v>0</v>
      </c>
      <c r="EG6" s="24" cm="1">
        <f t="array" ref="EG6">INDEX('Closing Costs'!$J$19:$EL$19,,MATCH(Model!EG$4,'Closing Costs'!$J$4:$EL$4,0))</f>
        <v>0</v>
      </c>
      <c r="EH6" s="24" cm="1">
        <f t="array" ref="EH6">INDEX('Closing Costs'!$J$19:$EL$19,,MATCH(Model!EH$4,'Closing Costs'!$J$4:$EL$4,0))</f>
        <v>0</v>
      </c>
      <c r="EI6" s="24" cm="1">
        <f t="array" ref="EI6">INDEX('Closing Costs'!$J$19:$EL$19,,MATCH(Model!EI$4,'Closing Costs'!$J$4:$EL$4,0))</f>
        <v>0</v>
      </c>
      <c r="EM6" s="1" t="s">
        <v>191</v>
      </c>
    </row>
    <row r="7" spans="2:143" x14ac:dyDescent="0.45">
      <c r="B7" s="24">
        <f t="shared" si="250"/>
        <v>29925</v>
      </c>
      <c r="D7" s="1" t="str">
        <f>+'Legal and Pre-Dev'!B4</f>
        <v>Legal and Pre-Development Costs</v>
      </c>
      <c r="G7" s="24" cm="1">
        <f t="array" ref="G7">INDEX('Legal and Pre-Dev'!$J$12:$EL$12,,MATCH(Model!G$4,'Legal and Pre-Dev'!$J$4:$EL$4,0))</f>
        <v>29925</v>
      </c>
      <c r="H7" s="24" cm="1">
        <f t="array" ref="H7">INDEX('Legal and Pre-Dev'!$J$12:$EL$12,,MATCH(Model!H$4,'Legal and Pre-Dev'!$J$4:$EL$4,0))</f>
        <v>0</v>
      </c>
      <c r="I7" s="24" cm="1">
        <f t="array" ref="I7">INDEX('Legal and Pre-Dev'!$J$12:$EL$12,,MATCH(Model!I$4,'Legal and Pre-Dev'!$J$4:$EL$4,0))</f>
        <v>0</v>
      </c>
      <c r="J7" s="24" cm="1">
        <f t="array" ref="J7">INDEX('Legal and Pre-Dev'!$J$12:$EL$12,,MATCH(Model!J$4,'Legal and Pre-Dev'!$J$4:$EL$4,0))</f>
        <v>0</v>
      </c>
      <c r="K7" s="24" cm="1">
        <f t="array" ref="K7">INDEX('Legal and Pre-Dev'!$J$12:$EL$12,,MATCH(Model!K$4,'Legal and Pre-Dev'!$J$4:$EL$4,0))</f>
        <v>0</v>
      </c>
      <c r="L7" s="24" cm="1">
        <f t="array" ref="L7">INDEX('Legal and Pre-Dev'!$J$12:$EL$12,,MATCH(Model!L$4,'Legal and Pre-Dev'!$J$4:$EL$4,0))</f>
        <v>0</v>
      </c>
      <c r="M7" s="24" cm="1">
        <f t="array" ref="M7">INDEX('Legal and Pre-Dev'!$J$12:$EL$12,,MATCH(Model!M$4,'Legal and Pre-Dev'!$J$4:$EL$4,0))</f>
        <v>0</v>
      </c>
      <c r="N7" s="24" cm="1">
        <f t="array" ref="N7">INDEX('Legal and Pre-Dev'!$J$12:$EL$12,,MATCH(Model!N$4,'Legal and Pre-Dev'!$J$4:$EL$4,0))</f>
        <v>0</v>
      </c>
      <c r="O7" s="24" cm="1">
        <f t="array" ref="O7">INDEX('Legal and Pre-Dev'!$J$12:$EL$12,,MATCH(Model!O$4,'Legal and Pre-Dev'!$J$4:$EL$4,0))</f>
        <v>0</v>
      </c>
      <c r="P7" s="24" cm="1">
        <f t="array" ref="P7">INDEX('Legal and Pre-Dev'!$J$12:$EL$12,,MATCH(Model!P$4,'Legal and Pre-Dev'!$J$4:$EL$4,0))</f>
        <v>0</v>
      </c>
      <c r="Q7" s="24" cm="1">
        <f t="array" ref="Q7">INDEX('Legal and Pre-Dev'!$J$12:$EL$12,,MATCH(Model!Q$4,'Legal and Pre-Dev'!$J$4:$EL$4,0))</f>
        <v>0</v>
      </c>
      <c r="R7" s="24" cm="1">
        <f t="array" ref="R7">INDEX('Legal and Pre-Dev'!$J$12:$EL$12,,MATCH(Model!R$4,'Legal and Pre-Dev'!$J$4:$EL$4,0))</f>
        <v>0</v>
      </c>
      <c r="S7" s="24" cm="1">
        <f t="array" ref="S7">INDEX('Legal and Pre-Dev'!$J$12:$EL$12,,MATCH(Model!S$4,'Legal and Pre-Dev'!$J$4:$EL$4,0))</f>
        <v>0</v>
      </c>
      <c r="T7" s="24" cm="1">
        <f t="array" ref="T7">INDEX('Legal and Pre-Dev'!$J$12:$EL$12,,MATCH(Model!T$4,'Legal and Pre-Dev'!$J$4:$EL$4,0))</f>
        <v>0</v>
      </c>
      <c r="U7" s="24" cm="1">
        <f t="array" ref="U7">INDEX('Legal and Pre-Dev'!$J$12:$EL$12,,MATCH(Model!U$4,'Legal and Pre-Dev'!$J$4:$EL$4,0))</f>
        <v>0</v>
      </c>
      <c r="V7" s="24" cm="1">
        <f t="array" ref="V7">INDEX('Legal and Pre-Dev'!$J$12:$EL$12,,MATCH(Model!V$4,'Legal and Pre-Dev'!$J$4:$EL$4,0))</f>
        <v>0</v>
      </c>
      <c r="W7" s="24" cm="1">
        <f t="array" ref="W7">INDEX('Legal and Pre-Dev'!$J$12:$EL$12,,MATCH(Model!W$4,'Legal and Pre-Dev'!$J$4:$EL$4,0))</f>
        <v>0</v>
      </c>
      <c r="X7" s="24" cm="1">
        <f t="array" ref="X7">INDEX('Legal and Pre-Dev'!$J$12:$EL$12,,MATCH(Model!X$4,'Legal and Pre-Dev'!$J$4:$EL$4,0))</f>
        <v>0</v>
      </c>
      <c r="Y7" s="24" cm="1">
        <f t="array" ref="Y7">INDEX('Legal and Pre-Dev'!$J$12:$EL$12,,MATCH(Model!Y$4,'Legal and Pre-Dev'!$J$4:$EL$4,0))</f>
        <v>0</v>
      </c>
      <c r="Z7" s="24" cm="1">
        <f t="array" ref="Z7">INDEX('Legal and Pre-Dev'!$J$12:$EL$12,,MATCH(Model!Z$4,'Legal and Pre-Dev'!$J$4:$EL$4,0))</f>
        <v>0</v>
      </c>
      <c r="AA7" s="24" cm="1">
        <f t="array" ref="AA7">INDEX('Legal and Pre-Dev'!$J$12:$EL$12,,MATCH(Model!AA$4,'Legal and Pre-Dev'!$J$4:$EL$4,0))</f>
        <v>0</v>
      </c>
      <c r="AB7" s="24" cm="1">
        <f t="array" ref="AB7">INDEX('Legal and Pre-Dev'!$J$12:$EL$12,,MATCH(Model!AB$4,'Legal and Pre-Dev'!$J$4:$EL$4,0))</f>
        <v>0</v>
      </c>
      <c r="AC7" s="24" cm="1">
        <f t="array" ref="AC7">INDEX('Legal and Pre-Dev'!$J$12:$EL$12,,MATCH(Model!AC$4,'Legal and Pre-Dev'!$J$4:$EL$4,0))</f>
        <v>0</v>
      </c>
      <c r="AD7" s="24" cm="1">
        <f t="array" ref="AD7">INDEX('Legal and Pre-Dev'!$J$12:$EL$12,,MATCH(Model!AD$4,'Legal and Pre-Dev'!$J$4:$EL$4,0))</f>
        <v>0</v>
      </c>
      <c r="AE7" s="24" cm="1">
        <f t="array" ref="AE7">INDEX('Legal and Pre-Dev'!$J$12:$EL$12,,MATCH(Model!AE$4,'Legal and Pre-Dev'!$J$4:$EL$4,0))</f>
        <v>0</v>
      </c>
      <c r="AF7" s="24" cm="1">
        <f t="array" ref="AF7">INDEX('Legal and Pre-Dev'!$J$12:$EL$12,,MATCH(Model!AF$4,'Legal and Pre-Dev'!$J$4:$EL$4,0))</f>
        <v>0</v>
      </c>
      <c r="AG7" s="24" cm="1">
        <f t="array" ref="AG7">INDEX('Legal and Pre-Dev'!$J$12:$EL$12,,MATCH(Model!AG$4,'Legal and Pre-Dev'!$J$4:$EL$4,0))</f>
        <v>0</v>
      </c>
      <c r="AH7" s="24" cm="1">
        <f t="array" ref="AH7">INDEX('Legal and Pre-Dev'!$J$12:$EL$12,,MATCH(Model!AH$4,'Legal and Pre-Dev'!$J$4:$EL$4,0))</f>
        <v>0</v>
      </c>
      <c r="AI7" s="24" cm="1">
        <f t="array" ref="AI7">INDEX('Legal and Pre-Dev'!$J$12:$EL$12,,MATCH(Model!AI$4,'Legal and Pre-Dev'!$J$4:$EL$4,0))</f>
        <v>0</v>
      </c>
      <c r="AJ7" s="24" cm="1">
        <f t="array" ref="AJ7">INDEX('Legal and Pre-Dev'!$J$12:$EL$12,,MATCH(Model!AJ$4,'Legal and Pre-Dev'!$J$4:$EL$4,0))</f>
        <v>0</v>
      </c>
      <c r="AK7" s="24" cm="1">
        <f t="array" ref="AK7">INDEX('Legal and Pre-Dev'!$J$12:$EL$12,,MATCH(Model!AK$4,'Legal and Pre-Dev'!$J$4:$EL$4,0))</f>
        <v>0</v>
      </c>
      <c r="AL7" s="24" cm="1">
        <f t="array" ref="AL7">INDEX('Legal and Pre-Dev'!$J$12:$EL$12,,MATCH(Model!AL$4,'Legal and Pre-Dev'!$J$4:$EL$4,0))</f>
        <v>0</v>
      </c>
      <c r="AM7" s="24" cm="1">
        <f t="array" ref="AM7">INDEX('Legal and Pre-Dev'!$J$12:$EL$12,,MATCH(Model!AM$4,'Legal and Pre-Dev'!$J$4:$EL$4,0))</f>
        <v>0</v>
      </c>
      <c r="AN7" s="24" cm="1">
        <f t="array" ref="AN7">INDEX('Legal and Pre-Dev'!$J$12:$EL$12,,MATCH(Model!AN$4,'Legal and Pre-Dev'!$J$4:$EL$4,0))</f>
        <v>0</v>
      </c>
      <c r="AO7" s="24" cm="1">
        <f t="array" ref="AO7">INDEX('Legal and Pre-Dev'!$J$12:$EL$12,,MATCH(Model!AO$4,'Legal and Pre-Dev'!$J$4:$EL$4,0))</f>
        <v>0</v>
      </c>
      <c r="AP7" s="24" cm="1">
        <f t="array" ref="AP7">INDEX('Legal and Pre-Dev'!$J$12:$EL$12,,MATCH(Model!AP$4,'Legal and Pre-Dev'!$J$4:$EL$4,0))</f>
        <v>0</v>
      </c>
      <c r="AQ7" s="24" cm="1">
        <f t="array" ref="AQ7">INDEX('Legal and Pre-Dev'!$J$12:$EL$12,,MATCH(Model!AQ$4,'Legal and Pre-Dev'!$J$4:$EL$4,0))</f>
        <v>0</v>
      </c>
      <c r="AR7" s="24" cm="1">
        <f t="array" ref="AR7">INDEX('Legal and Pre-Dev'!$J$12:$EL$12,,MATCH(Model!AR$4,'Legal and Pre-Dev'!$J$4:$EL$4,0))</f>
        <v>0</v>
      </c>
      <c r="AS7" s="24" cm="1">
        <f t="array" ref="AS7">INDEX('Legal and Pre-Dev'!$J$12:$EL$12,,MATCH(Model!AS$4,'Legal and Pre-Dev'!$J$4:$EL$4,0))</f>
        <v>0</v>
      </c>
      <c r="AT7" s="24" cm="1">
        <f t="array" ref="AT7">INDEX('Legal and Pre-Dev'!$J$12:$EL$12,,MATCH(Model!AT$4,'Legal and Pre-Dev'!$J$4:$EL$4,0))</f>
        <v>0</v>
      </c>
      <c r="AU7" s="24" cm="1">
        <f t="array" ref="AU7">INDEX('Legal and Pre-Dev'!$J$12:$EL$12,,MATCH(Model!AU$4,'Legal and Pre-Dev'!$J$4:$EL$4,0))</f>
        <v>0</v>
      </c>
      <c r="AV7" s="24" cm="1">
        <f t="array" ref="AV7">INDEX('Legal and Pre-Dev'!$J$12:$EL$12,,MATCH(Model!AV$4,'Legal and Pre-Dev'!$J$4:$EL$4,0))</f>
        <v>0</v>
      </c>
      <c r="AW7" s="24" cm="1">
        <f t="array" ref="AW7">INDEX('Legal and Pre-Dev'!$J$12:$EL$12,,MATCH(Model!AW$4,'Legal and Pre-Dev'!$J$4:$EL$4,0))</f>
        <v>0</v>
      </c>
      <c r="AX7" s="24" cm="1">
        <f t="array" ref="AX7">INDEX('Legal and Pre-Dev'!$J$12:$EL$12,,MATCH(Model!AX$4,'Legal and Pre-Dev'!$J$4:$EL$4,0))</f>
        <v>0</v>
      </c>
      <c r="AY7" s="24" cm="1">
        <f t="array" ref="AY7">INDEX('Legal and Pre-Dev'!$J$12:$EL$12,,MATCH(Model!AY$4,'Legal and Pre-Dev'!$J$4:$EL$4,0))</f>
        <v>0</v>
      </c>
      <c r="AZ7" s="24" cm="1">
        <f t="array" ref="AZ7">INDEX('Legal and Pre-Dev'!$J$12:$EL$12,,MATCH(Model!AZ$4,'Legal and Pre-Dev'!$J$4:$EL$4,0))</f>
        <v>0</v>
      </c>
      <c r="BA7" s="24" cm="1">
        <f t="array" ref="BA7">INDEX('Legal and Pre-Dev'!$J$12:$EL$12,,MATCH(Model!BA$4,'Legal and Pre-Dev'!$J$4:$EL$4,0))</f>
        <v>0</v>
      </c>
      <c r="BB7" s="24" cm="1">
        <f t="array" ref="BB7">INDEX('Legal and Pre-Dev'!$J$12:$EL$12,,MATCH(Model!BB$4,'Legal and Pre-Dev'!$J$4:$EL$4,0))</f>
        <v>0</v>
      </c>
      <c r="BC7" s="24" cm="1">
        <f t="array" ref="BC7">INDEX('Legal and Pre-Dev'!$J$12:$EL$12,,MATCH(Model!BC$4,'Legal and Pre-Dev'!$J$4:$EL$4,0))</f>
        <v>0</v>
      </c>
      <c r="BD7" s="24" cm="1">
        <f t="array" ref="BD7">INDEX('Legal and Pre-Dev'!$J$12:$EL$12,,MATCH(Model!BD$4,'Legal and Pre-Dev'!$J$4:$EL$4,0))</f>
        <v>0</v>
      </c>
      <c r="BE7" s="24" cm="1">
        <f t="array" ref="BE7">INDEX('Legal and Pre-Dev'!$J$12:$EL$12,,MATCH(Model!BE$4,'Legal and Pre-Dev'!$J$4:$EL$4,0))</f>
        <v>0</v>
      </c>
      <c r="BF7" s="24" cm="1">
        <f t="array" ref="BF7">INDEX('Legal and Pre-Dev'!$J$12:$EL$12,,MATCH(Model!BF$4,'Legal and Pre-Dev'!$J$4:$EL$4,0))</f>
        <v>0</v>
      </c>
      <c r="BG7" s="24" cm="1">
        <f t="array" ref="BG7">INDEX('Legal and Pre-Dev'!$J$12:$EL$12,,MATCH(Model!BG$4,'Legal and Pre-Dev'!$J$4:$EL$4,0))</f>
        <v>0</v>
      </c>
      <c r="BH7" s="24" cm="1">
        <f t="array" ref="BH7">INDEX('Legal and Pre-Dev'!$J$12:$EL$12,,MATCH(Model!BH$4,'Legal and Pre-Dev'!$J$4:$EL$4,0))</f>
        <v>0</v>
      </c>
      <c r="BI7" s="24" cm="1">
        <f t="array" ref="BI7">INDEX('Legal and Pre-Dev'!$J$12:$EL$12,,MATCH(Model!BI$4,'Legal and Pre-Dev'!$J$4:$EL$4,0))</f>
        <v>0</v>
      </c>
      <c r="BJ7" s="24" cm="1">
        <f t="array" ref="BJ7">INDEX('Legal and Pre-Dev'!$J$12:$EL$12,,MATCH(Model!BJ$4,'Legal and Pre-Dev'!$J$4:$EL$4,0))</f>
        <v>0</v>
      </c>
      <c r="BK7" s="24" cm="1">
        <f t="array" ref="BK7">INDEX('Legal and Pre-Dev'!$J$12:$EL$12,,MATCH(Model!BK$4,'Legal and Pre-Dev'!$J$4:$EL$4,0))</f>
        <v>0</v>
      </c>
      <c r="BL7" s="24" cm="1">
        <f t="array" ref="BL7">INDEX('Legal and Pre-Dev'!$J$12:$EL$12,,MATCH(Model!BL$4,'Legal and Pre-Dev'!$J$4:$EL$4,0))</f>
        <v>0</v>
      </c>
      <c r="BM7" s="24" cm="1">
        <f t="array" ref="BM7">INDEX('Legal and Pre-Dev'!$J$12:$EL$12,,MATCH(Model!BM$4,'Legal and Pre-Dev'!$J$4:$EL$4,0))</f>
        <v>0</v>
      </c>
      <c r="BN7" s="24" cm="1">
        <f t="array" ref="BN7">INDEX('Legal and Pre-Dev'!$J$12:$EL$12,,MATCH(Model!BN$4,'Legal and Pre-Dev'!$J$4:$EL$4,0))</f>
        <v>0</v>
      </c>
      <c r="BO7" s="24" cm="1">
        <f t="array" ref="BO7">INDEX('Legal and Pre-Dev'!$J$12:$EL$12,,MATCH(Model!BO$4,'Legal and Pre-Dev'!$J$4:$EL$4,0))</f>
        <v>0</v>
      </c>
      <c r="BP7" s="24" cm="1">
        <f t="array" ref="BP7">INDEX('Legal and Pre-Dev'!$J$12:$EL$12,,MATCH(Model!BP$4,'Legal and Pre-Dev'!$J$4:$EL$4,0))</f>
        <v>0</v>
      </c>
      <c r="BQ7" s="24" cm="1">
        <f t="array" ref="BQ7">INDEX('Legal and Pre-Dev'!$J$12:$EL$12,,MATCH(Model!BQ$4,'Legal and Pre-Dev'!$J$4:$EL$4,0))</f>
        <v>0</v>
      </c>
      <c r="BR7" s="24" cm="1">
        <f t="array" ref="BR7">INDEX('Legal and Pre-Dev'!$J$12:$EL$12,,MATCH(Model!BR$4,'Legal and Pre-Dev'!$J$4:$EL$4,0))</f>
        <v>0</v>
      </c>
      <c r="BS7" s="24" cm="1">
        <f t="array" ref="BS7">INDEX('Legal and Pre-Dev'!$J$12:$EL$12,,MATCH(Model!BS$4,'Legal and Pre-Dev'!$J$4:$EL$4,0))</f>
        <v>0</v>
      </c>
      <c r="BT7" s="24" cm="1">
        <f t="array" ref="BT7">INDEX('Legal and Pre-Dev'!$J$12:$EL$12,,MATCH(Model!BT$4,'Legal and Pre-Dev'!$J$4:$EL$4,0))</f>
        <v>0</v>
      </c>
      <c r="BU7" s="24" cm="1">
        <f t="array" ref="BU7">INDEX('Legal and Pre-Dev'!$J$12:$EL$12,,MATCH(Model!BU$4,'Legal and Pre-Dev'!$J$4:$EL$4,0))</f>
        <v>0</v>
      </c>
      <c r="BV7" s="24" cm="1">
        <f t="array" ref="BV7">INDEX('Legal and Pre-Dev'!$J$12:$EL$12,,MATCH(Model!BV$4,'Legal and Pre-Dev'!$J$4:$EL$4,0))</f>
        <v>0</v>
      </c>
      <c r="BW7" s="24" cm="1">
        <f t="array" ref="BW7">INDEX('Legal and Pre-Dev'!$J$12:$EL$12,,MATCH(Model!BW$4,'Legal and Pre-Dev'!$J$4:$EL$4,0))</f>
        <v>0</v>
      </c>
      <c r="BX7" s="24" cm="1">
        <f t="array" ref="BX7">INDEX('Legal and Pre-Dev'!$J$12:$EL$12,,MATCH(Model!BX$4,'Legal and Pre-Dev'!$J$4:$EL$4,0))</f>
        <v>0</v>
      </c>
      <c r="BY7" s="24" cm="1">
        <f t="array" ref="BY7">INDEX('Legal and Pre-Dev'!$J$12:$EL$12,,MATCH(Model!BY$4,'Legal and Pre-Dev'!$J$4:$EL$4,0))</f>
        <v>0</v>
      </c>
      <c r="BZ7" s="24" cm="1">
        <f t="array" ref="BZ7">INDEX('Legal and Pre-Dev'!$J$12:$EL$12,,MATCH(Model!BZ$4,'Legal and Pre-Dev'!$J$4:$EL$4,0))</f>
        <v>0</v>
      </c>
      <c r="CA7" s="24" cm="1">
        <f t="array" ref="CA7">INDEX('Legal and Pre-Dev'!$J$12:$EL$12,,MATCH(Model!CA$4,'Legal and Pre-Dev'!$J$4:$EL$4,0))</f>
        <v>0</v>
      </c>
      <c r="CB7" s="24" cm="1">
        <f t="array" ref="CB7">INDEX('Legal and Pre-Dev'!$J$12:$EL$12,,MATCH(Model!CB$4,'Legal and Pre-Dev'!$J$4:$EL$4,0))</f>
        <v>0</v>
      </c>
      <c r="CC7" s="24" cm="1">
        <f t="array" ref="CC7">INDEX('Legal and Pre-Dev'!$J$12:$EL$12,,MATCH(Model!CC$4,'Legal and Pre-Dev'!$J$4:$EL$4,0))</f>
        <v>0</v>
      </c>
      <c r="CD7" s="24" cm="1">
        <f t="array" ref="CD7">INDEX('Legal and Pre-Dev'!$J$12:$EL$12,,MATCH(Model!CD$4,'Legal and Pre-Dev'!$J$4:$EL$4,0))</f>
        <v>0</v>
      </c>
      <c r="CE7" s="24" cm="1">
        <f t="array" ref="CE7">INDEX('Legal and Pre-Dev'!$J$12:$EL$12,,MATCH(Model!CE$4,'Legal and Pre-Dev'!$J$4:$EL$4,0))</f>
        <v>0</v>
      </c>
      <c r="CF7" s="24" cm="1">
        <f t="array" ref="CF7">INDEX('Legal and Pre-Dev'!$J$12:$EL$12,,MATCH(Model!CF$4,'Legal and Pre-Dev'!$J$4:$EL$4,0))</f>
        <v>0</v>
      </c>
      <c r="CG7" s="24" cm="1">
        <f t="array" ref="CG7">INDEX('Legal and Pre-Dev'!$J$12:$EL$12,,MATCH(Model!CG$4,'Legal and Pre-Dev'!$J$4:$EL$4,0))</f>
        <v>0</v>
      </c>
      <c r="CH7" s="24" cm="1">
        <f t="array" ref="CH7">INDEX('Legal and Pre-Dev'!$J$12:$EL$12,,MATCH(Model!CH$4,'Legal and Pre-Dev'!$J$4:$EL$4,0))</f>
        <v>0</v>
      </c>
      <c r="CI7" s="24" cm="1">
        <f t="array" ref="CI7">INDEX('Legal and Pre-Dev'!$J$12:$EL$12,,MATCH(Model!CI$4,'Legal and Pre-Dev'!$J$4:$EL$4,0))</f>
        <v>0</v>
      </c>
      <c r="CJ7" s="24" cm="1">
        <f t="array" ref="CJ7">INDEX('Legal and Pre-Dev'!$J$12:$EL$12,,MATCH(Model!CJ$4,'Legal and Pre-Dev'!$J$4:$EL$4,0))</f>
        <v>0</v>
      </c>
      <c r="CK7" s="24" cm="1">
        <f t="array" ref="CK7">INDEX('Legal and Pre-Dev'!$J$12:$EL$12,,MATCH(Model!CK$4,'Legal and Pre-Dev'!$J$4:$EL$4,0))</f>
        <v>0</v>
      </c>
      <c r="CL7" s="24" cm="1">
        <f t="array" ref="CL7">INDEX('Legal and Pre-Dev'!$J$12:$EL$12,,MATCH(Model!CL$4,'Legal and Pre-Dev'!$J$4:$EL$4,0))</f>
        <v>0</v>
      </c>
      <c r="CM7" s="24" cm="1">
        <f t="array" ref="CM7">INDEX('Legal and Pre-Dev'!$J$12:$EL$12,,MATCH(Model!CM$4,'Legal and Pre-Dev'!$J$4:$EL$4,0))</f>
        <v>0</v>
      </c>
      <c r="CN7" s="24" cm="1">
        <f t="array" ref="CN7">INDEX('Legal and Pre-Dev'!$J$12:$EL$12,,MATCH(Model!CN$4,'Legal and Pre-Dev'!$J$4:$EL$4,0))</f>
        <v>0</v>
      </c>
      <c r="CO7" s="24" cm="1">
        <f t="array" ref="CO7">INDEX('Legal and Pre-Dev'!$J$12:$EL$12,,MATCH(Model!CO$4,'Legal and Pre-Dev'!$J$4:$EL$4,0))</f>
        <v>0</v>
      </c>
      <c r="CP7" s="24" cm="1">
        <f t="array" ref="CP7">INDEX('Legal and Pre-Dev'!$J$12:$EL$12,,MATCH(Model!CP$4,'Legal and Pre-Dev'!$J$4:$EL$4,0))</f>
        <v>0</v>
      </c>
      <c r="CQ7" s="24" cm="1">
        <f t="array" ref="CQ7">INDEX('Legal and Pre-Dev'!$J$12:$EL$12,,MATCH(Model!CQ$4,'Legal and Pre-Dev'!$J$4:$EL$4,0))</f>
        <v>0</v>
      </c>
      <c r="CR7" s="24" cm="1">
        <f t="array" ref="CR7">INDEX('Legal and Pre-Dev'!$J$12:$EL$12,,MATCH(Model!CR$4,'Legal and Pre-Dev'!$J$4:$EL$4,0))</f>
        <v>0</v>
      </c>
      <c r="CS7" s="24" cm="1">
        <f t="array" ref="CS7">INDEX('Legal and Pre-Dev'!$J$12:$EL$12,,MATCH(Model!CS$4,'Legal and Pre-Dev'!$J$4:$EL$4,0))</f>
        <v>0</v>
      </c>
      <c r="CT7" s="24" cm="1">
        <f t="array" ref="CT7">INDEX('Legal and Pre-Dev'!$J$12:$EL$12,,MATCH(Model!CT$4,'Legal and Pre-Dev'!$J$4:$EL$4,0))</f>
        <v>0</v>
      </c>
      <c r="CU7" s="24" cm="1">
        <f t="array" ref="CU7">INDEX('Legal and Pre-Dev'!$J$12:$EL$12,,MATCH(Model!CU$4,'Legal and Pre-Dev'!$J$4:$EL$4,0))</f>
        <v>0</v>
      </c>
      <c r="CV7" s="24" cm="1">
        <f t="array" ref="CV7">INDEX('Legal and Pre-Dev'!$J$12:$EL$12,,MATCH(Model!CV$4,'Legal and Pre-Dev'!$J$4:$EL$4,0))</f>
        <v>0</v>
      </c>
      <c r="CW7" s="24" cm="1">
        <f t="array" ref="CW7">INDEX('Legal and Pre-Dev'!$J$12:$EL$12,,MATCH(Model!CW$4,'Legal and Pre-Dev'!$J$4:$EL$4,0))</f>
        <v>0</v>
      </c>
      <c r="CX7" s="24" cm="1">
        <f t="array" ref="CX7">INDEX('Legal and Pre-Dev'!$J$12:$EL$12,,MATCH(Model!CX$4,'Legal and Pre-Dev'!$J$4:$EL$4,0))</f>
        <v>0</v>
      </c>
      <c r="CY7" s="24" cm="1">
        <f t="array" ref="CY7">INDEX('Legal and Pre-Dev'!$J$12:$EL$12,,MATCH(Model!CY$4,'Legal and Pre-Dev'!$J$4:$EL$4,0))</f>
        <v>0</v>
      </c>
      <c r="CZ7" s="24" cm="1">
        <f t="array" ref="CZ7">INDEX('Legal and Pre-Dev'!$J$12:$EL$12,,MATCH(Model!CZ$4,'Legal and Pre-Dev'!$J$4:$EL$4,0))</f>
        <v>0</v>
      </c>
      <c r="DA7" s="24" cm="1">
        <f t="array" ref="DA7">INDEX('Legal and Pre-Dev'!$J$12:$EL$12,,MATCH(Model!DA$4,'Legal and Pre-Dev'!$J$4:$EL$4,0))</f>
        <v>0</v>
      </c>
      <c r="DB7" s="24" cm="1">
        <f t="array" ref="DB7">INDEX('Legal and Pre-Dev'!$J$12:$EL$12,,MATCH(Model!DB$4,'Legal and Pre-Dev'!$J$4:$EL$4,0))</f>
        <v>0</v>
      </c>
      <c r="DC7" s="24" cm="1">
        <f t="array" ref="DC7">INDEX('Legal and Pre-Dev'!$J$12:$EL$12,,MATCH(Model!DC$4,'Legal and Pre-Dev'!$J$4:$EL$4,0))</f>
        <v>0</v>
      </c>
      <c r="DD7" s="24" cm="1">
        <f t="array" ref="DD7">INDEX('Legal and Pre-Dev'!$J$12:$EL$12,,MATCH(Model!DD$4,'Legal and Pre-Dev'!$J$4:$EL$4,0))</f>
        <v>0</v>
      </c>
      <c r="DE7" s="24" cm="1">
        <f t="array" ref="DE7">INDEX('Legal and Pre-Dev'!$J$12:$EL$12,,MATCH(Model!DE$4,'Legal and Pre-Dev'!$J$4:$EL$4,0))</f>
        <v>0</v>
      </c>
      <c r="DF7" s="24" cm="1">
        <f t="array" ref="DF7">INDEX('Legal and Pre-Dev'!$J$12:$EL$12,,MATCH(Model!DF$4,'Legal and Pre-Dev'!$J$4:$EL$4,0))</f>
        <v>0</v>
      </c>
      <c r="DG7" s="24" cm="1">
        <f t="array" ref="DG7">INDEX('Legal and Pre-Dev'!$J$12:$EL$12,,MATCH(Model!DG$4,'Legal and Pre-Dev'!$J$4:$EL$4,0))</f>
        <v>0</v>
      </c>
      <c r="DH7" s="24" cm="1">
        <f t="array" ref="DH7">INDEX('Legal and Pre-Dev'!$J$12:$EL$12,,MATCH(Model!DH$4,'Legal and Pre-Dev'!$J$4:$EL$4,0))</f>
        <v>0</v>
      </c>
      <c r="DI7" s="24" cm="1">
        <f t="array" ref="DI7">INDEX('Legal and Pre-Dev'!$J$12:$EL$12,,MATCH(Model!DI$4,'Legal and Pre-Dev'!$J$4:$EL$4,0))</f>
        <v>0</v>
      </c>
      <c r="DJ7" s="24" cm="1">
        <f t="array" ref="DJ7">INDEX('Legal and Pre-Dev'!$J$12:$EL$12,,MATCH(Model!DJ$4,'Legal and Pre-Dev'!$J$4:$EL$4,0))</f>
        <v>0</v>
      </c>
      <c r="DK7" s="24" cm="1">
        <f t="array" ref="DK7">INDEX('Legal and Pre-Dev'!$J$12:$EL$12,,MATCH(Model!DK$4,'Legal and Pre-Dev'!$J$4:$EL$4,0))</f>
        <v>0</v>
      </c>
      <c r="DL7" s="24" cm="1">
        <f t="array" ref="DL7">INDEX('Legal and Pre-Dev'!$J$12:$EL$12,,MATCH(Model!DL$4,'Legal and Pre-Dev'!$J$4:$EL$4,0))</f>
        <v>0</v>
      </c>
      <c r="DM7" s="24" cm="1">
        <f t="array" ref="DM7">INDEX('Legal and Pre-Dev'!$J$12:$EL$12,,MATCH(Model!DM$4,'Legal and Pre-Dev'!$J$4:$EL$4,0))</f>
        <v>0</v>
      </c>
      <c r="DN7" s="24" cm="1">
        <f t="array" ref="DN7">INDEX('Legal and Pre-Dev'!$J$12:$EL$12,,MATCH(Model!DN$4,'Legal and Pre-Dev'!$J$4:$EL$4,0))</f>
        <v>0</v>
      </c>
      <c r="DO7" s="24" cm="1">
        <f t="array" ref="DO7">INDEX('Legal and Pre-Dev'!$J$12:$EL$12,,MATCH(Model!DO$4,'Legal and Pre-Dev'!$J$4:$EL$4,0))</f>
        <v>0</v>
      </c>
      <c r="DP7" s="24" cm="1">
        <f t="array" ref="DP7">INDEX('Legal and Pre-Dev'!$J$12:$EL$12,,MATCH(Model!DP$4,'Legal and Pre-Dev'!$J$4:$EL$4,0))</f>
        <v>0</v>
      </c>
      <c r="DQ7" s="24" cm="1">
        <f t="array" ref="DQ7">INDEX('Legal and Pre-Dev'!$J$12:$EL$12,,MATCH(Model!DQ$4,'Legal and Pre-Dev'!$J$4:$EL$4,0))</f>
        <v>0</v>
      </c>
      <c r="DR7" s="24" cm="1">
        <f t="array" ref="DR7">INDEX('Legal and Pre-Dev'!$J$12:$EL$12,,MATCH(Model!DR$4,'Legal and Pre-Dev'!$J$4:$EL$4,0))</f>
        <v>0</v>
      </c>
      <c r="DS7" s="24" cm="1">
        <f t="array" ref="DS7">INDEX('Legal and Pre-Dev'!$J$12:$EL$12,,MATCH(Model!DS$4,'Legal and Pre-Dev'!$J$4:$EL$4,0))</f>
        <v>0</v>
      </c>
      <c r="DT7" s="24" cm="1">
        <f t="array" ref="DT7">INDEX('Legal and Pre-Dev'!$J$12:$EL$12,,MATCH(Model!DT$4,'Legal and Pre-Dev'!$J$4:$EL$4,0))</f>
        <v>0</v>
      </c>
      <c r="DU7" s="24" cm="1">
        <f t="array" ref="DU7">INDEX('Legal and Pre-Dev'!$J$12:$EL$12,,MATCH(Model!DU$4,'Legal and Pre-Dev'!$J$4:$EL$4,0))</f>
        <v>0</v>
      </c>
      <c r="DV7" s="24" cm="1">
        <f t="array" ref="DV7">INDEX('Legal and Pre-Dev'!$J$12:$EL$12,,MATCH(Model!DV$4,'Legal and Pre-Dev'!$J$4:$EL$4,0))</f>
        <v>0</v>
      </c>
      <c r="DW7" s="24" cm="1">
        <f t="array" ref="DW7">INDEX('Legal and Pre-Dev'!$J$12:$EL$12,,MATCH(Model!DW$4,'Legal and Pre-Dev'!$J$4:$EL$4,0))</f>
        <v>0</v>
      </c>
      <c r="DX7" s="24" cm="1">
        <f t="array" ref="DX7">INDEX('Legal and Pre-Dev'!$J$12:$EL$12,,MATCH(Model!DX$4,'Legal and Pre-Dev'!$J$4:$EL$4,0))</f>
        <v>0</v>
      </c>
      <c r="DY7" s="24" cm="1">
        <f t="array" ref="DY7">INDEX('Legal and Pre-Dev'!$J$12:$EL$12,,MATCH(Model!DY$4,'Legal and Pre-Dev'!$J$4:$EL$4,0))</f>
        <v>0</v>
      </c>
      <c r="DZ7" s="24" cm="1">
        <f t="array" ref="DZ7">INDEX('Legal and Pre-Dev'!$J$12:$EL$12,,MATCH(Model!DZ$4,'Legal and Pre-Dev'!$J$4:$EL$4,0))</f>
        <v>0</v>
      </c>
      <c r="EA7" s="24" cm="1">
        <f t="array" ref="EA7">INDEX('Legal and Pre-Dev'!$J$12:$EL$12,,MATCH(Model!EA$4,'Legal and Pre-Dev'!$J$4:$EL$4,0))</f>
        <v>0</v>
      </c>
      <c r="EB7" s="24" cm="1">
        <f t="array" ref="EB7">INDEX('Legal and Pre-Dev'!$J$12:$EL$12,,MATCH(Model!EB$4,'Legal and Pre-Dev'!$J$4:$EL$4,0))</f>
        <v>0</v>
      </c>
      <c r="EC7" s="24" cm="1">
        <f t="array" ref="EC7">INDEX('Legal and Pre-Dev'!$J$12:$EL$12,,MATCH(Model!EC$4,'Legal and Pre-Dev'!$J$4:$EL$4,0))</f>
        <v>0</v>
      </c>
      <c r="ED7" s="24" cm="1">
        <f t="array" ref="ED7">INDEX('Legal and Pre-Dev'!$J$12:$EL$12,,MATCH(Model!ED$4,'Legal and Pre-Dev'!$J$4:$EL$4,0))</f>
        <v>0</v>
      </c>
      <c r="EE7" s="24" cm="1">
        <f t="array" ref="EE7">INDEX('Legal and Pre-Dev'!$J$12:$EL$12,,MATCH(Model!EE$4,'Legal and Pre-Dev'!$J$4:$EL$4,0))</f>
        <v>0</v>
      </c>
      <c r="EF7" s="24" cm="1">
        <f t="array" ref="EF7">INDEX('Legal and Pre-Dev'!$J$12:$EL$12,,MATCH(Model!EF$4,'Legal and Pre-Dev'!$J$4:$EL$4,0))</f>
        <v>0</v>
      </c>
      <c r="EG7" s="24" cm="1">
        <f t="array" ref="EG7">INDEX('Legal and Pre-Dev'!$J$12:$EL$12,,MATCH(Model!EG$4,'Legal and Pre-Dev'!$J$4:$EL$4,0))</f>
        <v>0</v>
      </c>
      <c r="EH7" s="24" cm="1">
        <f t="array" ref="EH7">INDEX('Legal and Pre-Dev'!$J$12:$EL$12,,MATCH(Model!EH$4,'Legal and Pre-Dev'!$J$4:$EL$4,0))</f>
        <v>0</v>
      </c>
      <c r="EI7" s="24" cm="1">
        <f t="array" ref="EI7">INDEX('Legal and Pre-Dev'!$J$12:$EL$12,,MATCH(Model!EI$4,'Legal and Pre-Dev'!$J$4:$EL$4,0))</f>
        <v>0</v>
      </c>
      <c r="EM7" s="1" t="s">
        <v>191</v>
      </c>
    </row>
    <row r="8" spans="2:143" x14ac:dyDescent="0.45">
      <c r="B8" s="24">
        <f t="shared" si="250"/>
        <v>789126.75999868661</v>
      </c>
      <c r="D8" s="1" t="str">
        <f>+Reserves!B4</f>
        <v>Reserves</v>
      </c>
      <c r="G8" s="24" cm="1">
        <f t="array" ref="G8">INDEX(Reserves!$J$12:$EL$12,,MATCH(Model!G$4,Reserves!$J$4:$EL$4,0))</f>
        <v>789126.75999868661</v>
      </c>
      <c r="H8" s="24" cm="1">
        <f t="array" ref="H8">INDEX(Reserves!$J$12:$EL$12,,MATCH(Model!H$4,Reserves!$J$4:$EL$4,0))</f>
        <v>0</v>
      </c>
      <c r="I8" s="24" cm="1">
        <f t="array" ref="I8">INDEX(Reserves!$J$12:$EL$12,,MATCH(Model!I$4,Reserves!$J$4:$EL$4,0))</f>
        <v>0</v>
      </c>
      <c r="J8" s="24" cm="1">
        <f t="array" ref="J8">INDEX(Reserves!$J$12:$EL$12,,MATCH(Model!J$4,Reserves!$J$4:$EL$4,0))</f>
        <v>0</v>
      </c>
      <c r="K8" s="24" cm="1">
        <f t="array" ref="K8">INDEX(Reserves!$J$12:$EL$12,,MATCH(Model!K$4,Reserves!$J$4:$EL$4,0))</f>
        <v>0</v>
      </c>
      <c r="L8" s="24" cm="1">
        <f t="array" ref="L8">INDEX(Reserves!$J$12:$EL$12,,MATCH(Model!L$4,Reserves!$J$4:$EL$4,0))</f>
        <v>0</v>
      </c>
      <c r="M8" s="24" cm="1">
        <f t="array" ref="M8">INDEX(Reserves!$J$12:$EL$12,,MATCH(Model!M$4,Reserves!$J$4:$EL$4,0))</f>
        <v>0</v>
      </c>
      <c r="N8" s="24" cm="1">
        <f t="array" ref="N8">INDEX(Reserves!$J$12:$EL$12,,MATCH(Model!N$4,Reserves!$J$4:$EL$4,0))</f>
        <v>0</v>
      </c>
      <c r="O8" s="24" cm="1">
        <f t="array" ref="O8">INDEX(Reserves!$J$12:$EL$12,,MATCH(Model!O$4,Reserves!$J$4:$EL$4,0))</f>
        <v>0</v>
      </c>
      <c r="P8" s="24" cm="1">
        <f t="array" ref="P8">INDEX(Reserves!$J$12:$EL$12,,MATCH(Model!P$4,Reserves!$J$4:$EL$4,0))</f>
        <v>0</v>
      </c>
      <c r="Q8" s="24" cm="1">
        <f t="array" ref="Q8">INDEX(Reserves!$J$12:$EL$12,,MATCH(Model!Q$4,Reserves!$J$4:$EL$4,0))</f>
        <v>0</v>
      </c>
      <c r="R8" s="24" cm="1">
        <f t="array" ref="R8">INDEX(Reserves!$J$12:$EL$12,,MATCH(Model!R$4,Reserves!$J$4:$EL$4,0))</f>
        <v>0</v>
      </c>
      <c r="S8" s="24" cm="1">
        <f t="array" ref="S8">INDEX(Reserves!$J$12:$EL$12,,MATCH(Model!S$4,Reserves!$J$4:$EL$4,0))</f>
        <v>0</v>
      </c>
      <c r="T8" s="24" cm="1">
        <f t="array" ref="T8">INDEX(Reserves!$J$12:$EL$12,,MATCH(Model!T$4,Reserves!$J$4:$EL$4,0))</f>
        <v>0</v>
      </c>
      <c r="U8" s="24" cm="1">
        <f t="array" ref="U8">INDEX(Reserves!$J$12:$EL$12,,MATCH(Model!U$4,Reserves!$J$4:$EL$4,0))</f>
        <v>0</v>
      </c>
      <c r="V8" s="24" cm="1">
        <f t="array" ref="V8">INDEX(Reserves!$J$12:$EL$12,,MATCH(Model!V$4,Reserves!$J$4:$EL$4,0))</f>
        <v>0</v>
      </c>
      <c r="W8" s="24" cm="1">
        <f t="array" ref="W8">INDEX(Reserves!$J$12:$EL$12,,MATCH(Model!W$4,Reserves!$J$4:$EL$4,0))</f>
        <v>0</v>
      </c>
      <c r="X8" s="24" cm="1">
        <f t="array" ref="X8">INDEX(Reserves!$J$12:$EL$12,,MATCH(Model!X$4,Reserves!$J$4:$EL$4,0))</f>
        <v>0</v>
      </c>
      <c r="Y8" s="24" cm="1">
        <f t="array" ref="Y8">INDEX(Reserves!$J$12:$EL$12,,MATCH(Model!Y$4,Reserves!$J$4:$EL$4,0))</f>
        <v>0</v>
      </c>
      <c r="Z8" s="24" cm="1">
        <f t="array" ref="Z8">INDEX(Reserves!$J$12:$EL$12,,MATCH(Model!Z$4,Reserves!$J$4:$EL$4,0))</f>
        <v>0</v>
      </c>
      <c r="AA8" s="24" cm="1">
        <f t="array" ref="AA8">INDEX(Reserves!$J$12:$EL$12,,MATCH(Model!AA$4,Reserves!$J$4:$EL$4,0))</f>
        <v>0</v>
      </c>
      <c r="AB8" s="24" cm="1">
        <f t="array" ref="AB8">INDEX(Reserves!$J$12:$EL$12,,MATCH(Model!AB$4,Reserves!$J$4:$EL$4,0))</f>
        <v>0</v>
      </c>
      <c r="AC8" s="24" cm="1">
        <f t="array" ref="AC8">INDEX(Reserves!$J$12:$EL$12,,MATCH(Model!AC$4,Reserves!$J$4:$EL$4,0))</f>
        <v>0</v>
      </c>
      <c r="AD8" s="24" cm="1">
        <f t="array" ref="AD8">INDEX(Reserves!$J$12:$EL$12,,MATCH(Model!AD$4,Reserves!$J$4:$EL$4,0))</f>
        <v>0</v>
      </c>
      <c r="AE8" s="24" cm="1">
        <f t="array" ref="AE8">INDEX(Reserves!$J$12:$EL$12,,MATCH(Model!AE$4,Reserves!$J$4:$EL$4,0))</f>
        <v>0</v>
      </c>
      <c r="AF8" s="24" cm="1">
        <f t="array" ref="AF8">INDEX(Reserves!$J$12:$EL$12,,MATCH(Model!AF$4,Reserves!$J$4:$EL$4,0))</f>
        <v>0</v>
      </c>
      <c r="AG8" s="24" cm="1">
        <f t="array" ref="AG8">INDEX(Reserves!$J$12:$EL$12,,MATCH(Model!AG$4,Reserves!$J$4:$EL$4,0))</f>
        <v>0</v>
      </c>
      <c r="AH8" s="24" cm="1">
        <f t="array" ref="AH8">INDEX(Reserves!$J$12:$EL$12,,MATCH(Model!AH$4,Reserves!$J$4:$EL$4,0))</f>
        <v>0</v>
      </c>
      <c r="AI8" s="24" cm="1">
        <f t="array" ref="AI8">INDEX(Reserves!$J$12:$EL$12,,MATCH(Model!AI$4,Reserves!$J$4:$EL$4,0))</f>
        <v>0</v>
      </c>
      <c r="AJ8" s="24" cm="1">
        <f t="array" ref="AJ8">INDEX(Reserves!$J$12:$EL$12,,MATCH(Model!AJ$4,Reserves!$J$4:$EL$4,0))</f>
        <v>0</v>
      </c>
      <c r="AK8" s="24" cm="1">
        <f t="array" ref="AK8">INDEX(Reserves!$J$12:$EL$12,,MATCH(Model!AK$4,Reserves!$J$4:$EL$4,0))</f>
        <v>0</v>
      </c>
      <c r="AL8" s="24" cm="1">
        <f t="array" ref="AL8">INDEX(Reserves!$J$12:$EL$12,,MATCH(Model!AL$4,Reserves!$J$4:$EL$4,0))</f>
        <v>0</v>
      </c>
      <c r="AM8" s="24" cm="1">
        <f t="array" ref="AM8">INDEX(Reserves!$J$12:$EL$12,,MATCH(Model!AM$4,Reserves!$J$4:$EL$4,0))</f>
        <v>0</v>
      </c>
      <c r="AN8" s="24" cm="1">
        <f t="array" ref="AN8">INDEX(Reserves!$J$12:$EL$12,,MATCH(Model!AN$4,Reserves!$J$4:$EL$4,0))</f>
        <v>0</v>
      </c>
      <c r="AO8" s="24" cm="1">
        <f t="array" ref="AO8">INDEX(Reserves!$J$12:$EL$12,,MATCH(Model!AO$4,Reserves!$J$4:$EL$4,0))</f>
        <v>0</v>
      </c>
      <c r="AP8" s="24" cm="1">
        <f t="array" ref="AP8">INDEX(Reserves!$J$12:$EL$12,,MATCH(Model!AP$4,Reserves!$J$4:$EL$4,0))</f>
        <v>0</v>
      </c>
      <c r="AQ8" s="24" cm="1">
        <f t="array" ref="AQ8">INDEX(Reserves!$J$12:$EL$12,,MATCH(Model!AQ$4,Reserves!$J$4:$EL$4,0))</f>
        <v>0</v>
      </c>
      <c r="AR8" s="24" cm="1">
        <f t="array" ref="AR8">INDEX(Reserves!$J$12:$EL$12,,MATCH(Model!AR$4,Reserves!$J$4:$EL$4,0))</f>
        <v>0</v>
      </c>
      <c r="AS8" s="24" cm="1">
        <f t="array" ref="AS8">INDEX(Reserves!$J$12:$EL$12,,MATCH(Model!AS$4,Reserves!$J$4:$EL$4,0))</f>
        <v>0</v>
      </c>
      <c r="AT8" s="24" cm="1">
        <f t="array" ref="AT8">INDEX(Reserves!$J$12:$EL$12,,MATCH(Model!AT$4,Reserves!$J$4:$EL$4,0))</f>
        <v>0</v>
      </c>
      <c r="AU8" s="24" cm="1">
        <f t="array" ref="AU8">INDEX(Reserves!$J$12:$EL$12,,MATCH(Model!AU$4,Reserves!$J$4:$EL$4,0))</f>
        <v>0</v>
      </c>
      <c r="AV8" s="24" cm="1">
        <f t="array" ref="AV8">INDEX(Reserves!$J$12:$EL$12,,MATCH(Model!AV$4,Reserves!$J$4:$EL$4,0))</f>
        <v>0</v>
      </c>
      <c r="AW8" s="24" cm="1">
        <f t="array" ref="AW8">INDEX(Reserves!$J$12:$EL$12,,MATCH(Model!AW$4,Reserves!$J$4:$EL$4,0))</f>
        <v>0</v>
      </c>
      <c r="AX8" s="24" cm="1">
        <f t="array" ref="AX8">INDEX(Reserves!$J$12:$EL$12,,MATCH(Model!AX$4,Reserves!$J$4:$EL$4,0))</f>
        <v>0</v>
      </c>
      <c r="AY8" s="24" cm="1">
        <f t="array" ref="AY8">INDEX(Reserves!$J$12:$EL$12,,MATCH(Model!AY$4,Reserves!$J$4:$EL$4,0))</f>
        <v>0</v>
      </c>
      <c r="AZ8" s="24" cm="1">
        <f t="array" ref="AZ8">INDEX(Reserves!$J$12:$EL$12,,MATCH(Model!AZ$4,Reserves!$J$4:$EL$4,0))</f>
        <v>0</v>
      </c>
      <c r="BA8" s="24" cm="1">
        <f t="array" ref="BA8">INDEX(Reserves!$J$12:$EL$12,,MATCH(Model!BA$4,Reserves!$J$4:$EL$4,0))</f>
        <v>0</v>
      </c>
      <c r="BB8" s="24" cm="1">
        <f t="array" ref="BB8">INDEX(Reserves!$J$12:$EL$12,,MATCH(Model!BB$4,Reserves!$J$4:$EL$4,0))</f>
        <v>0</v>
      </c>
      <c r="BC8" s="24" cm="1">
        <f t="array" ref="BC8">INDEX(Reserves!$J$12:$EL$12,,MATCH(Model!BC$4,Reserves!$J$4:$EL$4,0))</f>
        <v>0</v>
      </c>
      <c r="BD8" s="24" cm="1">
        <f t="array" ref="BD8">INDEX(Reserves!$J$12:$EL$12,,MATCH(Model!BD$4,Reserves!$J$4:$EL$4,0))</f>
        <v>0</v>
      </c>
      <c r="BE8" s="24" cm="1">
        <f t="array" ref="BE8">INDEX(Reserves!$J$12:$EL$12,,MATCH(Model!BE$4,Reserves!$J$4:$EL$4,0))</f>
        <v>0</v>
      </c>
      <c r="BF8" s="24" cm="1">
        <f t="array" ref="BF8">INDEX(Reserves!$J$12:$EL$12,,MATCH(Model!BF$4,Reserves!$J$4:$EL$4,0))</f>
        <v>0</v>
      </c>
      <c r="BG8" s="24" cm="1">
        <f t="array" ref="BG8">INDEX(Reserves!$J$12:$EL$12,,MATCH(Model!BG$4,Reserves!$J$4:$EL$4,0))</f>
        <v>0</v>
      </c>
      <c r="BH8" s="24" cm="1">
        <f t="array" ref="BH8">INDEX(Reserves!$J$12:$EL$12,,MATCH(Model!BH$4,Reserves!$J$4:$EL$4,0))</f>
        <v>0</v>
      </c>
      <c r="BI8" s="24" cm="1">
        <f t="array" ref="BI8">INDEX(Reserves!$J$12:$EL$12,,MATCH(Model!BI$4,Reserves!$J$4:$EL$4,0))</f>
        <v>0</v>
      </c>
      <c r="BJ8" s="24" cm="1">
        <f t="array" ref="BJ8">INDEX(Reserves!$J$12:$EL$12,,MATCH(Model!BJ$4,Reserves!$J$4:$EL$4,0))</f>
        <v>0</v>
      </c>
      <c r="BK8" s="24" cm="1">
        <f t="array" ref="BK8">INDEX(Reserves!$J$12:$EL$12,,MATCH(Model!BK$4,Reserves!$J$4:$EL$4,0))</f>
        <v>0</v>
      </c>
      <c r="BL8" s="24" cm="1">
        <f t="array" ref="BL8">INDEX(Reserves!$J$12:$EL$12,,MATCH(Model!BL$4,Reserves!$J$4:$EL$4,0))</f>
        <v>0</v>
      </c>
      <c r="BM8" s="24" cm="1">
        <f t="array" ref="BM8">INDEX(Reserves!$J$12:$EL$12,,MATCH(Model!BM$4,Reserves!$J$4:$EL$4,0))</f>
        <v>0</v>
      </c>
      <c r="BN8" s="24" cm="1">
        <f t="array" ref="BN8">INDEX(Reserves!$J$12:$EL$12,,MATCH(Model!BN$4,Reserves!$J$4:$EL$4,0))</f>
        <v>0</v>
      </c>
      <c r="BO8" s="24" cm="1">
        <f t="array" ref="BO8">INDEX(Reserves!$J$12:$EL$12,,MATCH(Model!BO$4,Reserves!$J$4:$EL$4,0))</f>
        <v>0</v>
      </c>
      <c r="BP8" s="24" cm="1">
        <f t="array" ref="BP8">INDEX(Reserves!$J$12:$EL$12,,MATCH(Model!BP$4,Reserves!$J$4:$EL$4,0))</f>
        <v>0</v>
      </c>
      <c r="BQ8" s="24" cm="1">
        <f t="array" ref="BQ8">INDEX(Reserves!$J$12:$EL$12,,MATCH(Model!BQ$4,Reserves!$J$4:$EL$4,0))</f>
        <v>0</v>
      </c>
      <c r="BR8" s="24" cm="1">
        <f t="array" ref="BR8">INDEX(Reserves!$J$12:$EL$12,,MATCH(Model!BR$4,Reserves!$J$4:$EL$4,0))</f>
        <v>0</v>
      </c>
      <c r="BS8" s="24" cm="1">
        <f t="array" ref="BS8">INDEX(Reserves!$J$12:$EL$12,,MATCH(Model!BS$4,Reserves!$J$4:$EL$4,0))</f>
        <v>0</v>
      </c>
      <c r="BT8" s="24" cm="1">
        <f t="array" ref="BT8">INDEX(Reserves!$J$12:$EL$12,,MATCH(Model!BT$4,Reserves!$J$4:$EL$4,0))</f>
        <v>0</v>
      </c>
      <c r="BU8" s="24" cm="1">
        <f t="array" ref="BU8">INDEX(Reserves!$J$12:$EL$12,,MATCH(Model!BU$4,Reserves!$J$4:$EL$4,0))</f>
        <v>0</v>
      </c>
      <c r="BV8" s="24" cm="1">
        <f t="array" ref="BV8">INDEX(Reserves!$J$12:$EL$12,,MATCH(Model!BV$4,Reserves!$J$4:$EL$4,0))</f>
        <v>0</v>
      </c>
      <c r="BW8" s="24" cm="1">
        <f t="array" ref="BW8">INDEX(Reserves!$J$12:$EL$12,,MATCH(Model!BW$4,Reserves!$J$4:$EL$4,0))</f>
        <v>0</v>
      </c>
      <c r="BX8" s="24" cm="1">
        <f t="array" ref="BX8">INDEX(Reserves!$J$12:$EL$12,,MATCH(Model!BX$4,Reserves!$J$4:$EL$4,0))</f>
        <v>0</v>
      </c>
      <c r="BY8" s="24" cm="1">
        <f t="array" ref="BY8">INDEX(Reserves!$J$12:$EL$12,,MATCH(Model!BY$4,Reserves!$J$4:$EL$4,0))</f>
        <v>0</v>
      </c>
      <c r="BZ8" s="24" cm="1">
        <f t="array" ref="BZ8">INDEX(Reserves!$J$12:$EL$12,,MATCH(Model!BZ$4,Reserves!$J$4:$EL$4,0))</f>
        <v>0</v>
      </c>
      <c r="CA8" s="24" cm="1">
        <f t="array" ref="CA8">INDEX(Reserves!$J$12:$EL$12,,MATCH(Model!CA$4,Reserves!$J$4:$EL$4,0))</f>
        <v>0</v>
      </c>
      <c r="CB8" s="24" cm="1">
        <f t="array" ref="CB8">INDEX(Reserves!$J$12:$EL$12,,MATCH(Model!CB$4,Reserves!$J$4:$EL$4,0))</f>
        <v>0</v>
      </c>
      <c r="CC8" s="24" cm="1">
        <f t="array" ref="CC8">INDEX(Reserves!$J$12:$EL$12,,MATCH(Model!CC$4,Reserves!$J$4:$EL$4,0))</f>
        <v>0</v>
      </c>
      <c r="CD8" s="24" cm="1">
        <f t="array" ref="CD8">INDEX(Reserves!$J$12:$EL$12,,MATCH(Model!CD$4,Reserves!$J$4:$EL$4,0))</f>
        <v>0</v>
      </c>
      <c r="CE8" s="24" cm="1">
        <f t="array" ref="CE8">INDEX(Reserves!$J$12:$EL$12,,MATCH(Model!CE$4,Reserves!$J$4:$EL$4,0))</f>
        <v>0</v>
      </c>
      <c r="CF8" s="24" cm="1">
        <f t="array" ref="CF8">INDEX(Reserves!$J$12:$EL$12,,MATCH(Model!CF$4,Reserves!$J$4:$EL$4,0))</f>
        <v>0</v>
      </c>
      <c r="CG8" s="24" cm="1">
        <f t="array" ref="CG8">INDEX(Reserves!$J$12:$EL$12,,MATCH(Model!CG$4,Reserves!$J$4:$EL$4,0))</f>
        <v>0</v>
      </c>
      <c r="CH8" s="24" cm="1">
        <f t="array" ref="CH8">INDEX(Reserves!$J$12:$EL$12,,MATCH(Model!CH$4,Reserves!$J$4:$EL$4,0))</f>
        <v>0</v>
      </c>
      <c r="CI8" s="24" cm="1">
        <f t="array" ref="CI8">INDEX(Reserves!$J$12:$EL$12,,MATCH(Model!CI$4,Reserves!$J$4:$EL$4,0))</f>
        <v>0</v>
      </c>
      <c r="CJ8" s="24" cm="1">
        <f t="array" ref="CJ8">INDEX(Reserves!$J$12:$EL$12,,MATCH(Model!CJ$4,Reserves!$J$4:$EL$4,0))</f>
        <v>0</v>
      </c>
      <c r="CK8" s="24" cm="1">
        <f t="array" ref="CK8">INDEX(Reserves!$J$12:$EL$12,,MATCH(Model!CK$4,Reserves!$J$4:$EL$4,0))</f>
        <v>0</v>
      </c>
      <c r="CL8" s="24" cm="1">
        <f t="array" ref="CL8">INDEX(Reserves!$J$12:$EL$12,,MATCH(Model!CL$4,Reserves!$J$4:$EL$4,0))</f>
        <v>0</v>
      </c>
      <c r="CM8" s="24" cm="1">
        <f t="array" ref="CM8">INDEX(Reserves!$J$12:$EL$12,,MATCH(Model!CM$4,Reserves!$J$4:$EL$4,0))</f>
        <v>0</v>
      </c>
      <c r="CN8" s="24" cm="1">
        <f t="array" ref="CN8">INDEX(Reserves!$J$12:$EL$12,,MATCH(Model!CN$4,Reserves!$J$4:$EL$4,0))</f>
        <v>0</v>
      </c>
      <c r="CO8" s="24" cm="1">
        <f t="array" ref="CO8">INDEX(Reserves!$J$12:$EL$12,,MATCH(Model!CO$4,Reserves!$J$4:$EL$4,0))</f>
        <v>0</v>
      </c>
      <c r="CP8" s="24" cm="1">
        <f t="array" ref="CP8">INDEX(Reserves!$J$12:$EL$12,,MATCH(Model!CP$4,Reserves!$J$4:$EL$4,0))</f>
        <v>0</v>
      </c>
      <c r="CQ8" s="24" cm="1">
        <f t="array" ref="CQ8">INDEX(Reserves!$J$12:$EL$12,,MATCH(Model!CQ$4,Reserves!$J$4:$EL$4,0))</f>
        <v>0</v>
      </c>
      <c r="CR8" s="24" cm="1">
        <f t="array" ref="CR8">INDEX(Reserves!$J$12:$EL$12,,MATCH(Model!CR$4,Reserves!$J$4:$EL$4,0))</f>
        <v>0</v>
      </c>
      <c r="CS8" s="24" cm="1">
        <f t="array" ref="CS8">INDEX(Reserves!$J$12:$EL$12,,MATCH(Model!CS$4,Reserves!$J$4:$EL$4,0))</f>
        <v>0</v>
      </c>
      <c r="CT8" s="24" cm="1">
        <f t="array" ref="CT8">INDEX(Reserves!$J$12:$EL$12,,MATCH(Model!CT$4,Reserves!$J$4:$EL$4,0))</f>
        <v>0</v>
      </c>
      <c r="CU8" s="24" cm="1">
        <f t="array" ref="CU8">INDEX(Reserves!$J$12:$EL$12,,MATCH(Model!CU$4,Reserves!$J$4:$EL$4,0))</f>
        <v>0</v>
      </c>
      <c r="CV8" s="24" cm="1">
        <f t="array" ref="CV8">INDEX(Reserves!$J$12:$EL$12,,MATCH(Model!CV$4,Reserves!$J$4:$EL$4,0))</f>
        <v>0</v>
      </c>
      <c r="CW8" s="24" cm="1">
        <f t="array" ref="CW8">INDEX(Reserves!$J$12:$EL$12,,MATCH(Model!CW$4,Reserves!$J$4:$EL$4,0))</f>
        <v>0</v>
      </c>
      <c r="CX8" s="24" cm="1">
        <f t="array" ref="CX8">INDEX(Reserves!$J$12:$EL$12,,MATCH(Model!CX$4,Reserves!$J$4:$EL$4,0))</f>
        <v>0</v>
      </c>
      <c r="CY8" s="24" cm="1">
        <f t="array" ref="CY8">INDEX(Reserves!$J$12:$EL$12,,MATCH(Model!CY$4,Reserves!$J$4:$EL$4,0))</f>
        <v>0</v>
      </c>
      <c r="CZ8" s="24" cm="1">
        <f t="array" ref="CZ8">INDEX(Reserves!$J$12:$EL$12,,MATCH(Model!CZ$4,Reserves!$J$4:$EL$4,0))</f>
        <v>0</v>
      </c>
      <c r="DA8" s="24" cm="1">
        <f t="array" ref="DA8">INDEX(Reserves!$J$12:$EL$12,,MATCH(Model!DA$4,Reserves!$J$4:$EL$4,0))</f>
        <v>0</v>
      </c>
      <c r="DB8" s="24" cm="1">
        <f t="array" ref="DB8">INDEX(Reserves!$J$12:$EL$12,,MATCH(Model!DB$4,Reserves!$J$4:$EL$4,0))</f>
        <v>0</v>
      </c>
      <c r="DC8" s="24" cm="1">
        <f t="array" ref="DC8">INDEX(Reserves!$J$12:$EL$12,,MATCH(Model!DC$4,Reserves!$J$4:$EL$4,0))</f>
        <v>0</v>
      </c>
      <c r="DD8" s="24" cm="1">
        <f t="array" ref="DD8">INDEX(Reserves!$J$12:$EL$12,,MATCH(Model!DD$4,Reserves!$J$4:$EL$4,0))</f>
        <v>0</v>
      </c>
      <c r="DE8" s="24" cm="1">
        <f t="array" ref="DE8">INDEX(Reserves!$J$12:$EL$12,,MATCH(Model!DE$4,Reserves!$J$4:$EL$4,0))</f>
        <v>0</v>
      </c>
      <c r="DF8" s="24" cm="1">
        <f t="array" ref="DF8">INDEX(Reserves!$J$12:$EL$12,,MATCH(Model!DF$4,Reserves!$J$4:$EL$4,0))</f>
        <v>0</v>
      </c>
      <c r="DG8" s="24" cm="1">
        <f t="array" ref="DG8">INDEX(Reserves!$J$12:$EL$12,,MATCH(Model!DG$4,Reserves!$J$4:$EL$4,0))</f>
        <v>0</v>
      </c>
      <c r="DH8" s="24" cm="1">
        <f t="array" ref="DH8">INDEX(Reserves!$J$12:$EL$12,,MATCH(Model!DH$4,Reserves!$J$4:$EL$4,0))</f>
        <v>0</v>
      </c>
      <c r="DI8" s="24" cm="1">
        <f t="array" ref="DI8">INDEX(Reserves!$J$12:$EL$12,,MATCH(Model!DI$4,Reserves!$J$4:$EL$4,0))</f>
        <v>0</v>
      </c>
      <c r="DJ8" s="24" cm="1">
        <f t="array" ref="DJ8">INDEX(Reserves!$J$12:$EL$12,,MATCH(Model!DJ$4,Reserves!$J$4:$EL$4,0))</f>
        <v>0</v>
      </c>
      <c r="DK8" s="24" cm="1">
        <f t="array" ref="DK8">INDEX(Reserves!$J$12:$EL$12,,MATCH(Model!DK$4,Reserves!$J$4:$EL$4,0))</f>
        <v>0</v>
      </c>
      <c r="DL8" s="24" cm="1">
        <f t="array" ref="DL8">INDEX(Reserves!$J$12:$EL$12,,MATCH(Model!DL$4,Reserves!$J$4:$EL$4,0))</f>
        <v>0</v>
      </c>
      <c r="DM8" s="24" cm="1">
        <f t="array" ref="DM8">INDEX(Reserves!$J$12:$EL$12,,MATCH(Model!DM$4,Reserves!$J$4:$EL$4,0))</f>
        <v>0</v>
      </c>
      <c r="DN8" s="24" cm="1">
        <f t="array" ref="DN8">INDEX(Reserves!$J$12:$EL$12,,MATCH(Model!DN$4,Reserves!$J$4:$EL$4,0))</f>
        <v>0</v>
      </c>
      <c r="DO8" s="24" cm="1">
        <f t="array" ref="DO8">INDEX(Reserves!$J$12:$EL$12,,MATCH(Model!DO$4,Reserves!$J$4:$EL$4,0))</f>
        <v>0</v>
      </c>
      <c r="DP8" s="24" cm="1">
        <f t="array" ref="DP8">INDEX(Reserves!$J$12:$EL$12,,MATCH(Model!DP$4,Reserves!$J$4:$EL$4,0))</f>
        <v>0</v>
      </c>
      <c r="DQ8" s="24" cm="1">
        <f t="array" ref="DQ8">INDEX(Reserves!$J$12:$EL$12,,MATCH(Model!DQ$4,Reserves!$J$4:$EL$4,0))</f>
        <v>0</v>
      </c>
      <c r="DR8" s="24" cm="1">
        <f t="array" ref="DR8">INDEX(Reserves!$J$12:$EL$12,,MATCH(Model!DR$4,Reserves!$J$4:$EL$4,0))</f>
        <v>0</v>
      </c>
      <c r="DS8" s="24" cm="1">
        <f t="array" ref="DS8">INDEX(Reserves!$J$12:$EL$12,,MATCH(Model!DS$4,Reserves!$J$4:$EL$4,0))</f>
        <v>0</v>
      </c>
      <c r="DT8" s="24" cm="1">
        <f t="array" ref="DT8">INDEX(Reserves!$J$12:$EL$12,,MATCH(Model!DT$4,Reserves!$J$4:$EL$4,0))</f>
        <v>0</v>
      </c>
      <c r="DU8" s="24" cm="1">
        <f t="array" ref="DU8">INDEX(Reserves!$J$12:$EL$12,,MATCH(Model!DU$4,Reserves!$J$4:$EL$4,0))</f>
        <v>0</v>
      </c>
      <c r="DV8" s="24" cm="1">
        <f t="array" ref="DV8">INDEX(Reserves!$J$12:$EL$12,,MATCH(Model!DV$4,Reserves!$J$4:$EL$4,0))</f>
        <v>0</v>
      </c>
      <c r="DW8" s="24" cm="1">
        <f t="array" ref="DW8">INDEX(Reserves!$J$12:$EL$12,,MATCH(Model!DW$4,Reserves!$J$4:$EL$4,0))</f>
        <v>0</v>
      </c>
      <c r="DX8" s="24" cm="1">
        <f t="array" ref="DX8">INDEX(Reserves!$J$12:$EL$12,,MATCH(Model!DX$4,Reserves!$J$4:$EL$4,0))</f>
        <v>0</v>
      </c>
      <c r="DY8" s="24" cm="1">
        <f t="array" ref="DY8">INDEX(Reserves!$J$12:$EL$12,,MATCH(Model!DY$4,Reserves!$J$4:$EL$4,0))</f>
        <v>0</v>
      </c>
      <c r="DZ8" s="24" cm="1">
        <f t="array" ref="DZ8">INDEX(Reserves!$J$12:$EL$12,,MATCH(Model!DZ$4,Reserves!$J$4:$EL$4,0))</f>
        <v>0</v>
      </c>
      <c r="EA8" s="24" cm="1">
        <f t="array" ref="EA8">INDEX(Reserves!$J$12:$EL$12,,MATCH(Model!EA$4,Reserves!$J$4:$EL$4,0))</f>
        <v>0</v>
      </c>
      <c r="EB8" s="24" cm="1">
        <f t="array" ref="EB8">INDEX(Reserves!$J$12:$EL$12,,MATCH(Model!EB$4,Reserves!$J$4:$EL$4,0))</f>
        <v>0</v>
      </c>
      <c r="EC8" s="24" cm="1">
        <f t="array" ref="EC8">INDEX(Reserves!$J$12:$EL$12,,MATCH(Model!EC$4,Reserves!$J$4:$EL$4,0))</f>
        <v>0</v>
      </c>
      <c r="ED8" s="24" cm="1">
        <f t="array" ref="ED8">INDEX(Reserves!$J$12:$EL$12,,MATCH(Model!ED$4,Reserves!$J$4:$EL$4,0))</f>
        <v>0</v>
      </c>
      <c r="EE8" s="24" cm="1">
        <f t="array" ref="EE8">INDEX(Reserves!$J$12:$EL$12,,MATCH(Model!EE$4,Reserves!$J$4:$EL$4,0))</f>
        <v>0</v>
      </c>
      <c r="EF8" s="24" cm="1">
        <f t="array" ref="EF8">INDEX(Reserves!$J$12:$EL$12,,MATCH(Model!EF$4,Reserves!$J$4:$EL$4,0))</f>
        <v>0</v>
      </c>
      <c r="EG8" s="24" cm="1">
        <f t="array" ref="EG8">INDEX(Reserves!$J$12:$EL$12,,MATCH(Model!EG$4,Reserves!$J$4:$EL$4,0))</f>
        <v>0</v>
      </c>
      <c r="EH8" s="24" cm="1">
        <f t="array" ref="EH8">INDEX(Reserves!$J$12:$EL$12,,MATCH(Model!EH$4,Reserves!$J$4:$EL$4,0))</f>
        <v>0</v>
      </c>
      <c r="EI8" s="24" cm="1">
        <f t="array" ref="EI8">INDEX(Reserves!$J$12:$EL$12,,MATCH(Model!EI$4,Reserves!$J$4:$EL$4,0))</f>
        <v>0</v>
      </c>
      <c r="EM8" s="1" t="s">
        <v>191</v>
      </c>
    </row>
    <row r="9" spans="2:143" x14ac:dyDescent="0.45">
      <c r="B9" s="24">
        <f t="shared" si="250"/>
        <v>2577299.9999999995</v>
      </c>
      <c r="D9" s="1" t="str">
        <f>+'Hard Costs'!B4</f>
        <v>Hard Costs</v>
      </c>
      <c r="G9" s="24" cm="1">
        <f t="array" ref="G9">INDEX('Hard Costs'!$J$16:$EL$16,,MATCH(Model!G$4,'Hard Costs'!$J$4:$EL$4,0))</f>
        <v>20000</v>
      </c>
      <c r="H9" s="24" cm="1">
        <f t="array" ref="H9">INDEX('Hard Costs'!$J$16:$EL$16,,MATCH(Model!H$4,'Hard Costs'!$J$4:$EL$4,0))</f>
        <v>0</v>
      </c>
      <c r="I9" s="24" cm="1">
        <f t="array" ref="I9">INDEX('Hard Costs'!$J$16:$EL$16,,MATCH(Model!I$4,'Hard Costs'!$J$4:$EL$4,0))</f>
        <v>97652.173913043473</v>
      </c>
      <c r="J9" s="24" cm="1">
        <f t="array" ref="J9">INDEX('Hard Costs'!$J$16:$EL$16,,MATCH(Model!J$4,'Hard Costs'!$J$4:$EL$4,0))</f>
        <v>97652.173913043473</v>
      </c>
      <c r="K9" s="24" cm="1">
        <f t="array" ref="K9">INDEX('Hard Costs'!$J$16:$EL$16,,MATCH(Model!K$4,'Hard Costs'!$J$4:$EL$4,0))</f>
        <v>97652.173913043473</v>
      </c>
      <c r="L9" s="24" cm="1">
        <f t="array" ref="L9">INDEX('Hard Costs'!$J$16:$EL$16,,MATCH(Model!L$4,'Hard Costs'!$J$4:$EL$4,0))</f>
        <v>145152.17391304346</v>
      </c>
      <c r="M9" s="24" cm="1">
        <f t="array" ref="M9">INDEX('Hard Costs'!$J$16:$EL$16,,MATCH(Model!M$4,'Hard Costs'!$J$4:$EL$4,0))</f>
        <v>135152.17391304346</v>
      </c>
      <c r="N9" s="24" cm="1">
        <f t="array" ref="N9">INDEX('Hard Costs'!$J$16:$EL$16,,MATCH(Model!N$4,'Hard Costs'!$J$4:$EL$4,0))</f>
        <v>97652.173913043473</v>
      </c>
      <c r="O9" s="24" cm="1">
        <f t="array" ref="O9">INDEX('Hard Costs'!$J$16:$EL$16,,MATCH(Model!O$4,'Hard Costs'!$J$4:$EL$4,0))</f>
        <v>97652.173913043473</v>
      </c>
      <c r="P9" s="24" cm="1">
        <f t="array" ref="P9">INDEX('Hard Costs'!$J$16:$EL$16,,MATCH(Model!P$4,'Hard Costs'!$J$4:$EL$4,0))</f>
        <v>97652.173913043473</v>
      </c>
      <c r="Q9" s="24" cm="1">
        <f t="array" ref="Q9">INDEX('Hard Costs'!$J$16:$EL$16,,MATCH(Model!Q$4,'Hard Costs'!$J$4:$EL$4,0))</f>
        <v>102652.17391304347</v>
      </c>
      <c r="R9" s="24" cm="1">
        <f t="array" ref="R9">INDEX('Hard Costs'!$J$16:$EL$16,,MATCH(Model!R$4,'Hard Costs'!$J$4:$EL$4,0))</f>
        <v>97652.173913043473</v>
      </c>
      <c r="S9" s="24" cm="1">
        <f t="array" ref="S9">INDEX('Hard Costs'!$J$16:$EL$16,,MATCH(Model!S$4,'Hard Costs'!$J$4:$EL$4,0))</f>
        <v>96652.173913043473</v>
      </c>
      <c r="T9" s="24" cm="1">
        <f t="array" ref="T9">INDEX('Hard Costs'!$J$16:$EL$16,,MATCH(Model!T$4,'Hard Costs'!$J$4:$EL$4,0))</f>
        <v>96652.173913043473</v>
      </c>
      <c r="U9" s="24" cm="1">
        <f t="array" ref="U9">INDEX('Hard Costs'!$J$16:$EL$16,,MATCH(Model!U$4,'Hard Costs'!$J$4:$EL$4,0))</f>
        <v>96652.173913043473</v>
      </c>
      <c r="V9" s="24" cm="1">
        <f t="array" ref="V9">INDEX('Hard Costs'!$J$16:$EL$16,,MATCH(Model!V$4,'Hard Costs'!$J$4:$EL$4,0))</f>
        <v>96652.173913043473</v>
      </c>
      <c r="W9" s="24" cm="1">
        <f t="array" ref="W9">INDEX('Hard Costs'!$J$16:$EL$16,,MATCH(Model!W$4,'Hard Costs'!$J$4:$EL$4,0))</f>
        <v>96652.173913043473</v>
      </c>
      <c r="X9" s="24" cm="1">
        <f t="array" ref="X9">INDEX('Hard Costs'!$J$16:$EL$16,,MATCH(Model!X$4,'Hard Costs'!$J$4:$EL$4,0))</f>
        <v>96652.173913043473</v>
      </c>
      <c r="Y9" s="24" cm="1">
        <f t="array" ref="Y9">INDEX('Hard Costs'!$J$16:$EL$16,,MATCH(Model!Y$4,'Hard Costs'!$J$4:$EL$4,0))</f>
        <v>96652.173913043473</v>
      </c>
      <c r="Z9" s="24" cm="1">
        <f t="array" ref="Z9">INDEX('Hard Costs'!$J$16:$EL$16,,MATCH(Model!Z$4,'Hard Costs'!$J$4:$EL$4,0))</f>
        <v>96652.173913043473</v>
      </c>
      <c r="AA9" s="24" cm="1">
        <f t="array" ref="AA9">INDEX('Hard Costs'!$J$16:$EL$16,,MATCH(Model!AA$4,'Hard Costs'!$J$4:$EL$4,0))</f>
        <v>96652.173913043473</v>
      </c>
      <c r="AB9" s="24" cm="1">
        <f t="array" ref="AB9">INDEX('Hard Costs'!$J$16:$EL$16,,MATCH(Model!AB$4,'Hard Costs'!$J$4:$EL$4,0))</f>
        <v>96652.173913043473</v>
      </c>
      <c r="AC9" s="24" cm="1">
        <f t="array" ref="AC9">INDEX('Hard Costs'!$J$16:$EL$16,,MATCH(Model!AC$4,'Hard Costs'!$J$4:$EL$4,0))</f>
        <v>96652.173913043473</v>
      </c>
      <c r="AD9" s="24" cm="1">
        <f t="array" ref="AD9">INDEX('Hard Costs'!$J$16:$EL$16,,MATCH(Model!AD$4,'Hard Costs'!$J$4:$EL$4,0))</f>
        <v>96652.173913043473</v>
      </c>
      <c r="AE9" s="24" cm="1">
        <f t="array" ref="AE9">INDEX('Hard Costs'!$J$16:$EL$16,,MATCH(Model!AE$4,'Hard Costs'!$J$4:$EL$4,0))</f>
        <v>330952.17391304346</v>
      </c>
      <c r="AF9" s="24" cm="1">
        <f t="array" ref="AF9">INDEX('Hard Costs'!$J$16:$EL$16,,MATCH(Model!AF$4,'Hard Costs'!$J$4:$EL$4,0))</f>
        <v>0</v>
      </c>
      <c r="AG9" s="24" cm="1">
        <f t="array" ref="AG9">INDEX('Hard Costs'!$J$16:$EL$16,,MATCH(Model!AG$4,'Hard Costs'!$J$4:$EL$4,0))</f>
        <v>0</v>
      </c>
      <c r="AH9" s="24" cm="1">
        <f t="array" ref="AH9">INDEX('Hard Costs'!$J$16:$EL$16,,MATCH(Model!AH$4,'Hard Costs'!$J$4:$EL$4,0))</f>
        <v>0</v>
      </c>
      <c r="AI9" s="24" cm="1">
        <f t="array" ref="AI9">INDEX('Hard Costs'!$J$16:$EL$16,,MATCH(Model!AI$4,'Hard Costs'!$J$4:$EL$4,0))</f>
        <v>0</v>
      </c>
      <c r="AJ9" s="24" cm="1">
        <f t="array" ref="AJ9">INDEX('Hard Costs'!$J$16:$EL$16,,MATCH(Model!AJ$4,'Hard Costs'!$J$4:$EL$4,0))</f>
        <v>0</v>
      </c>
      <c r="AK9" s="24" cm="1">
        <f t="array" ref="AK9">INDEX('Hard Costs'!$J$16:$EL$16,,MATCH(Model!AK$4,'Hard Costs'!$J$4:$EL$4,0))</f>
        <v>0</v>
      </c>
      <c r="AL9" s="24" cm="1">
        <f t="array" ref="AL9">INDEX('Hard Costs'!$J$16:$EL$16,,MATCH(Model!AL$4,'Hard Costs'!$J$4:$EL$4,0))</f>
        <v>0</v>
      </c>
      <c r="AM9" s="24" cm="1">
        <f t="array" ref="AM9">INDEX('Hard Costs'!$J$16:$EL$16,,MATCH(Model!AM$4,'Hard Costs'!$J$4:$EL$4,0))</f>
        <v>0</v>
      </c>
      <c r="AN9" s="24" cm="1">
        <f t="array" ref="AN9">INDEX('Hard Costs'!$J$16:$EL$16,,MATCH(Model!AN$4,'Hard Costs'!$J$4:$EL$4,0))</f>
        <v>0</v>
      </c>
      <c r="AO9" s="24" cm="1">
        <f t="array" ref="AO9">INDEX('Hard Costs'!$J$16:$EL$16,,MATCH(Model!AO$4,'Hard Costs'!$J$4:$EL$4,0))</f>
        <v>0</v>
      </c>
      <c r="AP9" s="24" cm="1">
        <f t="array" ref="AP9">INDEX('Hard Costs'!$J$16:$EL$16,,MATCH(Model!AP$4,'Hard Costs'!$J$4:$EL$4,0))</f>
        <v>0</v>
      </c>
      <c r="AQ9" s="24" cm="1">
        <f t="array" ref="AQ9">INDEX('Hard Costs'!$J$16:$EL$16,,MATCH(Model!AQ$4,'Hard Costs'!$J$4:$EL$4,0))</f>
        <v>0</v>
      </c>
      <c r="AR9" s="24" cm="1">
        <f t="array" ref="AR9">INDEX('Hard Costs'!$J$16:$EL$16,,MATCH(Model!AR$4,'Hard Costs'!$J$4:$EL$4,0))</f>
        <v>0</v>
      </c>
      <c r="AS9" s="24" cm="1">
        <f t="array" ref="AS9">INDEX('Hard Costs'!$J$16:$EL$16,,MATCH(Model!AS$4,'Hard Costs'!$J$4:$EL$4,0))</f>
        <v>0</v>
      </c>
      <c r="AT9" s="24" cm="1">
        <f t="array" ref="AT9">INDEX('Hard Costs'!$J$16:$EL$16,,MATCH(Model!AT$4,'Hard Costs'!$J$4:$EL$4,0))</f>
        <v>0</v>
      </c>
      <c r="AU9" s="24" cm="1">
        <f t="array" ref="AU9">INDEX('Hard Costs'!$J$16:$EL$16,,MATCH(Model!AU$4,'Hard Costs'!$J$4:$EL$4,0))</f>
        <v>0</v>
      </c>
      <c r="AV9" s="24" cm="1">
        <f t="array" ref="AV9">INDEX('Hard Costs'!$J$16:$EL$16,,MATCH(Model!AV$4,'Hard Costs'!$J$4:$EL$4,0))</f>
        <v>0</v>
      </c>
      <c r="AW9" s="24" cm="1">
        <f t="array" ref="AW9">INDEX('Hard Costs'!$J$16:$EL$16,,MATCH(Model!AW$4,'Hard Costs'!$J$4:$EL$4,0))</f>
        <v>0</v>
      </c>
      <c r="AX9" s="24" cm="1">
        <f t="array" ref="AX9">INDEX('Hard Costs'!$J$16:$EL$16,,MATCH(Model!AX$4,'Hard Costs'!$J$4:$EL$4,0))</f>
        <v>0</v>
      </c>
      <c r="AY9" s="24" cm="1">
        <f t="array" ref="AY9">INDEX('Hard Costs'!$J$16:$EL$16,,MATCH(Model!AY$4,'Hard Costs'!$J$4:$EL$4,0))</f>
        <v>0</v>
      </c>
      <c r="AZ9" s="24" cm="1">
        <f t="array" ref="AZ9">INDEX('Hard Costs'!$J$16:$EL$16,,MATCH(Model!AZ$4,'Hard Costs'!$J$4:$EL$4,0))</f>
        <v>0</v>
      </c>
      <c r="BA9" s="24" cm="1">
        <f t="array" ref="BA9">INDEX('Hard Costs'!$J$16:$EL$16,,MATCH(Model!BA$4,'Hard Costs'!$J$4:$EL$4,0))</f>
        <v>0</v>
      </c>
      <c r="BB9" s="24" cm="1">
        <f t="array" ref="BB9">INDEX('Hard Costs'!$J$16:$EL$16,,MATCH(Model!BB$4,'Hard Costs'!$J$4:$EL$4,0))</f>
        <v>0</v>
      </c>
      <c r="BC9" s="24" cm="1">
        <f t="array" ref="BC9">INDEX('Hard Costs'!$J$16:$EL$16,,MATCH(Model!BC$4,'Hard Costs'!$J$4:$EL$4,0))</f>
        <v>0</v>
      </c>
      <c r="BD9" s="24" cm="1">
        <f t="array" ref="BD9">INDEX('Hard Costs'!$J$16:$EL$16,,MATCH(Model!BD$4,'Hard Costs'!$J$4:$EL$4,0))</f>
        <v>0</v>
      </c>
      <c r="BE9" s="24" cm="1">
        <f t="array" ref="BE9">INDEX('Hard Costs'!$J$16:$EL$16,,MATCH(Model!BE$4,'Hard Costs'!$J$4:$EL$4,0))</f>
        <v>0</v>
      </c>
      <c r="BF9" s="24" cm="1">
        <f t="array" ref="BF9">INDEX('Hard Costs'!$J$16:$EL$16,,MATCH(Model!BF$4,'Hard Costs'!$J$4:$EL$4,0))</f>
        <v>0</v>
      </c>
      <c r="BG9" s="24" cm="1">
        <f t="array" ref="BG9">INDEX('Hard Costs'!$J$16:$EL$16,,MATCH(Model!BG$4,'Hard Costs'!$J$4:$EL$4,0))</f>
        <v>0</v>
      </c>
      <c r="BH9" s="24" cm="1">
        <f t="array" ref="BH9">INDEX('Hard Costs'!$J$16:$EL$16,,MATCH(Model!BH$4,'Hard Costs'!$J$4:$EL$4,0))</f>
        <v>0</v>
      </c>
      <c r="BI9" s="24" cm="1">
        <f t="array" ref="BI9">INDEX('Hard Costs'!$J$16:$EL$16,,MATCH(Model!BI$4,'Hard Costs'!$J$4:$EL$4,0))</f>
        <v>0</v>
      </c>
      <c r="BJ9" s="24" cm="1">
        <f t="array" ref="BJ9">INDEX('Hard Costs'!$J$16:$EL$16,,MATCH(Model!BJ$4,'Hard Costs'!$J$4:$EL$4,0))</f>
        <v>0</v>
      </c>
      <c r="BK9" s="24" cm="1">
        <f t="array" ref="BK9">INDEX('Hard Costs'!$J$16:$EL$16,,MATCH(Model!BK$4,'Hard Costs'!$J$4:$EL$4,0))</f>
        <v>0</v>
      </c>
      <c r="BL9" s="24" cm="1">
        <f t="array" ref="BL9">INDEX('Hard Costs'!$J$16:$EL$16,,MATCH(Model!BL$4,'Hard Costs'!$J$4:$EL$4,0))</f>
        <v>0</v>
      </c>
      <c r="BM9" s="24" cm="1">
        <f t="array" ref="BM9">INDEX('Hard Costs'!$J$16:$EL$16,,MATCH(Model!BM$4,'Hard Costs'!$J$4:$EL$4,0))</f>
        <v>0</v>
      </c>
      <c r="BN9" s="24" cm="1">
        <f t="array" ref="BN9">INDEX('Hard Costs'!$J$16:$EL$16,,MATCH(Model!BN$4,'Hard Costs'!$J$4:$EL$4,0))</f>
        <v>0</v>
      </c>
      <c r="BO9" s="24" cm="1">
        <f t="array" ref="BO9">INDEX('Hard Costs'!$J$16:$EL$16,,MATCH(Model!BO$4,'Hard Costs'!$J$4:$EL$4,0))</f>
        <v>0</v>
      </c>
      <c r="BP9" s="24" cm="1">
        <f t="array" ref="BP9">INDEX('Hard Costs'!$J$16:$EL$16,,MATCH(Model!BP$4,'Hard Costs'!$J$4:$EL$4,0))</f>
        <v>0</v>
      </c>
      <c r="BQ9" s="24" cm="1">
        <f t="array" ref="BQ9">INDEX('Hard Costs'!$J$16:$EL$16,,MATCH(Model!BQ$4,'Hard Costs'!$J$4:$EL$4,0))</f>
        <v>0</v>
      </c>
      <c r="BR9" s="24" cm="1">
        <f t="array" ref="BR9">INDEX('Hard Costs'!$J$16:$EL$16,,MATCH(Model!BR$4,'Hard Costs'!$J$4:$EL$4,0))</f>
        <v>0</v>
      </c>
      <c r="BS9" s="24" cm="1">
        <f t="array" ref="BS9">INDEX('Hard Costs'!$J$16:$EL$16,,MATCH(Model!BS$4,'Hard Costs'!$J$4:$EL$4,0))</f>
        <v>0</v>
      </c>
      <c r="BT9" s="24" cm="1">
        <f t="array" ref="BT9">INDEX('Hard Costs'!$J$16:$EL$16,,MATCH(Model!BT$4,'Hard Costs'!$J$4:$EL$4,0))</f>
        <v>0</v>
      </c>
      <c r="BU9" s="24" cm="1">
        <f t="array" ref="BU9">INDEX('Hard Costs'!$J$16:$EL$16,,MATCH(Model!BU$4,'Hard Costs'!$J$4:$EL$4,0))</f>
        <v>0</v>
      </c>
      <c r="BV9" s="24" cm="1">
        <f t="array" ref="BV9">INDEX('Hard Costs'!$J$16:$EL$16,,MATCH(Model!BV$4,'Hard Costs'!$J$4:$EL$4,0))</f>
        <v>0</v>
      </c>
      <c r="BW9" s="24" cm="1">
        <f t="array" ref="BW9">INDEX('Hard Costs'!$J$16:$EL$16,,MATCH(Model!BW$4,'Hard Costs'!$J$4:$EL$4,0))</f>
        <v>0</v>
      </c>
      <c r="BX9" s="24" cm="1">
        <f t="array" ref="BX9">INDEX('Hard Costs'!$J$16:$EL$16,,MATCH(Model!BX$4,'Hard Costs'!$J$4:$EL$4,0))</f>
        <v>0</v>
      </c>
      <c r="BY9" s="24" cm="1">
        <f t="array" ref="BY9">INDEX('Hard Costs'!$J$16:$EL$16,,MATCH(Model!BY$4,'Hard Costs'!$J$4:$EL$4,0))</f>
        <v>0</v>
      </c>
      <c r="BZ9" s="24" cm="1">
        <f t="array" ref="BZ9">INDEX('Hard Costs'!$J$16:$EL$16,,MATCH(Model!BZ$4,'Hard Costs'!$J$4:$EL$4,0))</f>
        <v>0</v>
      </c>
      <c r="CA9" s="24" cm="1">
        <f t="array" ref="CA9">INDEX('Hard Costs'!$J$16:$EL$16,,MATCH(Model!CA$4,'Hard Costs'!$J$4:$EL$4,0))</f>
        <v>0</v>
      </c>
      <c r="CB9" s="24" cm="1">
        <f t="array" ref="CB9">INDEX('Hard Costs'!$J$16:$EL$16,,MATCH(Model!CB$4,'Hard Costs'!$J$4:$EL$4,0))</f>
        <v>0</v>
      </c>
      <c r="CC9" s="24" cm="1">
        <f t="array" ref="CC9">INDEX('Hard Costs'!$J$16:$EL$16,,MATCH(Model!CC$4,'Hard Costs'!$J$4:$EL$4,0))</f>
        <v>0</v>
      </c>
      <c r="CD9" s="24" cm="1">
        <f t="array" ref="CD9">INDEX('Hard Costs'!$J$16:$EL$16,,MATCH(Model!CD$4,'Hard Costs'!$J$4:$EL$4,0))</f>
        <v>0</v>
      </c>
      <c r="CE9" s="24" cm="1">
        <f t="array" ref="CE9">INDEX('Hard Costs'!$J$16:$EL$16,,MATCH(Model!CE$4,'Hard Costs'!$J$4:$EL$4,0))</f>
        <v>0</v>
      </c>
      <c r="CF9" s="24" cm="1">
        <f t="array" ref="CF9">INDEX('Hard Costs'!$J$16:$EL$16,,MATCH(Model!CF$4,'Hard Costs'!$J$4:$EL$4,0))</f>
        <v>0</v>
      </c>
      <c r="CG9" s="24" cm="1">
        <f t="array" ref="CG9">INDEX('Hard Costs'!$J$16:$EL$16,,MATCH(Model!CG$4,'Hard Costs'!$J$4:$EL$4,0))</f>
        <v>0</v>
      </c>
      <c r="CH9" s="24" cm="1">
        <f t="array" ref="CH9">INDEX('Hard Costs'!$J$16:$EL$16,,MATCH(Model!CH$4,'Hard Costs'!$J$4:$EL$4,0))</f>
        <v>0</v>
      </c>
      <c r="CI9" s="24" cm="1">
        <f t="array" ref="CI9">INDEX('Hard Costs'!$J$16:$EL$16,,MATCH(Model!CI$4,'Hard Costs'!$J$4:$EL$4,0))</f>
        <v>0</v>
      </c>
      <c r="CJ9" s="24" cm="1">
        <f t="array" ref="CJ9">INDEX('Hard Costs'!$J$16:$EL$16,,MATCH(Model!CJ$4,'Hard Costs'!$J$4:$EL$4,0))</f>
        <v>0</v>
      </c>
      <c r="CK9" s="24" cm="1">
        <f t="array" ref="CK9">INDEX('Hard Costs'!$J$16:$EL$16,,MATCH(Model!CK$4,'Hard Costs'!$J$4:$EL$4,0))</f>
        <v>0</v>
      </c>
      <c r="CL9" s="24" cm="1">
        <f t="array" ref="CL9">INDEX('Hard Costs'!$J$16:$EL$16,,MATCH(Model!CL$4,'Hard Costs'!$J$4:$EL$4,0))</f>
        <v>0</v>
      </c>
      <c r="CM9" s="24" cm="1">
        <f t="array" ref="CM9">INDEX('Hard Costs'!$J$16:$EL$16,,MATCH(Model!CM$4,'Hard Costs'!$J$4:$EL$4,0))</f>
        <v>0</v>
      </c>
      <c r="CN9" s="24" cm="1">
        <f t="array" ref="CN9">INDEX('Hard Costs'!$J$16:$EL$16,,MATCH(Model!CN$4,'Hard Costs'!$J$4:$EL$4,0))</f>
        <v>0</v>
      </c>
      <c r="CO9" s="24" cm="1">
        <f t="array" ref="CO9">INDEX('Hard Costs'!$J$16:$EL$16,,MATCH(Model!CO$4,'Hard Costs'!$J$4:$EL$4,0))</f>
        <v>0</v>
      </c>
      <c r="CP9" s="24" cm="1">
        <f t="array" ref="CP9">INDEX('Hard Costs'!$J$16:$EL$16,,MATCH(Model!CP$4,'Hard Costs'!$J$4:$EL$4,0))</f>
        <v>0</v>
      </c>
      <c r="CQ9" s="24" cm="1">
        <f t="array" ref="CQ9">INDEX('Hard Costs'!$J$16:$EL$16,,MATCH(Model!CQ$4,'Hard Costs'!$J$4:$EL$4,0))</f>
        <v>0</v>
      </c>
      <c r="CR9" s="24" cm="1">
        <f t="array" ref="CR9">INDEX('Hard Costs'!$J$16:$EL$16,,MATCH(Model!CR$4,'Hard Costs'!$J$4:$EL$4,0))</f>
        <v>0</v>
      </c>
      <c r="CS9" s="24" cm="1">
        <f t="array" ref="CS9">INDEX('Hard Costs'!$J$16:$EL$16,,MATCH(Model!CS$4,'Hard Costs'!$J$4:$EL$4,0))</f>
        <v>0</v>
      </c>
      <c r="CT9" s="24" cm="1">
        <f t="array" ref="CT9">INDEX('Hard Costs'!$J$16:$EL$16,,MATCH(Model!CT$4,'Hard Costs'!$J$4:$EL$4,0))</f>
        <v>0</v>
      </c>
      <c r="CU9" s="24" cm="1">
        <f t="array" ref="CU9">INDEX('Hard Costs'!$J$16:$EL$16,,MATCH(Model!CU$4,'Hard Costs'!$J$4:$EL$4,0))</f>
        <v>0</v>
      </c>
      <c r="CV9" s="24" cm="1">
        <f t="array" ref="CV9">INDEX('Hard Costs'!$J$16:$EL$16,,MATCH(Model!CV$4,'Hard Costs'!$J$4:$EL$4,0))</f>
        <v>0</v>
      </c>
      <c r="CW9" s="24" cm="1">
        <f t="array" ref="CW9">INDEX('Hard Costs'!$J$16:$EL$16,,MATCH(Model!CW$4,'Hard Costs'!$J$4:$EL$4,0))</f>
        <v>0</v>
      </c>
      <c r="CX9" s="24" cm="1">
        <f t="array" ref="CX9">INDEX('Hard Costs'!$J$16:$EL$16,,MATCH(Model!CX$4,'Hard Costs'!$J$4:$EL$4,0))</f>
        <v>0</v>
      </c>
      <c r="CY9" s="24" cm="1">
        <f t="array" ref="CY9">INDEX('Hard Costs'!$J$16:$EL$16,,MATCH(Model!CY$4,'Hard Costs'!$J$4:$EL$4,0))</f>
        <v>0</v>
      </c>
      <c r="CZ9" s="24" cm="1">
        <f t="array" ref="CZ9">INDEX('Hard Costs'!$J$16:$EL$16,,MATCH(Model!CZ$4,'Hard Costs'!$J$4:$EL$4,0))</f>
        <v>0</v>
      </c>
      <c r="DA9" s="24" cm="1">
        <f t="array" ref="DA9">INDEX('Hard Costs'!$J$16:$EL$16,,MATCH(Model!DA$4,'Hard Costs'!$J$4:$EL$4,0))</f>
        <v>0</v>
      </c>
      <c r="DB9" s="24" cm="1">
        <f t="array" ref="DB9">INDEX('Hard Costs'!$J$16:$EL$16,,MATCH(Model!DB$4,'Hard Costs'!$J$4:$EL$4,0))</f>
        <v>0</v>
      </c>
      <c r="DC9" s="24" cm="1">
        <f t="array" ref="DC9">INDEX('Hard Costs'!$J$16:$EL$16,,MATCH(Model!DC$4,'Hard Costs'!$J$4:$EL$4,0))</f>
        <v>0</v>
      </c>
      <c r="DD9" s="24" cm="1">
        <f t="array" ref="DD9">INDEX('Hard Costs'!$J$16:$EL$16,,MATCH(Model!DD$4,'Hard Costs'!$J$4:$EL$4,0))</f>
        <v>0</v>
      </c>
      <c r="DE9" s="24" cm="1">
        <f t="array" ref="DE9">INDEX('Hard Costs'!$J$16:$EL$16,,MATCH(Model!DE$4,'Hard Costs'!$J$4:$EL$4,0))</f>
        <v>0</v>
      </c>
      <c r="DF9" s="24" cm="1">
        <f t="array" ref="DF9">INDEX('Hard Costs'!$J$16:$EL$16,,MATCH(Model!DF$4,'Hard Costs'!$J$4:$EL$4,0))</f>
        <v>0</v>
      </c>
      <c r="DG9" s="24" cm="1">
        <f t="array" ref="DG9">INDEX('Hard Costs'!$J$16:$EL$16,,MATCH(Model!DG$4,'Hard Costs'!$J$4:$EL$4,0))</f>
        <v>0</v>
      </c>
      <c r="DH9" s="24" cm="1">
        <f t="array" ref="DH9">INDEX('Hard Costs'!$J$16:$EL$16,,MATCH(Model!DH$4,'Hard Costs'!$J$4:$EL$4,0))</f>
        <v>0</v>
      </c>
      <c r="DI9" s="24" cm="1">
        <f t="array" ref="DI9">INDEX('Hard Costs'!$J$16:$EL$16,,MATCH(Model!DI$4,'Hard Costs'!$J$4:$EL$4,0))</f>
        <v>0</v>
      </c>
      <c r="DJ9" s="24" cm="1">
        <f t="array" ref="DJ9">INDEX('Hard Costs'!$J$16:$EL$16,,MATCH(Model!DJ$4,'Hard Costs'!$J$4:$EL$4,0))</f>
        <v>0</v>
      </c>
      <c r="DK9" s="24" cm="1">
        <f t="array" ref="DK9">INDEX('Hard Costs'!$J$16:$EL$16,,MATCH(Model!DK$4,'Hard Costs'!$J$4:$EL$4,0))</f>
        <v>0</v>
      </c>
      <c r="DL9" s="24" cm="1">
        <f t="array" ref="DL9">INDEX('Hard Costs'!$J$16:$EL$16,,MATCH(Model!DL$4,'Hard Costs'!$J$4:$EL$4,0))</f>
        <v>0</v>
      </c>
      <c r="DM9" s="24" cm="1">
        <f t="array" ref="DM9">INDEX('Hard Costs'!$J$16:$EL$16,,MATCH(Model!DM$4,'Hard Costs'!$J$4:$EL$4,0))</f>
        <v>0</v>
      </c>
      <c r="DN9" s="24" cm="1">
        <f t="array" ref="DN9">INDEX('Hard Costs'!$J$16:$EL$16,,MATCH(Model!DN$4,'Hard Costs'!$J$4:$EL$4,0))</f>
        <v>0</v>
      </c>
      <c r="DO9" s="24" cm="1">
        <f t="array" ref="DO9">INDEX('Hard Costs'!$J$16:$EL$16,,MATCH(Model!DO$4,'Hard Costs'!$J$4:$EL$4,0))</f>
        <v>0</v>
      </c>
      <c r="DP9" s="24" cm="1">
        <f t="array" ref="DP9">INDEX('Hard Costs'!$J$16:$EL$16,,MATCH(Model!DP$4,'Hard Costs'!$J$4:$EL$4,0))</f>
        <v>0</v>
      </c>
      <c r="DQ9" s="24" cm="1">
        <f t="array" ref="DQ9">INDEX('Hard Costs'!$J$16:$EL$16,,MATCH(Model!DQ$4,'Hard Costs'!$J$4:$EL$4,0))</f>
        <v>0</v>
      </c>
      <c r="DR9" s="24" cm="1">
        <f t="array" ref="DR9">INDEX('Hard Costs'!$J$16:$EL$16,,MATCH(Model!DR$4,'Hard Costs'!$J$4:$EL$4,0))</f>
        <v>0</v>
      </c>
      <c r="DS9" s="24" cm="1">
        <f t="array" ref="DS9">INDEX('Hard Costs'!$J$16:$EL$16,,MATCH(Model!DS$4,'Hard Costs'!$J$4:$EL$4,0))</f>
        <v>0</v>
      </c>
      <c r="DT9" s="24" cm="1">
        <f t="array" ref="DT9">INDEX('Hard Costs'!$J$16:$EL$16,,MATCH(Model!DT$4,'Hard Costs'!$J$4:$EL$4,0))</f>
        <v>0</v>
      </c>
      <c r="DU9" s="24" cm="1">
        <f t="array" ref="DU9">INDEX('Hard Costs'!$J$16:$EL$16,,MATCH(Model!DU$4,'Hard Costs'!$J$4:$EL$4,0))</f>
        <v>0</v>
      </c>
      <c r="DV9" s="24" cm="1">
        <f t="array" ref="DV9">INDEX('Hard Costs'!$J$16:$EL$16,,MATCH(Model!DV$4,'Hard Costs'!$J$4:$EL$4,0))</f>
        <v>0</v>
      </c>
      <c r="DW9" s="24" cm="1">
        <f t="array" ref="DW9">INDEX('Hard Costs'!$J$16:$EL$16,,MATCH(Model!DW$4,'Hard Costs'!$J$4:$EL$4,0))</f>
        <v>0</v>
      </c>
      <c r="DX9" s="24" cm="1">
        <f t="array" ref="DX9">INDEX('Hard Costs'!$J$16:$EL$16,,MATCH(Model!DX$4,'Hard Costs'!$J$4:$EL$4,0))</f>
        <v>0</v>
      </c>
      <c r="DY9" s="24" cm="1">
        <f t="array" ref="DY9">INDEX('Hard Costs'!$J$16:$EL$16,,MATCH(Model!DY$4,'Hard Costs'!$J$4:$EL$4,0))</f>
        <v>0</v>
      </c>
      <c r="DZ9" s="24" cm="1">
        <f t="array" ref="DZ9">INDEX('Hard Costs'!$J$16:$EL$16,,MATCH(Model!DZ$4,'Hard Costs'!$J$4:$EL$4,0))</f>
        <v>0</v>
      </c>
      <c r="EA9" s="24" cm="1">
        <f t="array" ref="EA9">INDEX('Hard Costs'!$J$16:$EL$16,,MATCH(Model!EA$4,'Hard Costs'!$J$4:$EL$4,0))</f>
        <v>0</v>
      </c>
      <c r="EB9" s="24" cm="1">
        <f t="array" ref="EB9">INDEX('Hard Costs'!$J$16:$EL$16,,MATCH(Model!EB$4,'Hard Costs'!$J$4:$EL$4,0))</f>
        <v>0</v>
      </c>
      <c r="EC9" s="24" cm="1">
        <f t="array" ref="EC9">INDEX('Hard Costs'!$J$16:$EL$16,,MATCH(Model!EC$4,'Hard Costs'!$J$4:$EL$4,0))</f>
        <v>0</v>
      </c>
      <c r="ED9" s="24" cm="1">
        <f t="array" ref="ED9">INDEX('Hard Costs'!$J$16:$EL$16,,MATCH(Model!ED$4,'Hard Costs'!$J$4:$EL$4,0))</f>
        <v>0</v>
      </c>
      <c r="EE9" s="24" cm="1">
        <f t="array" ref="EE9">INDEX('Hard Costs'!$J$16:$EL$16,,MATCH(Model!EE$4,'Hard Costs'!$J$4:$EL$4,0))</f>
        <v>0</v>
      </c>
      <c r="EF9" s="24" cm="1">
        <f t="array" ref="EF9">INDEX('Hard Costs'!$J$16:$EL$16,,MATCH(Model!EF$4,'Hard Costs'!$J$4:$EL$4,0))</f>
        <v>0</v>
      </c>
      <c r="EG9" s="24" cm="1">
        <f t="array" ref="EG9">INDEX('Hard Costs'!$J$16:$EL$16,,MATCH(Model!EG$4,'Hard Costs'!$J$4:$EL$4,0))</f>
        <v>0</v>
      </c>
      <c r="EH9" s="24" cm="1">
        <f t="array" ref="EH9">INDEX('Hard Costs'!$J$16:$EL$16,,MATCH(Model!EH$4,'Hard Costs'!$J$4:$EL$4,0))</f>
        <v>0</v>
      </c>
      <c r="EI9" s="24" cm="1">
        <f t="array" ref="EI9">INDEX('Hard Costs'!$J$16:$EL$16,,MATCH(Model!EI$4,'Hard Costs'!$J$4:$EL$4,0))</f>
        <v>0</v>
      </c>
      <c r="EM9" s="1" t="s">
        <v>191</v>
      </c>
    </row>
    <row r="10" spans="2:143" x14ac:dyDescent="0.45">
      <c r="B10" s="41">
        <f t="shared" si="250"/>
        <v>-19458690.834998675</v>
      </c>
      <c r="D10" s="4" t="s">
        <v>27</v>
      </c>
      <c r="E10" s="4"/>
      <c r="F10" s="4"/>
      <c r="G10" s="26">
        <f t="shared" ref="G10:AL10" si="251">-SUM(G5:G9)</f>
        <v>-16901390.834998686</v>
      </c>
      <c r="H10" s="26">
        <f t="shared" si="251"/>
        <v>0</v>
      </c>
      <c r="I10" s="26">
        <f t="shared" si="251"/>
        <v>-97652.173913043473</v>
      </c>
      <c r="J10" s="26">
        <f t="shared" si="251"/>
        <v>-97652.173913043473</v>
      </c>
      <c r="K10" s="26">
        <f t="shared" si="251"/>
        <v>-97652.173913043473</v>
      </c>
      <c r="L10" s="26">
        <f t="shared" si="251"/>
        <v>-145152.17391304346</v>
      </c>
      <c r="M10" s="26">
        <f t="shared" si="251"/>
        <v>-135152.17391304346</v>
      </c>
      <c r="N10" s="26">
        <f t="shared" si="251"/>
        <v>-97652.173913043473</v>
      </c>
      <c r="O10" s="26">
        <f t="shared" si="251"/>
        <v>-97652.173913043473</v>
      </c>
      <c r="P10" s="26">
        <f t="shared" si="251"/>
        <v>-97652.173913043473</v>
      </c>
      <c r="Q10" s="26">
        <f t="shared" si="251"/>
        <v>-102652.17391304347</v>
      </c>
      <c r="R10" s="26">
        <f t="shared" si="251"/>
        <v>-97652.173913043473</v>
      </c>
      <c r="S10" s="26">
        <f t="shared" si="251"/>
        <v>-96652.173913043473</v>
      </c>
      <c r="T10" s="26">
        <f t="shared" si="251"/>
        <v>-96652.173913043473</v>
      </c>
      <c r="U10" s="26">
        <f t="shared" si="251"/>
        <v>-96652.173913043473</v>
      </c>
      <c r="V10" s="26">
        <f t="shared" si="251"/>
        <v>-96652.173913043473</v>
      </c>
      <c r="W10" s="26">
        <f t="shared" si="251"/>
        <v>-96652.173913043473</v>
      </c>
      <c r="X10" s="26">
        <f t="shared" si="251"/>
        <v>-96652.173913043473</v>
      </c>
      <c r="Y10" s="26">
        <f t="shared" si="251"/>
        <v>-96652.173913043473</v>
      </c>
      <c r="Z10" s="26">
        <f t="shared" si="251"/>
        <v>-96652.173913043473</v>
      </c>
      <c r="AA10" s="26">
        <f t="shared" si="251"/>
        <v>-96652.173913043473</v>
      </c>
      <c r="AB10" s="26">
        <f t="shared" si="251"/>
        <v>-96652.173913043473</v>
      </c>
      <c r="AC10" s="26">
        <f t="shared" si="251"/>
        <v>-96652.173913043473</v>
      </c>
      <c r="AD10" s="26">
        <f t="shared" si="251"/>
        <v>-96652.173913043473</v>
      </c>
      <c r="AE10" s="26">
        <f t="shared" si="251"/>
        <v>-330952.17391304346</v>
      </c>
      <c r="AF10" s="26">
        <f t="shared" si="251"/>
        <v>0</v>
      </c>
      <c r="AG10" s="26">
        <f t="shared" si="251"/>
        <v>0</v>
      </c>
      <c r="AH10" s="26">
        <f t="shared" si="251"/>
        <v>0</v>
      </c>
      <c r="AI10" s="26">
        <f t="shared" si="251"/>
        <v>0</v>
      </c>
      <c r="AJ10" s="26">
        <f t="shared" si="251"/>
        <v>0</v>
      </c>
      <c r="AK10" s="26">
        <f t="shared" si="251"/>
        <v>0</v>
      </c>
      <c r="AL10" s="26">
        <f t="shared" si="251"/>
        <v>0</v>
      </c>
      <c r="AM10" s="26">
        <f t="shared" ref="AM10:BR10" si="252">-SUM(AM5:AM9)</f>
        <v>0</v>
      </c>
      <c r="AN10" s="26">
        <f t="shared" si="252"/>
        <v>0</v>
      </c>
      <c r="AO10" s="26">
        <f t="shared" si="252"/>
        <v>0</v>
      </c>
      <c r="AP10" s="26">
        <f t="shared" si="252"/>
        <v>0</v>
      </c>
      <c r="AQ10" s="26">
        <f t="shared" si="252"/>
        <v>0</v>
      </c>
      <c r="AR10" s="26">
        <f t="shared" si="252"/>
        <v>0</v>
      </c>
      <c r="AS10" s="26">
        <f t="shared" si="252"/>
        <v>0</v>
      </c>
      <c r="AT10" s="26">
        <f t="shared" si="252"/>
        <v>0</v>
      </c>
      <c r="AU10" s="26">
        <f t="shared" si="252"/>
        <v>0</v>
      </c>
      <c r="AV10" s="26">
        <f t="shared" si="252"/>
        <v>0</v>
      </c>
      <c r="AW10" s="26">
        <f t="shared" si="252"/>
        <v>0</v>
      </c>
      <c r="AX10" s="26">
        <f t="shared" si="252"/>
        <v>0</v>
      </c>
      <c r="AY10" s="26">
        <f t="shared" si="252"/>
        <v>0</v>
      </c>
      <c r="AZ10" s="26">
        <f t="shared" si="252"/>
        <v>0</v>
      </c>
      <c r="BA10" s="26">
        <f t="shared" si="252"/>
        <v>0</v>
      </c>
      <c r="BB10" s="26">
        <f t="shared" si="252"/>
        <v>0</v>
      </c>
      <c r="BC10" s="26">
        <f t="shared" si="252"/>
        <v>0</v>
      </c>
      <c r="BD10" s="26">
        <f t="shared" si="252"/>
        <v>0</v>
      </c>
      <c r="BE10" s="26">
        <f t="shared" si="252"/>
        <v>0</v>
      </c>
      <c r="BF10" s="26">
        <f t="shared" si="252"/>
        <v>0</v>
      </c>
      <c r="BG10" s="26">
        <f t="shared" si="252"/>
        <v>0</v>
      </c>
      <c r="BH10" s="26">
        <f t="shared" si="252"/>
        <v>0</v>
      </c>
      <c r="BI10" s="26">
        <f t="shared" si="252"/>
        <v>0</v>
      </c>
      <c r="BJ10" s="26">
        <f t="shared" si="252"/>
        <v>0</v>
      </c>
      <c r="BK10" s="26">
        <f t="shared" si="252"/>
        <v>0</v>
      </c>
      <c r="BL10" s="26">
        <f t="shared" si="252"/>
        <v>0</v>
      </c>
      <c r="BM10" s="26">
        <f t="shared" si="252"/>
        <v>0</v>
      </c>
      <c r="BN10" s="26">
        <f t="shared" si="252"/>
        <v>0</v>
      </c>
      <c r="BO10" s="26">
        <f t="shared" si="252"/>
        <v>0</v>
      </c>
      <c r="BP10" s="26">
        <f t="shared" si="252"/>
        <v>0</v>
      </c>
      <c r="BQ10" s="26">
        <f t="shared" si="252"/>
        <v>0</v>
      </c>
      <c r="BR10" s="26">
        <f t="shared" si="252"/>
        <v>0</v>
      </c>
      <c r="BS10" s="26">
        <f t="shared" ref="BS10:CV10" si="253">-SUM(BS5:BS9)</f>
        <v>0</v>
      </c>
      <c r="BT10" s="26">
        <f t="shared" si="253"/>
        <v>0</v>
      </c>
      <c r="BU10" s="26">
        <f t="shared" si="253"/>
        <v>0</v>
      </c>
      <c r="BV10" s="26">
        <f t="shared" si="253"/>
        <v>0</v>
      </c>
      <c r="BW10" s="26">
        <f t="shared" si="253"/>
        <v>0</v>
      </c>
      <c r="BX10" s="26">
        <f t="shared" si="253"/>
        <v>0</v>
      </c>
      <c r="BY10" s="26">
        <f t="shared" si="253"/>
        <v>0</v>
      </c>
      <c r="BZ10" s="26">
        <f t="shared" si="253"/>
        <v>0</v>
      </c>
      <c r="CA10" s="26">
        <f t="shared" si="253"/>
        <v>0</v>
      </c>
      <c r="CB10" s="26">
        <f t="shared" si="253"/>
        <v>0</v>
      </c>
      <c r="CC10" s="26">
        <f t="shared" si="253"/>
        <v>0</v>
      </c>
      <c r="CD10" s="26">
        <f t="shared" si="253"/>
        <v>0</v>
      </c>
      <c r="CE10" s="26">
        <f t="shared" si="253"/>
        <v>0</v>
      </c>
      <c r="CF10" s="26">
        <f t="shared" si="253"/>
        <v>0</v>
      </c>
      <c r="CG10" s="26">
        <f t="shared" si="253"/>
        <v>0</v>
      </c>
      <c r="CH10" s="26">
        <f t="shared" si="253"/>
        <v>0</v>
      </c>
      <c r="CI10" s="26">
        <f t="shared" si="253"/>
        <v>0</v>
      </c>
      <c r="CJ10" s="26">
        <f t="shared" si="253"/>
        <v>0</v>
      </c>
      <c r="CK10" s="26">
        <f t="shared" si="253"/>
        <v>0</v>
      </c>
      <c r="CL10" s="26">
        <f t="shared" si="253"/>
        <v>0</v>
      </c>
      <c r="CM10" s="26">
        <f t="shared" si="253"/>
        <v>0</v>
      </c>
      <c r="CN10" s="26">
        <f t="shared" si="253"/>
        <v>0</v>
      </c>
      <c r="CO10" s="26">
        <f t="shared" si="253"/>
        <v>0</v>
      </c>
      <c r="CP10" s="26">
        <f t="shared" si="253"/>
        <v>0</v>
      </c>
      <c r="CQ10" s="26">
        <f t="shared" si="253"/>
        <v>0</v>
      </c>
      <c r="CR10" s="26">
        <f t="shared" si="253"/>
        <v>0</v>
      </c>
      <c r="CS10" s="26">
        <f t="shared" si="253"/>
        <v>0</v>
      </c>
      <c r="CT10" s="26">
        <f t="shared" si="253"/>
        <v>0</v>
      </c>
      <c r="CU10" s="26">
        <f t="shared" si="253"/>
        <v>0</v>
      </c>
      <c r="CV10" s="26">
        <f t="shared" si="253"/>
        <v>0</v>
      </c>
      <c r="CW10" s="26">
        <f t="shared" ref="CW10:EI10" si="254">-SUM(CW5:CW9)</f>
        <v>0</v>
      </c>
      <c r="CX10" s="26">
        <f t="shared" si="254"/>
        <v>0</v>
      </c>
      <c r="CY10" s="26">
        <f t="shared" si="254"/>
        <v>0</v>
      </c>
      <c r="CZ10" s="26">
        <f t="shared" si="254"/>
        <v>0</v>
      </c>
      <c r="DA10" s="26">
        <f t="shared" si="254"/>
        <v>0</v>
      </c>
      <c r="DB10" s="26">
        <f t="shared" si="254"/>
        <v>0</v>
      </c>
      <c r="DC10" s="26">
        <f t="shared" si="254"/>
        <v>0</v>
      </c>
      <c r="DD10" s="26">
        <f t="shared" si="254"/>
        <v>0</v>
      </c>
      <c r="DE10" s="26">
        <f t="shared" si="254"/>
        <v>0</v>
      </c>
      <c r="DF10" s="26">
        <f t="shared" si="254"/>
        <v>0</v>
      </c>
      <c r="DG10" s="26">
        <f t="shared" si="254"/>
        <v>0</v>
      </c>
      <c r="DH10" s="26">
        <f t="shared" si="254"/>
        <v>0</v>
      </c>
      <c r="DI10" s="26">
        <f t="shared" si="254"/>
        <v>0</v>
      </c>
      <c r="DJ10" s="26">
        <f t="shared" si="254"/>
        <v>0</v>
      </c>
      <c r="DK10" s="26">
        <f t="shared" si="254"/>
        <v>0</v>
      </c>
      <c r="DL10" s="26">
        <f t="shared" si="254"/>
        <v>0</v>
      </c>
      <c r="DM10" s="26">
        <f t="shared" si="254"/>
        <v>0</v>
      </c>
      <c r="DN10" s="26">
        <f t="shared" si="254"/>
        <v>0</v>
      </c>
      <c r="DO10" s="26">
        <f t="shared" si="254"/>
        <v>0</v>
      </c>
      <c r="DP10" s="26">
        <f t="shared" si="254"/>
        <v>0</v>
      </c>
      <c r="DQ10" s="26">
        <f t="shared" si="254"/>
        <v>0</v>
      </c>
      <c r="DR10" s="26">
        <f t="shared" si="254"/>
        <v>0</v>
      </c>
      <c r="DS10" s="26">
        <f t="shared" si="254"/>
        <v>0</v>
      </c>
      <c r="DT10" s="26">
        <f t="shared" si="254"/>
        <v>0</v>
      </c>
      <c r="DU10" s="26">
        <f t="shared" si="254"/>
        <v>0</v>
      </c>
      <c r="DV10" s="26">
        <f t="shared" si="254"/>
        <v>0</v>
      </c>
      <c r="DW10" s="26">
        <f t="shared" si="254"/>
        <v>0</v>
      </c>
      <c r="DX10" s="26">
        <f t="shared" si="254"/>
        <v>0</v>
      </c>
      <c r="DY10" s="26">
        <f t="shared" si="254"/>
        <v>0</v>
      </c>
      <c r="DZ10" s="26">
        <f t="shared" si="254"/>
        <v>0</v>
      </c>
      <c r="EA10" s="26">
        <f t="shared" si="254"/>
        <v>0</v>
      </c>
      <c r="EB10" s="26">
        <f t="shared" si="254"/>
        <v>0</v>
      </c>
      <c r="EC10" s="26">
        <f t="shared" si="254"/>
        <v>0</v>
      </c>
      <c r="ED10" s="26">
        <f t="shared" si="254"/>
        <v>0</v>
      </c>
      <c r="EE10" s="26">
        <f t="shared" si="254"/>
        <v>0</v>
      </c>
      <c r="EF10" s="26">
        <f t="shared" si="254"/>
        <v>0</v>
      </c>
      <c r="EG10" s="26">
        <f t="shared" si="254"/>
        <v>0</v>
      </c>
      <c r="EH10" s="26">
        <f t="shared" si="254"/>
        <v>0</v>
      </c>
      <c r="EI10" s="26">
        <f t="shared" si="254"/>
        <v>0</v>
      </c>
      <c r="EM10" s="1" t="s">
        <v>191</v>
      </c>
    </row>
    <row r="11" spans="2:143" x14ac:dyDescent="0.45"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M11" s="1" t="s">
        <v>191</v>
      </c>
    </row>
    <row r="12" spans="2:143" hidden="1" outlineLevel="1" x14ac:dyDescent="0.45">
      <c r="D12" s="1" t="s">
        <v>10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M12" s="1" t="s">
        <v>191</v>
      </c>
    </row>
    <row r="13" spans="2:143" hidden="1" outlineLevel="1" x14ac:dyDescent="0.45">
      <c r="D13" s="1" t="s">
        <v>11</v>
      </c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M13" s="1" t="s">
        <v>191</v>
      </c>
    </row>
    <row r="14" spans="2:143" hidden="1" outlineLevel="1" x14ac:dyDescent="0.45">
      <c r="D14" s="3" t="s">
        <v>12</v>
      </c>
      <c r="E14" s="3"/>
      <c r="F14" s="3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M14" s="1" t="s">
        <v>191</v>
      </c>
    </row>
    <row r="15" spans="2:143" hidden="1" outlineLevel="1" x14ac:dyDescent="0.45"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M15" s="1" t="s">
        <v>191</v>
      </c>
    </row>
    <row r="16" spans="2:143" collapsed="1" x14ac:dyDescent="0.45">
      <c r="D16" s="1" t="s">
        <v>13</v>
      </c>
      <c r="G16" s="24">
        <f>IF(G$4=Assumptions!$J$174,Assumptions!$J$177,0)</f>
        <v>0</v>
      </c>
      <c r="H16" s="24">
        <f>IF(H$4=Assumptions!$J$174,Assumptions!$J$177,0)</f>
        <v>0</v>
      </c>
      <c r="I16" s="24">
        <f>IF(I$4=Assumptions!$J$174,Assumptions!$J$177,0)</f>
        <v>0</v>
      </c>
      <c r="J16" s="24">
        <f>IF(J$4=Assumptions!$J$174,Assumptions!$J$177,0)</f>
        <v>0</v>
      </c>
      <c r="K16" s="24">
        <f>IF(K$4=Assumptions!$J$174,Assumptions!$J$177,0)</f>
        <v>0</v>
      </c>
      <c r="L16" s="24">
        <f>IF(L$4=Assumptions!$J$174,Assumptions!$J$177,0)</f>
        <v>0</v>
      </c>
      <c r="M16" s="24">
        <f>IF(M$4=Assumptions!$J$174,Assumptions!$J$177,0)</f>
        <v>0</v>
      </c>
      <c r="N16" s="24">
        <f>IF(N$4=Assumptions!$J$174,Assumptions!$J$177,0)</f>
        <v>0</v>
      </c>
      <c r="O16" s="24">
        <f>IF(O$4=Assumptions!$J$174,Assumptions!$J$177,0)</f>
        <v>0</v>
      </c>
      <c r="P16" s="24">
        <f>IF(P$4=Assumptions!$J$174,Assumptions!$J$177,0)</f>
        <v>0</v>
      </c>
      <c r="Q16" s="24">
        <f>IF(Q$4=Assumptions!$J$174,Assumptions!$J$177,0)</f>
        <v>0</v>
      </c>
      <c r="R16" s="24">
        <f>IF(R$4=Assumptions!$J$174,Assumptions!$J$177,0)</f>
        <v>0</v>
      </c>
      <c r="S16" s="24">
        <f>IF(S$4=Assumptions!$J$174,Assumptions!$J$177,0)</f>
        <v>0</v>
      </c>
      <c r="T16" s="24">
        <f>IF(T$4=Assumptions!$J$174,Assumptions!$J$177,0)</f>
        <v>0</v>
      </c>
      <c r="U16" s="24">
        <f>IF(U$4=Assumptions!$J$174,Assumptions!$J$177,0)</f>
        <v>0</v>
      </c>
      <c r="V16" s="24">
        <f>IF(V$4=Assumptions!$J$174,Assumptions!$J$177,0)</f>
        <v>0</v>
      </c>
      <c r="W16" s="24">
        <f>IF(W$4=Assumptions!$J$174,Assumptions!$J$177,0)</f>
        <v>0</v>
      </c>
      <c r="X16" s="24">
        <f>IF(X$4=Assumptions!$J$174,Assumptions!$J$177,0)</f>
        <v>0</v>
      </c>
      <c r="Y16" s="24">
        <f>IF(Y$4=Assumptions!$J$174,Assumptions!$J$177,0)</f>
        <v>0</v>
      </c>
      <c r="Z16" s="24">
        <f>IF(Z$4=Assumptions!$J$174,Assumptions!$J$177,0)</f>
        <v>0</v>
      </c>
      <c r="AA16" s="24">
        <f>IF(AA$4=Assumptions!$J$174,Assumptions!$J$177,0)</f>
        <v>0</v>
      </c>
      <c r="AB16" s="24">
        <f>IF(AB$4=Assumptions!$J$174,Assumptions!$J$177,0)</f>
        <v>0</v>
      </c>
      <c r="AC16" s="24">
        <f>IF(AC$4=Assumptions!$J$174,Assumptions!$J$177,0)</f>
        <v>0</v>
      </c>
      <c r="AD16" s="24">
        <f>IF(AD$4=Assumptions!$J$174,Assumptions!$J$177,0)</f>
        <v>0</v>
      </c>
      <c r="AE16" s="24">
        <f>IF(AE$4=Assumptions!$J$174,Assumptions!$J$177,0)</f>
        <v>0</v>
      </c>
      <c r="AF16" s="24">
        <f>IF(AF$4=Assumptions!$J$174,Assumptions!$J$177,0)</f>
        <v>0</v>
      </c>
      <c r="AG16" s="24">
        <f>IF(AG$4=Assumptions!$J$174,Assumptions!$J$177,0)</f>
        <v>0</v>
      </c>
      <c r="AH16" s="24">
        <f>IF(AH$4=Assumptions!$J$174,Assumptions!$J$177,0)</f>
        <v>0</v>
      </c>
      <c r="AI16" s="24">
        <f>IF(AI$4=Assumptions!$J$174,Assumptions!$J$177,0)</f>
        <v>0</v>
      </c>
      <c r="AJ16" s="24">
        <f>IF(AJ$4=Assumptions!$J$174,Assumptions!$J$177,0)</f>
        <v>0</v>
      </c>
      <c r="AK16" s="24">
        <f>IF(AK$4=Assumptions!$J$174,Assumptions!$J$177,0)</f>
        <v>0</v>
      </c>
      <c r="AL16" s="24">
        <f>IF(AL$4=Assumptions!$J$174,Assumptions!$J$177,0)</f>
        <v>0</v>
      </c>
      <c r="AM16" s="24">
        <f>IF(AM$4=Assumptions!$J$174,Assumptions!$J$177,0)</f>
        <v>0</v>
      </c>
      <c r="AN16" s="24">
        <f>IF(AN$4=Assumptions!$J$174,Assumptions!$J$177,0)</f>
        <v>0</v>
      </c>
      <c r="AO16" s="24">
        <f>IF(AO$4=Assumptions!$J$174,Assumptions!$J$177,0)</f>
        <v>0</v>
      </c>
      <c r="AP16" s="24">
        <f>IF(AP$4=Assumptions!$J$174,Assumptions!$J$177,0)</f>
        <v>0</v>
      </c>
      <c r="AQ16" s="24">
        <f>IF(AQ$4=Assumptions!$J$174,Assumptions!$J$177,0)</f>
        <v>0</v>
      </c>
      <c r="AR16" s="24">
        <f>IF(AR$4=Assumptions!$J$174,Assumptions!$J$177,0)</f>
        <v>0</v>
      </c>
      <c r="AS16" s="24">
        <f>IF(AS$4=Assumptions!$J$174,Assumptions!$J$177,0)</f>
        <v>0</v>
      </c>
      <c r="AT16" s="24">
        <f>IF(AT$4=Assumptions!$J$174,Assumptions!$J$177,0)</f>
        <v>0</v>
      </c>
      <c r="AU16" s="24">
        <f>IF(AU$4=Assumptions!$J$174,Assumptions!$J$177,0)</f>
        <v>0</v>
      </c>
      <c r="AV16" s="24">
        <f>IF(AV$4=Assumptions!$J$174,Assumptions!$J$177,0)</f>
        <v>0</v>
      </c>
      <c r="AW16" s="24">
        <f>IF(AW$4=Assumptions!$J$174,Assumptions!$J$177,0)</f>
        <v>0</v>
      </c>
      <c r="AX16" s="24">
        <f>IF(AX$4=Assumptions!$J$174,Assumptions!$J$177,0)</f>
        <v>0</v>
      </c>
      <c r="AY16" s="24">
        <f>IF(AY$4=Assumptions!$J$174,Assumptions!$J$177,0)</f>
        <v>0</v>
      </c>
      <c r="AZ16" s="24">
        <f>IF(AZ$4=Assumptions!$J$174,Assumptions!$J$177,0)</f>
        <v>0</v>
      </c>
      <c r="BA16" s="24">
        <f>IF(BA$4=Assumptions!$J$174,Assumptions!$J$177,0)</f>
        <v>0</v>
      </c>
      <c r="BB16" s="24">
        <f>IF(BB$4=Assumptions!$J$174,Assumptions!$J$177,0)</f>
        <v>0</v>
      </c>
      <c r="BC16" s="24">
        <f>IF(BC$4=Assumptions!$J$174,Assumptions!$J$177,0)</f>
        <v>0</v>
      </c>
      <c r="BD16" s="24">
        <f>IF(BD$4=Assumptions!$J$174,Assumptions!$J$177,0)</f>
        <v>0</v>
      </c>
      <c r="BE16" s="24">
        <f>IF(BE$4=Assumptions!$J$174,Assumptions!$J$177,0)</f>
        <v>0</v>
      </c>
      <c r="BF16" s="24">
        <f>IF(BF$4=Assumptions!$J$174,Assumptions!$J$177,0)</f>
        <v>0</v>
      </c>
      <c r="BG16" s="24">
        <f>IF(BG$4=Assumptions!$J$174,Assumptions!$J$177,0)</f>
        <v>0</v>
      </c>
      <c r="BH16" s="24">
        <f>IF(BH$4=Assumptions!$J$174,Assumptions!$J$177,0)</f>
        <v>0</v>
      </c>
      <c r="BI16" s="24">
        <f>IF(BI$4=Assumptions!$J$174,Assumptions!$J$177,0)</f>
        <v>0</v>
      </c>
      <c r="BJ16" s="24">
        <f>IF(BJ$4=Assumptions!$J$174,Assumptions!$J$177,0)</f>
        <v>0</v>
      </c>
      <c r="BK16" s="24">
        <f>IF(BK$4=Assumptions!$J$174,Assumptions!$J$177,0)</f>
        <v>0</v>
      </c>
      <c r="BL16" s="24">
        <f>IF(BL$4=Assumptions!$J$174,Assumptions!$J$177,0)</f>
        <v>0</v>
      </c>
      <c r="BM16" s="24">
        <f>IF(BM$4=Assumptions!$J$174,Assumptions!$J$177,0)</f>
        <v>0</v>
      </c>
      <c r="BN16" s="24">
        <f>IF(BN$4=Assumptions!$J$174,Assumptions!$J$177,0)</f>
        <v>0</v>
      </c>
      <c r="BO16" s="24">
        <f>IF(BO$4=Assumptions!$J$174,Assumptions!$J$177,0)</f>
        <v>0</v>
      </c>
      <c r="BP16" s="24">
        <f>IF(BP$4=Assumptions!$J$174,Assumptions!$J$177,0)</f>
        <v>0</v>
      </c>
      <c r="BQ16" s="24">
        <f>IF(BQ$4=Assumptions!$J$174,Assumptions!$J$177,0)</f>
        <v>0</v>
      </c>
      <c r="BR16" s="24">
        <f>IF(BR$4=Assumptions!$J$174,Assumptions!$J$177,0)</f>
        <v>0</v>
      </c>
      <c r="BS16" s="24">
        <f>IF(BS$4=Assumptions!$J$174,Assumptions!$J$177,0)</f>
        <v>0</v>
      </c>
      <c r="BT16" s="24">
        <f>IF(BT$4=Assumptions!$J$174,Assumptions!$J$177,0)</f>
        <v>0</v>
      </c>
      <c r="BU16" s="24">
        <f>IF(BU$4=Assumptions!$J$174,Assumptions!$J$177,0)</f>
        <v>0</v>
      </c>
      <c r="BV16" s="24">
        <f>IF(BV$4=Assumptions!$J$174,Assumptions!$J$177,0)</f>
        <v>0</v>
      </c>
      <c r="BW16" s="24">
        <f>IF(BW$4=Assumptions!$J$174,Assumptions!$J$177,0)</f>
        <v>0</v>
      </c>
      <c r="BX16" s="24">
        <f>IF(BX$4=Assumptions!$J$174,Assumptions!$J$177,0)</f>
        <v>0</v>
      </c>
      <c r="BY16" s="24">
        <f>IF(BY$4=Assumptions!$J$174,Assumptions!$J$177,0)</f>
        <v>0</v>
      </c>
      <c r="BZ16" s="24">
        <f>IF(BZ$4=Assumptions!$J$174,Assumptions!$J$177,0)</f>
        <v>0</v>
      </c>
      <c r="CA16" s="24">
        <f>IF(CA$4=Assumptions!$J$174,Assumptions!$J$177,0)</f>
        <v>0</v>
      </c>
      <c r="CB16" s="24">
        <f>IF(CB$4=Assumptions!$J$174,Assumptions!$J$177,0)</f>
        <v>0</v>
      </c>
      <c r="CC16" s="24">
        <f>IF(CC$4=Assumptions!$J$174,Assumptions!$J$177,0)</f>
        <v>0</v>
      </c>
      <c r="CD16" s="24">
        <f>IF(CD$4=Assumptions!$J$174,Assumptions!$J$177,0)</f>
        <v>0</v>
      </c>
      <c r="CE16" s="24">
        <f>IF(CE$4=Assumptions!$J$174,Assumptions!$J$177,0)</f>
        <v>0</v>
      </c>
      <c r="CF16" s="24">
        <f>IF(CF$4=Assumptions!$J$174,Assumptions!$J$177,0)</f>
        <v>0</v>
      </c>
      <c r="CG16" s="24">
        <f>IF(CG$4=Assumptions!$J$174,Assumptions!$J$177,0)</f>
        <v>0</v>
      </c>
      <c r="CH16" s="24">
        <f>IF(CH$4=Assumptions!$J$174,Assumptions!$J$177,0)</f>
        <v>0</v>
      </c>
      <c r="CI16" s="24">
        <f>IF(CI$4=Assumptions!$J$174,Assumptions!$J$177,0)</f>
        <v>0</v>
      </c>
      <c r="CJ16" s="24">
        <f>IF(CJ$4=Assumptions!$J$174,Assumptions!$J$177,0)</f>
        <v>0</v>
      </c>
      <c r="CK16" s="24">
        <f>IF(CK$4=Assumptions!$J$174,Assumptions!$J$177,0)</f>
        <v>0</v>
      </c>
      <c r="CL16" s="24">
        <f>IF(CL$4=Assumptions!$J$174,Assumptions!$J$177,0)</f>
        <v>0</v>
      </c>
      <c r="CM16" s="24">
        <f>IF(CM$4=Assumptions!$J$174,Assumptions!$J$177,0)</f>
        <v>0</v>
      </c>
      <c r="CN16" s="24">
        <f>IF(CN$4=Assumptions!$J$174,Assumptions!$J$177,0)</f>
        <v>0</v>
      </c>
      <c r="CO16" s="24">
        <f>IF(CO$4=Assumptions!$J$174,Assumptions!$J$177,0)</f>
        <v>0</v>
      </c>
      <c r="CP16" s="24">
        <f>IF(CP$4=Assumptions!$J$174,Assumptions!$J$177,0)</f>
        <v>0</v>
      </c>
      <c r="CQ16" s="24">
        <f>IF(CQ$4=Assumptions!$J$174,Assumptions!$J$177,0)</f>
        <v>0</v>
      </c>
      <c r="CR16" s="24">
        <f>IF(CR$4=Assumptions!$J$174,Assumptions!$J$177,0)</f>
        <v>0</v>
      </c>
      <c r="CS16" s="24">
        <f>IF(CS$4=Assumptions!$J$174,Assumptions!$J$177,0)</f>
        <v>0</v>
      </c>
      <c r="CT16" s="24">
        <f>IF(CT$4=Assumptions!$J$174,Assumptions!$J$177,0)</f>
        <v>0</v>
      </c>
      <c r="CU16" s="24">
        <f>IF(CU$4=Assumptions!$J$174,Assumptions!$J$177,0)</f>
        <v>0</v>
      </c>
      <c r="CV16" s="24">
        <f>IF(CV$4=Assumptions!$J$174,Assumptions!$J$177,0)</f>
        <v>0</v>
      </c>
      <c r="CW16" s="24">
        <f>IF(CW$4=Assumptions!$J$174,Assumptions!$J$177,0)</f>
        <v>0</v>
      </c>
      <c r="CX16" s="24">
        <f>IF(CX$4=Assumptions!$J$174,Assumptions!$J$177,0)</f>
        <v>0</v>
      </c>
      <c r="CY16" s="24">
        <f>IF(CY$4=Assumptions!$J$174,Assumptions!$J$177,0)</f>
        <v>0</v>
      </c>
      <c r="CZ16" s="24">
        <f>IF(CZ$4=Assumptions!$J$174,Assumptions!$J$177,0)</f>
        <v>0</v>
      </c>
      <c r="DA16" s="24">
        <f>IF(DA$4=Assumptions!$J$174,Assumptions!$J$177,0)</f>
        <v>0</v>
      </c>
      <c r="DB16" s="24">
        <f>IF(DB$4=Assumptions!$J$174,Assumptions!$J$177,0)</f>
        <v>0</v>
      </c>
      <c r="DC16" s="24">
        <f>IF(DC$4=Assumptions!$J$174,Assumptions!$J$177,0)</f>
        <v>0</v>
      </c>
      <c r="DD16" s="24">
        <f>IF(DD$4=Assumptions!$J$174,Assumptions!$J$177,0)</f>
        <v>0</v>
      </c>
      <c r="DE16" s="24">
        <f>IF(DE$4=Assumptions!$J$174,Assumptions!$J$177,0)</f>
        <v>0</v>
      </c>
      <c r="DF16" s="24">
        <f>IF(DF$4=Assumptions!$J$174,Assumptions!$J$177,0)</f>
        <v>0</v>
      </c>
      <c r="DG16" s="24">
        <f>IF(DG$4=Assumptions!$J$174,Assumptions!$J$177,0)</f>
        <v>0</v>
      </c>
      <c r="DH16" s="24">
        <f>IF(DH$4=Assumptions!$J$174,Assumptions!$J$177,0)</f>
        <v>0</v>
      </c>
      <c r="DI16" s="24">
        <f>IF(DI$4=Assumptions!$J$174,Assumptions!$J$177,0)</f>
        <v>0</v>
      </c>
      <c r="DJ16" s="24">
        <f>IF(DJ$4=Assumptions!$J$174,Assumptions!$J$177,0)</f>
        <v>0</v>
      </c>
      <c r="DK16" s="24">
        <f>IF(DK$4=Assumptions!$J$174,Assumptions!$J$177,0)</f>
        <v>0</v>
      </c>
      <c r="DL16" s="24">
        <f>IF(DL$4=Assumptions!$J$174,Assumptions!$J$177,0)</f>
        <v>0</v>
      </c>
      <c r="DM16" s="24">
        <f>IF(DM$4=Assumptions!$J$174,Assumptions!$J$177,0)</f>
        <v>0</v>
      </c>
      <c r="DN16" s="24">
        <f>IF(DN$4=Assumptions!$J$174,Assumptions!$J$177,0)</f>
        <v>0</v>
      </c>
      <c r="DO16" s="24">
        <f>IF(DO$4=Assumptions!$J$174,Assumptions!$J$177,0)</f>
        <v>0</v>
      </c>
      <c r="DP16" s="24">
        <f>IF(DP$4=Assumptions!$J$174,Assumptions!$J$177,0)</f>
        <v>0</v>
      </c>
      <c r="DQ16" s="24">
        <f>IF(DQ$4=Assumptions!$J$174,Assumptions!$J$177,0)</f>
        <v>0</v>
      </c>
      <c r="DR16" s="24">
        <f>IF(DR$4=Assumptions!$J$174,Assumptions!$J$177,0)</f>
        <v>0</v>
      </c>
      <c r="DS16" s="24">
        <f>IF(DS$4=Assumptions!$J$174,Assumptions!$J$177,0)</f>
        <v>0</v>
      </c>
      <c r="DT16" s="24">
        <f>IF(DT$4=Assumptions!$J$174,Assumptions!$J$177,0)</f>
        <v>0</v>
      </c>
      <c r="DU16" s="24">
        <f>IF(DU$4=Assumptions!$J$174,Assumptions!$J$177,0)</f>
        <v>0</v>
      </c>
      <c r="DV16" s="24">
        <f>IF(DV$4=Assumptions!$J$174,Assumptions!$J$177,0)</f>
        <v>0</v>
      </c>
      <c r="DW16" s="24">
        <f>IF(DW$4=Assumptions!$J$174,Assumptions!$J$177,0)</f>
        <v>0</v>
      </c>
      <c r="DX16" s="24">
        <f>IF(DX$4=Assumptions!$J$174,Assumptions!$J$177,0)</f>
        <v>0</v>
      </c>
      <c r="DY16" s="24">
        <f>IF(DY$4=Assumptions!$J$174,Assumptions!$J$177,0)</f>
        <v>0</v>
      </c>
      <c r="DZ16" s="24">
        <f>IF(DZ$4=Assumptions!$J$174,Assumptions!$J$177,0)</f>
        <v>0</v>
      </c>
      <c r="EA16" s="24">
        <f>IF(EA$4=Assumptions!$J$174,Assumptions!$J$177,0)</f>
        <v>0</v>
      </c>
      <c r="EB16" s="24">
        <f>IF(EB$4=Assumptions!$J$174,Assumptions!$J$177,0)</f>
        <v>0</v>
      </c>
      <c r="EC16" s="24">
        <f>IF(EC$4=Assumptions!$J$174,Assumptions!$J$177,0)</f>
        <v>0</v>
      </c>
      <c r="ED16" s="24">
        <f>IF(ED$4=Assumptions!$J$174,Assumptions!$J$177,0)</f>
        <v>0</v>
      </c>
      <c r="EE16" s="24">
        <f>IF(EE$4=Assumptions!$J$174,Assumptions!$J$177,0)</f>
        <v>0</v>
      </c>
      <c r="EF16" s="24">
        <f>IF(EF$4=Assumptions!$J$174,Assumptions!$J$177,0)</f>
        <v>0</v>
      </c>
      <c r="EG16" s="24">
        <f>IF(EG$4=Assumptions!$J$174,Assumptions!$J$177,0)</f>
        <v>0</v>
      </c>
      <c r="EH16" s="24">
        <f>IF(EH$4=Assumptions!$J$174,Assumptions!$J$177,0)</f>
        <v>0</v>
      </c>
      <c r="EI16" s="24">
        <f>IF(EI$4=Assumptions!$J$174,Assumptions!$J$177,0)</f>
        <v>0</v>
      </c>
      <c r="EM16" s="1" t="s">
        <v>191</v>
      </c>
    </row>
    <row r="17" spans="4:143" x14ac:dyDescent="0.45">
      <c r="D17" s="1" t="s">
        <v>11</v>
      </c>
      <c r="G17" s="24">
        <f>IF(G$4=Assumptions!$J$174,Assumptions!$J$179,0)</f>
        <v>0</v>
      </c>
      <c r="H17" s="24">
        <f>IF(H$4=Assumptions!$J$174,Assumptions!$J$179,0)</f>
        <v>0</v>
      </c>
      <c r="I17" s="24">
        <f>IF(I$4=Assumptions!$J$174,Assumptions!$J$179,0)</f>
        <v>0</v>
      </c>
      <c r="J17" s="24">
        <f>IF(J$4=Assumptions!$J$174,Assumptions!$J$179,0)</f>
        <v>0</v>
      </c>
      <c r="K17" s="24">
        <f>IF(K$4=Assumptions!$J$174,Assumptions!$J$179,0)</f>
        <v>0</v>
      </c>
      <c r="L17" s="24">
        <f>IF(L$4=Assumptions!$J$174,Assumptions!$J$179,0)</f>
        <v>0</v>
      </c>
      <c r="M17" s="24">
        <f>IF(M$4=Assumptions!$J$174,Assumptions!$J$179,0)</f>
        <v>0</v>
      </c>
      <c r="N17" s="24">
        <f>IF(N$4=Assumptions!$J$174,Assumptions!$J$179,0)</f>
        <v>0</v>
      </c>
      <c r="O17" s="24">
        <f>IF(O$4=Assumptions!$J$174,Assumptions!$J$179,0)</f>
        <v>0</v>
      </c>
      <c r="P17" s="24">
        <f>IF(P$4=Assumptions!$J$174,Assumptions!$J$179,0)</f>
        <v>0</v>
      </c>
      <c r="Q17" s="24">
        <f>IF(Q$4=Assumptions!$J$174,Assumptions!$J$179,0)</f>
        <v>0</v>
      </c>
      <c r="R17" s="24">
        <f>IF(R$4=Assumptions!$J$174,Assumptions!$J$179,0)</f>
        <v>0</v>
      </c>
      <c r="S17" s="24">
        <f>IF(S$4=Assumptions!$J$174,Assumptions!$J$179,0)</f>
        <v>0</v>
      </c>
      <c r="T17" s="24">
        <f>IF(T$4=Assumptions!$J$174,Assumptions!$J$179,0)</f>
        <v>0</v>
      </c>
      <c r="U17" s="24">
        <f>IF(U$4=Assumptions!$J$174,Assumptions!$J$179,0)</f>
        <v>0</v>
      </c>
      <c r="V17" s="24">
        <f>IF(V$4=Assumptions!$J$174,Assumptions!$J$179,0)</f>
        <v>0</v>
      </c>
      <c r="W17" s="24">
        <f>IF(W$4=Assumptions!$J$174,Assumptions!$J$179,0)</f>
        <v>0</v>
      </c>
      <c r="X17" s="24">
        <f>IF(X$4=Assumptions!$J$174,Assumptions!$J$179,0)</f>
        <v>0</v>
      </c>
      <c r="Y17" s="24">
        <f>IF(Y$4=Assumptions!$J$174,Assumptions!$J$179,0)</f>
        <v>0</v>
      </c>
      <c r="Z17" s="24">
        <f>IF(Z$4=Assumptions!$J$174,Assumptions!$J$179,0)</f>
        <v>0</v>
      </c>
      <c r="AA17" s="24">
        <f>IF(AA$4=Assumptions!$J$174,Assumptions!$J$179,0)</f>
        <v>0</v>
      </c>
      <c r="AB17" s="24">
        <f>IF(AB$4=Assumptions!$J$174,Assumptions!$J$179,0)</f>
        <v>0</v>
      </c>
      <c r="AC17" s="24">
        <f>IF(AC$4=Assumptions!$J$174,Assumptions!$J$179,0)</f>
        <v>0</v>
      </c>
      <c r="AD17" s="24">
        <f>IF(AD$4=Assumptions!$J$174,Assumptions!$J$179,0)</f>
        <v>0</v>
      </c>
      <c r="AE17" s="24">
        <f>IF(AE$4=Assumptions!$J$174,Assumptions!$J$179,0)</f>
        <v>0</v>
      </c>
      <c r="AF17" s="24">
        <f>IF(AF$4=Assumptions!$J$174,Assumptions!$J$179,0)</f>
        <v>0</v>
      </c>
      <c r="AG17" s="24">
        <f>IF(AG$4=Assumptions!$J$174,Assumptions!$J$179,0)</f>
        <v>0</v>
      </c>
      <c r="AH17" s="24">
        <f>IF(AH$4=Assumptions!$J$174,Assumptions!$J$179,0)</f>
        <v>0</v>
      </c>
      <c r="AI17" s="24">
        <f>IF(AI$4=Assumptions!$J$174,Assumptions!$J$179,0)</f>
        <v>0</v>
      </c>
      <c r="AJ17" s="24">
        <f>IF(AJ$4=Assumptions!$J$174,Assumptions!$J$179,0)</f>
        <v>0</v>
      </c>
      <c r="AK17" s="24">
        <f>IF(AK$4=Assumptions!$J$174,Assumptions!$J$179,0)</f>
        <v>0</v>
      </c>
      <c r="AL17" s="24">
        <f>IF(AL$4=Assumptions!$J$174,Assumptions!$J$179,0)</f>
        <v>0</v>
      </c>
      <c r="AM17" s="24">
        <f>IF(AM$4=Assumptions!$J$174,Assumptions!$J$179,0)</f>
        <v>0</v>
      </c>
      <c r="AN17" s="24">
        <f>IF(AN$4=Assumptions!$J$174,Assumptions!$J$179,0)</f>
        <v>0</v>
      </c>
      <c r="AO17" s="24">
        <f>IF(AO$4=Assumptions!$J$174,Assumptions!$J$179,0)</f>
        <v>0</v>
      </c>
      <c r="AP17" s="24">
        <f>IF(AP$4=Assumptions!$J$174,Assumptions!$J$179,0)</f>
        <v>0</v>
      </c>
      <c r="AQ17" s="24">
        <f>IF(AQ$4=Assumptions!$J$174,Assumptions!$J$179,0)</f>
        <v>0</v>
      </c>
      <c r="AR17" s="24">
        <f>IF(AR$4=Assumptions!$J$174,Assumptions!$J$179,0)</f>
        <v>0</v>
      </c>
      <c r="AS17" s="24">
        <f>IF(AS$4=Assumptions!$J$174,Assumptions!$J$179,0)</f>
        <v>0</v>
      </c>
      <c r="AT17" s="24">
        <f>IF(AT$4=Assumptions!$J$174,Assumptions!$J$179,0)</f>
        <v>0</v>
      </c>
      <c r="AU17" s="24">
        <f>IF(AU$4=Assumptions!$J$174,Assumptions!$J$179,0)</f>
        <v>0</v>
      </c>
      <c r="AV17" s="24">
        <f>IF(AV$4=Assumptions!$J$174,Assumptions!$J$179,0)</f>
        <v>0</v>
      </c>
      <c r="AW17" s="24">
        <f>IF(AW$4=Assumptions!$J$174,Assumptions!$J$179,0)</f>
        <v>0</v>
      </c>
      <c r="AX17" s="24">
        <f>IF(AX$4=Assumptions!$J$174,Assumptions!$J$179,0)</f>
        <v>0</v>
      </c>
      <c r="AY17" s="24">
        <f>IF(AY$4=Assumptions!$J$174,Assumptions!$J$179,0)</f>
        <v>0</v>
      </c>
      <c r="AZ17" s="24">
        <f>IF(AZ$4=Assumptions!$J$174,Assumptions!$J$179,0)</f>
        <v>0</v>
      </c>
      <c r="BA17" s="24">
        <f>IF(BA$4=Assumptions!$J$174,Assumptions!$J$179,0)</f>
        <v>0</v>
      </c>
      <c r="BB17" s="24">
        <f>IF(BB$4=Assumptions!$J$174,Assumptions!$J$179,0)</f>
        <v>0</v>
      </c>
      <c r="BC17" s="24">
        <f>IF(BC$4=Assumptions!$J$174,Assumptions!$J$179,0)</f>
        <v>0</v>
      </c>
      <c r="BD17" s="24">
        <f>IF(BD$4=Assumptions!$J$174,Assumptions!$J$179,0)</f>
        <v>0</v>
      </c>
      <c r="BE17" s="24">
        <f>IF(BE$4=Assumptions!$J$174,Assumptions!$J$179,0)</f>
        <v>0</v>
      </c>
      <c r="BF17" s="24">
        <f>IF(BF$4=Assumptions!$J$174,Assumptions!$J$179,0)</f>
        <v>0</v>
      </c>
      <c r="BG17" s="24">
        <f>IF(BG$4=Assumptions!$J$174,Assumptions!$J$179,0)</f>
        <v>0</v>
      </c>
      <c r="BH17" s="24">
        <f>IF(BH$4=Assumptions!$J$174,Assumptions!$J$179,0)</f>
        <v>0</v>
      </c>
      <c r="BI17" s="24">
        <f>IF(BI$4=Assumptions!$J$174,Assumptions!$J$179,0)</f>
        <v>0</v>
      </c>
      <c r="BJ17" s="24">
        <f>IF(BJ$4=Assumptions!$J$174,Assumptions!$J$179,0)</f>
        <v>0</v>
      </c>
      <c r="BK17" s="24">
        <f>IF(BK$4=Assumptions!$J$174,Assumptions!$J$179,0)</f>
        <v>0</v>
      </c>
      <c r="BL17" s="24">
        <f>IF(BL$4=Assumptions!$J$174,Assumptions!$J$179,0)</f>
        <v>0</v>
      </c>
      <c r="BM17" s="24">
        <f>IF(BM$4=Assumptions!$J$174,Assumptions!$J$179,0)</f>
        <v>0</v>
      </c>
      <c r="BN17" s="24">
        <f>IF(BN$4=Assumptions!$J$174,Assumptions!$J$179,0)</f>
        <v>0</v>
      </c>
      <c r="BO17" s="24">
        <f>IF(BO$4=Assumptions!$J$174,Assumptions!$J$179,0)</f>
        <v>0</v>
      </c>
      <c r="BP17" s="24">
        <f>IF(BP$4=Assumptions!$J$174,Assumptions!$J$179,0)</f>
        <v>0</v>
      </c>
      <c r="BQ17" s="24">
        <f>IF(BQ$4=Assumptions!$J$174,Assumptions!$J$179,0)</f>
        <v>0</v>
      </c>
      <c r="BR17" s="24">
        <f>IF(BR$4=Assumptions!$J$174,Assumptions!$J$179,0)</f>
        <v>0</v>
      </c>
      <c r="BS17" s="24">
        <f>IF(BS$4=Assumptions!$J$174,Assumptions!$J$179,0)</f>
        <v>0</v>
      </c>
      <c r="BT17" s="24">
        <f>IF(BT$4=Assumptions!$J$174,Assumptions!$J$179,0)</f>
        <v>0</v>
      </c>
      <c r="BU17" s="24">
        <f>IF(BU$4=Assumptions!$J$174,Assumptions!$J$179,0)</f>
        <v>0</v>
      </c>
      <c r="BV17" s="24">
        <f>IF(BV$4=Assumptions!$J$174,Assumptions!$J$179,0)</f>
        <v>0</v>
      </c>
      <c r="BW17" s="24">
        <f>IF(BW$4=Assumptions!$J$174,Assumptions!$J$179,0)</f>
        <v>0</v>
      </c>
      <c r="BX17" s="24">
        <f>IF(BX$4=Assumptions!$J$174,Assumptions!$J$179,0)</f>
        <v>0</v>
      </c>
      <c r="BY17" s="24">
        <f>IF(BY$4=Assumptions!$J$174,Assumptions!$J$179,0)</f>
        <v>0</v>
      </c>
      <c r="BZ17" s="24">
        <f>IF(BZ$4=Assumptions!$J$174,Assumptions!$J$179,0)</f>
        <v>0</v>
      </c>
      <c r="CA17" s="24">
        <f>IF(CA$4=Assumptions!$J$174,Assumptions!$J$179,0)</f>
        <v>0</v>
      </c>
      <c r="CB17" s="24">
        <f>IF(CB$4=Assumptions!$J$174,Assumptions!$J$179,0)</f>
        <v>0</v>
      </c>
      <c r="CC17" s="24">
        <f>IF(CC$4=Assumptions!$J$174,Assumptions!$J$179,0)</f>
        <v>0</v>
      </c>
      <c r="CD17" s="24">
        <f>IF(CD$4=Assumptions!$J$174,Assumptions!$J$179,0)</f>
        <v>0</v>
      </c>
      <c r="CE17" s="24">
        <f>IF(CE$4=Assumptions!$J$174,Assumptions!$J$179,0)</f>
        <v>0</v>
      </c>
      <c r="CF17" s="24">
        <f>IF(CF$4=Assumptions!$J$174,Assumptions!$J$179,0)</f>
        <v>0</v>
      </c>
      <c r="CG17" s="24">
        <f>IF(CG$4=Assumptions!$J$174,Assumptions!$J$179,0)</f>
        <v>0</v>
      </c>
      <c r="CH17" s="24">
        <f>IF(CH$4=Assumptions!$J$174,Assumptions!$J$179,0)</f>
        <v>0</v>
      </c>
      <c r="CI17" s="24">
        <f>IF(CI$4=Assumptions!$J$174,Assumptions!$J$179,0)</f>
        <v>0</v>
      </c>
      <c r="CJ17" s="24">
        <f>IF(CJ$4=Assumptions!$J$174,Assumptions!$J$179,0)</f>
        <v>0</v>
      </c>
      <c r="CK17" s="24">
        <f>IF(CK$4=Assumptions!$J$174,Assumptions!$J$179,0)</f>
        <v>0</v>
      </c>
      <c r="CL17" s="24">
        <f>IF(CL$4=Assumptions!$J$174,Assumptions!$J$179,0)</f>
        <v>0</v>
      </c>
      <c r="CM17" s="24">
        <f>IF(CM$4=Assumptions!$J$174,Assumptions!$J$179,0)</f>
        <v>0</v>
      </c>
      <c r="CN17" s="24">
        <f>IF(CN$4=Assumptions!$J$174,Assumptions!$J$179,0)</f>
        <v>0</v>
      </c>
      <c r="CO17" s="24">
        <f>IF(CO$4=Assumptions!$J$174,Assumptions!$J$179,0)</f>
        <v>0</v>
      </c>
      <c r="CP17" s="24">
        <f>IF(CP$4=Assumptions!$J$174,Assumptions!$J$179,0)</f>
        <v>0</v>
      </c>
      <c r="CQ17" s="24">
        <f>IF(CQ$4=Assumptions!$J$174,Assumptions!$J$179,0)</f>
        <v>0</v>
      </c>
      <c r="CR17" s="24">
        <f>IF(CR$4=Assumptions!$J$174,Assumptions!$J$179,0)</f>
        <v>0</v>
      </c>
      <c r="CS17" s="24">
        <f>IF(CS$4=Assumptions!$J$174,Assumptions!$J$179,0)</f>
        <v>0</v>
      </c>
      <c r="CT17" s="24">
        <f>IF(CT$4=Assumptions!$J$174,Assumptions!$J$179,0)</f>
        <v>0</v>
      </c>
      <c r="CU17" s="24">
        <f>IF(CU$4=Assumptions!$J$174,Assumptions!$J$179,0)</f>
        <v>0</v>
      </c>
      <c r="CV17" s="24">
        <f>IF(CV$4=Assumptions!$J$174,Assumptions!$J$179,0)</f>
        <v>0</v>
      </c>
      <c r="CW17" s="24">
        <f>IF(CW$4=Assumptions!$J$174,Assumptions!$J$179,0)</f>
        <v>0</v>
      </c>
      <c r="CX17" s="24">
        <f>IF(CX$4=Assumptions!$J$174,Assumptions!$J$179,0)</f>
        <v>0</v>
      </c>
      <c r="CY17" s="24">
        <f>IF(CY$4=Assumptions!$J$174,Assumptions!$J$179,0)</f>
        <v>0</v>
      </c>
      <c r="CZ17" s="24">
        <f>IF(CZ$4=Assumptions!$J$174,Assumptions!$J$179,0)</f>
        <v>0</v>
      </c>
      <c r="DA17" s="24">
        <f>IF(DA$4=Assumptions!$J$174,Assumptions!$J$179,0)</f>
        <v>0</v>
      </c>
      <c r="DB17" s="24">
        <f>IF(DB$4=Assumptions!$J$174,Assumptions!$J$179,0)</f>
        <v>0</v>
      </c>
      <c r="DC17" s="24">
        <f>IF(DC$4=Assumptions!$J$174,Assumptions!$J$179,0)</f>
        <v>0</v>
      </c>
      <c r="DD17" s="24">
        <f>IF(DD$4=Assumptions!$J$174,Assumptions!$J$179,0)</f>
        <v>0</v>
      </c>
      <c r="DE17" s="24">
        <f>IF(DE$4=Assumptions!$J$174,Assumptions!$J$179,0)</f>
        <v>0</v>
      </c>
      <c r="DF17" s="24">
        <f>IF(DF$4=Assumptions!$J$174,Assumptions!$J$179,0)</f>
        <v>0</v>
      </c>
      <c r="DG17" s="24">
        <f>IF(DG$4=Assumptions!$J$174,Assumptions!$J$179,0)</f>
        <v>0</v>
      </c>
      <c r="DH17" s="24">
        <f>IF(DH$4=Assumptions!$J$174,Assumptions!$J$179,0)</f>
        <v>0</v>
      </c>
      <c r="DI17" s="24">
        <f>IF(DI$4=Assumptions!$J$174,Assumptions!$J$179,0)</f>
        <v>0</v>
      </c>
      <c r="DJ17" s="24">
        <f>IF(DJ$4=Assumptions!$J$174,Assumptions!$J$179,0)</f>
        <v>0</v>
      </c>
      <c r="DK17" s="24">
        <f>IF(DK$4=Assumptions!$J$174,Assumptions!$J$179,0)</f>
        <v>0</v>
      </c>
      <c r="DL17" s="24">
        <f>IF(DL$4=Assumptions!$J$174,Assumptions!$J$179,0)</f>
        <v>0</v>
      </c>
      <c r="DM17" s="24">
        <f>IF(DM$4=Assumptions!$J$174,Assumptions!$J$179,0)</f>
        <v>0</v>
      </c>
      <c r="DN17" s="24">
        <f>IF(DN$4=Assumptions!$J$174,Assumptions!$J$179,0)</f>
        <v>0</v>
      </c>
      <c r="DO17" s="24">
        <f>IF(DO$4=Assumptions!$J$174,Assumptions!$J$179,0)</f>
        <v>0</v>
      </c>
      <c r="DP17" s="24">
        <f>IF(DP$4=Assumptions!$J$174,Assumptions!$J$179,0)</f>
        <v>0</v>
      </c>
      <c r="DQ17" s="24">
        <f>IF(DQ$4=Assumptions!$J$174,Assumptions!$J$179,0)</f>
        <v>0</v>
      </c>
      <c r="DR17" s="24">
        <f>IF(DR$4=Assumptions!$J$174,Assumptions!$J$179,0)</f>
        <v>0</v>
      </c>
      <c r="DS17" s="24">
        <f>IF(DS$4=Assumptions!$J$174,Assumptions!$J$179,0)</f>
        <v>0</v>
      </c>
      <c r="DT17" s="24">
        <f>IF(DT$4=Assumptions!$J$174,Assumptions!$J$179,0)</f>
        <v>0</v>
      </c>
      <c r="DU17" s="24">
        <f>IF(DU$4=Assumptions!$J$174,Assumptions!$J$179,0)</f>
        <v>0</v>
      </c>
      <c r="DV17" s="24">
        <f>IF(DV$4=Assumptions!$J$174,Assumptions!$J$179,0)</f>
        <v>0</v>
      </c>
      <c r="DW17" s="24">
        <f>IF(DW$4=Assumptions!$J$174,Assumptions!$J$179,0)</f>
        <v>0</v>
      </c>
      <c r="DX17" s="24">
        <f>IF(DX$4=Assumptions!$J$174,Assumptions!$J$179,0)</f>
        <v>0</v>
      </c>
      <c r="DY17" s="24">
        <f>IF(DY$4=Assumptions!$J$174,Assumptions!$J$179,0)</f>
        <v>0</v>
      </c>
      <c r="DZ17" s="24">
        <f>IF(DZ$4=Assumptions!$J$174,Assumptions!$J$179,0)</f>
        <v>0</v>
      </c>
      <c r="EA17" s="24">
        <f>IF(EA$4=Assumptions!$J$174,Assumptions!$J$179,0)</f>
        <v>0</v>
      </c>
      <c r="EB17" s="24">
        <f>IF(EB$4=Assumptions!$J$174,Assumptions!$J$179,0)</f>
        <v>0</v>
      </c>
      <c r="EC17" s="24">
        <f>IF(EC$4=Assumptions!$J$174,Assumptions!$J$179,0)</f>
        <v>0</v>
      </c>
      <c r="ED17" s="24">
        <f>IF(ED$4=Assumptions!$J$174,Assumptions!$J$179,0)</f>
        <v>0</v>
      </c>
      <c r="EE17" s="24">
        <f>IF(EE$4=Assumptions!$J$174,Assumptions!$J$179,0)</f>
        <v>0</v>
      </c>
      <c r="EF17" s="24">
        <f>IF(EF$4=Assumptions!$J$174,Assumptions!$J$179,0)</f>
        <v>0</v>
      </c>
      <c r="EG17" s="24">
        <f>IF(EG$4=Assumptions!$J$174,Assumptions!$J$179,0)</f>
        <v>0</v>
      </c>
      <c r="EH17" s="24">
        <f>IF(EH$4=Assumptions!$J$174,Assumptions!$J$179,0)</f>
        <v>0</v>
      </c>
      <c r="EI17" s="24">
        <f>IF(EI$4=Assumptions!$J$174,Assumptions!$J$179,0)</f>
        <v>0</v>
      </c>
      <c r="EM17" s="1" t="s">
        <v>191</v>
      </c>
    </row>
    <row r="18" spans="4:143" s="8" customFormat="1" x14ac:dyDescent="0.45">
      <c r="D18" s="4" t="s">
        <v>14</v>
      </c>
      <c r="E18" s="4"/>
      <c r="F18" s="4"/>
      <c r="G18" s="26">
        <f>IF(G$4=Assumptions!$J$174,Assumptions!$J$180,0)</f>
        <v>0</v>
      </c>
      <c r="H18" s="26">
        <f>IF(H$4=Assumptions!$J$174,Assumptions!$J$180,0)</f>
        <v>0</v>
      </c>
      <c r="I18" s="26">
        <f>IF(I$4=Assumptions!$J$174,Assumptions!$J$180,0)</f>
        <v>0</v>
      </c>
      <c r="J18" s="26">
        <f>IF(J$4=Assumptions!$J$174,Assumptions!$J$180,0)</f>
        <v>0</v>
      </c>
      <c r="K18" s="26">
        <f>IF(K$4=Assumptions!$J$174,Assumptions!$J$180,0)</f>
        <v>0</v>
      </c>
      <c r="L18" s="26">
        <f>IF(L$4=Assumptions!$J$174,Assumptions!$J$180,0)</f>
        <v>0</v>
      </c>
      <c r="M18" s="26">
        <f>IF(M$4=Assumptions!$J$174,Assumptions!$J$180,0)</f>
        <v>0</v>
      </c>
      <c r="N18" s="26">
        <f>IF(N$4=Assumptions!$J$174,Assumptions!$J$180,0)</f>
        <v>0</v>
      </c>
      <c r="O18" s="26">
        <f>IF(O$4=Assumptions!$J$174,Assumptions!$J$180,0)</f>
        <v>0</v>
      </c>
      <c r="P18" s="26">
        <f>IF(P$4=Assumptions!$J$174,Assumptions!$J$180,0)</f>
        <v>0</v>
      </c>
      <c r="Q18" s="26">
        <f>IF(Q$4=Assumptions!$J$174,Assumptions!$J$180,0)</f>
        <v>0</v>
      </c>
      <c r="R18" s="26">
        <f>IF(R$4=Assumptions!$J$174,Assumptions!$J$180,0)</f>
        <v>0</v>
      </c>
      <c r="S18" s="26">
        <f>IF(S$4=Assumptions!$J$174,Assumptions!$J$180,0)</f>
        <v>0</v>
      </c>
      <c r="T18" s="26">
        <f>IF(T$4=Assumptions!$J$174,Assumptions!$J$180,0)</f>
        <v>0</v>
      </c>
      <c r="U18" s="26">
        <f>IF(U$4=Assumptions!$J$174,Assumptions!$J$180,0)</f>
        <v>0</v>
      </c>
      <c r="V18" s="26">
        <f>IF(V$4=Assumptions!$J$174,Assumptions!$J$180,0)</f>
        <v>0</v>
      </c>
      <c r="W18" s="26">
        <f>IF(W$4=Assumptions!$J$174,Assumptions!$J$180,0)</f>
        <v>0</v>
      </c>
      <c r="X18" s="26">
        <f>IF(X$4=Assumptions!$J$174,Assumptions!$J$180,0)</f>
        <v>0</v>
      </c>
      <c r="Y18" s="26">
        <f>IF(Y$4=Assumptions!$J$174,Assumptions!$J$180,0)</f>
        <v>0</v>
      </c>
      <c r="Z18" s="26">
        <f>IF(Z$4=Assumptions!$J$174,Assumptions!$J$180,0)</f>
        <v>0</v>
      </c>
      <c r="AA18" s="26">
        <f>IF(AA$4=Assumptions!$J$174,Assumptions!$J$180,0)</f>
        <v>0</v>
      </c>
      <c r="AB18" s="26">
        <f>IF(AB$4=Assumptions!$J$174,Assumptions!$J$180,0)</f>
        <v>0</v>
      </c>
      <c r="AC18" s="26">
        <f>IF(AC$4=Assumptions!$J$174,Assumptions!$J$180,0)</f>
        <v>0</v>
      </c>
      <c r="AD18" s="26">
        <f>IF(AD$4=Assumptions!$J$174,Assumptions!$J$180,0)</f>
        <v>0</v>
      </c>
      <c r="AE18" s="26">
        <f>IF(AE$4=Assumptions!$J$174,Assumptions!$J$180,0)</f>
        <v>0</v>
      </c>
      <c r="AF18" s="26">
        <f>IF(AF$4=Assumptions!$J$174,Assumptions!$J$180,0)</f>
        <v>0</v>
      </c>
      <c r="AG18" s="26">
        <f>IF(AG$4=Assumptions!$J$174,Assumptions!$J$180,0)</f>
        <v>0</v>
      </c>
      <c r="AH18" s="26">
        <f>IF(AH$4=Assumptions!$J$174,Assumptions!$J$180,0)</f>
        <v>0</v>
      </c>
      <c r="AI18" s="26">
        <f>IF(AI$4=Assumptions!$J$174,Assumptions!$J$180,0)</f>
        <v>0</v>
      </c>
      <c r="AJ18" s="26">
        <f>IF(AJ$4=Assumptions!$J$174,Assumptions!$J$180,0)</f>
        <v>0</v>
      </c>
      <c r="AK18" s="26">
        <f>IF(AK$4=Assumptions!$J$174,Assumptions!$J$180,0)</f>
        <v>0</v>
      </c>
      <c r="AL18" s="26">
        <f>IF(AL$4=Assumptions!$J$174,Assumptions!$J$180,0)</f>
        <v>0</v>
      </c>
      <c r="AM18" s="26">
        <f>IF(AM$4=Assumptions!$J$174,Assumptions!$J$180,0)</f>
        <v>0</v>
      </c>
      <c r="AN18" s="26">
        <f>IF(AN$4=Assumptions!$J$174,Assumptions!$J$180,0)</f>
        <v>0</v>
      </c>
      <c r="AO18" s="26">
        <f>IF(AO$4=Assumptions!$J$174,Assumptions!$J$180,0)</f>
        <v>0</v>
      </c>
      <c r="AP18" s="26">
        <f>IF(AP$4=Assumptions!$J$174,Assumptions!$J$180,0)</f>
        <v>0</v>
      </c>
      <c r="AQ18" s="26">
        <f>IF(AQ$4=Assumptions!$J$174,Assumptions!$J$180,0)</f>
        <v>0</v>
      </c>
      <c r="AR18" s="26">
        <f>IF(AR$4=Assumptions!$J$174,Assumptions!$J$180,0)</f>
        <v>0</v>
      </c>
      <c r="AS18" s="26">
        <f>IF(AS$4=Assumptions!$J$174,Assumptions!$J$180,0)</f>
        <v>0</v>
      </c>
      <c r="AT18" s="26">
        <f>IF(AT$4=Assumptions!$J$174,Assumptions!$J$180,0)</f>
        <v>0</v>
      </c>
      <c r="AU18" s="26">
        <f>IF(AU$4=Assumptions!$J$174,Assumptions!$J$180,0)</f>
        <v>0</v>
      </c>
      <c r="AV18" s="26">
        <f>IF(AV$4=Assumptions!$J$174,Assumptions!$J$180,0)</f>
        <v>0</v>
      </c>
      <c r="AW18" s="26">
        <f>IF(AW$4=Assumptions!$J$174,Assumptions!$J$180,0)</f>
        <v>0</v>
      </c>
      <c r="AX18" s="26">
        <f>IF(AX$4=Assumptions!$J$174,Assumptions!$J$180,0)</f>
        <v>0</v>
      </c>
      <c r="AY18" s="26">
        <f>IF(AY$4=Assumptions!$J$174,Assumptions!$J$180,0)</f>
        <v>0</v>
      </c>
      <c r="AZ18" s="26">
        <f>IF(AZ$4=Assumptions!$J$174,Assumptions!$J$180,0)</f>
        <v>0</v>
      </c>
      <c r="BA18" s="26">
        <f>IF(BA$4=Assumptions!$J$174,Assumptions!$J$180,0)</f>
        <v>0</v>
      </c>
      <c r="BB18" s="26">
        <f>IF(BB$4=Assumptions!$J$174,Assumptions!$J$180,0)</f>
        <v>0</v>
      </c>
      <c r="BC18" s="26">
        <f>IF(BC$4=Assumptions!$J$174,Assumptions!$J$180,0)</f>
        <v>0</v>
      </c>
      <c r="BD18" s="26">
        <f>IF(BD$4=Assumptions!$J$174,Assumptions!$J$180,0)</f>
        <v>0</v>
      </c>
      <c r="BE18" s="26">
        <f>IF(BE$4=Assumptions!$J$174,Assumptions!$J$180,0)</f>
        <v>0</v>
      </c>
      <c r="BF18" s="26">
        <f>IF(BF$4=Assumptions!$J$174,Assumptions!$J$180,0)</f>
        <v>0</v>
      </c>
      <c r="BG18" s="26">
        <f>IF(BG$4=Assumptions!$J$174,Assumptions!$J$180,0)</f>
        <v>0</v>
      </c>
      <c r="BH18" s="26">
        <f>IF(BH$4=Assumptions!$J$174,Assumptions!$J$180,0)</f>
        <v>0</v>
      </c>
      <c r="BI18" s="26">
        <f>IF(BI$4=Assumptions!$J$174,Assumptions!$J$180,0)</f>
        <v>0</v>
      </c>
      <c r="BJ18" s="26">
        <f>IF(BJ$4=Assumptions!$J$174,Assumptions!$J$180,0)</f>
        <v>0</v>
      </c>
      <c r="BK18" s="26">
        <f>IF(BK$4=Assumptions!$J$174,Assumptions!$J$180,0)</f>
        <v>0</v>
      </c>
      <c r="BL18" s="26">
        <f>IF(BL$4=Assumptions!$J$174,Assumptions!$J$180,0)</f>
        <v>0</v>
      </c>
      <c r="BM18" s="26">
        <f>IF(BM$4=Assumptions!$J$174,Assumptions!$J$180,0)</f>
        <v>0</v>
      </c>
      <c r="BN18" s="26">
        <f>IF(BN$4=Assumptions!$J$174,Assumptions!$J$180,0)</f>
        <v>0</v>
      </c>
      <c r="BO18" s="26">
        <f>IF(BO$4=Assumptions!$J$174,Assumptions!$J$180,0)</f>
        <v>0</v>
      </c>
      <c r="BP18" s="26">
        <f>IF(BP$4=Assumptions!$J$174,Assumptions!$J$180,0)</f>
        <v>0</v>
      </c>
      <c r="BQ18" s="26">
        <f>IF(BQ$4=Assumptions!$J$174,Assumptions!$J$180,0)</f>
        <v>0</v>
      </c>
      <c r="BR18" s="26">
        <f>IF(BR$4=Assumptions!$J$174,Assumptions!$J$180,0)</f>
        <v>0</v>
      </c>
      <c r="BS18" s="26">
        <f>IF(BS$4=Assumptions!$J$174,Assumptions!$J$180,0)</f>
        <v>0</v>
      </c>
      <c r="BT18" s="26">
        <f>IF(BT$4=Assumptions!$J$174,Assumptions!$J$180,0)</f>
        <v>0</v>
      </c>
      <c r="BU18" s="26">
        <f>IF(BU$4=Assumptions!$J$174,Assumptions!$J$180,0)</f>
        <v>0</v>
      </c>
      <c r="BV18" s="26">
        <f>IF(BV$4=Assumptions!$J$174,Assumptions!$J$180,0)</f>
        <v>0</v>
      </c>
      <c r="BW18" s="26">
        <f>IF(BW$4=Assumptions!$J$174,Assumptions!$J$180,0)</f>
        <v>0</v>
      </c>
      <c r="BX18" s="26">
        <f>IF(BX$4=Assumptions!$J$174,Assumptions!$J$180,0)</f>
        <v>0</v>
      </c>
      <c r="BY18" s="26">
        <f>IF(BY$4=Assumptions!$J$174,Assumptions!$J$180,0)</f>
        <v>0</v>
      </c>
      <c r="BZ18" s="26">
        <f>IF(BZ$4=Assumptions!$J$174,Assumptions!$J$180,0)</f>
        <v>0</v>
      </c>
      <c r="CA18" s="26">
        <f>IF(CA$4=Assumptions!$J$174,Assumptions!$J$180,0)</f>
        <v>0</v>
      </c>
      <c r="CB18" s="26">
        <f>IF(CB$4=Assumptions!$J$174,Assumptions!$J$180,0)</f>
        <v>0</v>
      </c>
      <c r="CC18" s="26">
        <f>IF(CC$4=Assumptions!$J$174,Assumptions!$J$180,0)</f>
        <v>0</v>
      </c>
      <c r="CD18" s="26">
        <f>IF(CD$4=Assumptions!$J$174,Assumptions!$J$180,0)</f>
        <v>0</v>
      </c>
      <c r="CE18" s="26">
        <f>IF(CE$4=Assumptions!$J$174,Assumptions!$J$180,0)</f>
        <v>0</v>
      </c>
      <c r="CF18" s="26">
        <f>IF(CF$4=Assumptions!$J$174,Assumptions!$J$180,0)</f>
        <v>0</v>
      </c>
      <c r="CG18" s="26">
        <f>IF(CG$4=Assumptions!$J$174,Assumptions!$J$180,0)</f>
        <v>0</v>
      </c>
      <c r="CH18" s="26">
        <f>IF(CH$4=Assumptions!$J$174,Assumptions!$J$180,0)</f>
        <v>0</v>
      </c>
      <c r="CI18" s="26">
        <f>IF(CI$4=Assumptions!$J$174,Assumptions!$J$180,0)</f>
        <v>0</v>
      </c>
      <c r="CJ18" s="26">
        <f>IF(CJ$4=Assumptions!$J$174,Assumptions!$J$180,0)</f>
        <v>0</v>
      </c>
      <c r="CK18" s="26">
        <f>IF(CK$4=Assumptions!$J$174,Assumptions!$J$180,0)</f>
        <v>0</v>
      </c>
      <c r="CL18" s="26">
        <f>IF(CL$4=Assumptions!$J$174,Assumptions!$J$180,0)</f>
        <v>0</v>
      </c>
      <c r="CM18" s="26">
        <f>IF(CM$4=Assumptions!$J$174,Assumptions!$J$180,0)</f>
        <v>0</v>
      </c>
      <c r="CN18" s="26">
        <f>IF(CN$4=Assumptions!$J$174,Assumptions!$J$180,0)</f>
        <v>0</v>
      </c>
      <c r="CO18" s="26">
        <f>IF(CO$4=Assumptions!$J$174,Assumptions!$J$180,0)</f>
        <v>0</v>
      </c>
      <c r="CP18" s="26">
        <f>IF(CP$4=Assumptions!$J$174,Assumptions!$J$180,0)</f>
        <v>0</v>
      </c>
      <c r="CQ18" s="26">
        <f>IF(CQ$4=Assumptions!$J$174,Assumptions!$J$180,0)</f>
        <v>0</v>
      </c>
      <c r="CR18" s="26">
        <f>IF(CR$4=Assumptions!$J$174,Assumptions!$J$180,0)</f>
        <v>0</v>
      </c>
      <c r="CS18" s="26">
        <f>IF(CS$4=Assumptions!$J$174,Assumptions!$J$180,0)</f>
        <v>0</v>
      </c>
      <c r="CT18" s="26">
        <f>IF(CT$4=Assumptions!$J$174,Assumptions!$J$180,0)</f>
        <v>0</v>
      </c>
      <c r="CU18" s="26">
        <f>IF(CU$4=Assumptions!$J$174,Assumptions!$J$180,0)</f>
        <v>0</v>
      </c>
      <c r="CV18" s="26">
        <f>IF(CV$4=Assumptions!$J$174,Assumptions!$J$180,0)</f>
        <v>0</v>
      </c>
      <c r="CW18" s="26">
        <f>IF(CW$4=Assumptions!$J$174,Assumptions!$J$180,0)</f>
        <v>0</v>
      </c>
      <c r="CX18" s="26">
        <f>IF(CX$4=Assumptions!$J$174,Assumptions!$J$180,0)</f>
        <v>0</v>
      </c>
      <c r="CY18" s="26">
        <f>IF(CY$4=Assumptions!$J$174,Assumptions!$J$180,0)</f>
        <v>0</v>
      </c>
      <c r="CZ18" s="26">
        <f>IF(CZ$4=Assumptions!$J$174,Assumptions!$J$180,0)</f>
        <v>0</v>
      </c>
      <c r="DA18" s="26">
        <f>IF(DA$4=Assumptions!$J$174,Assumptions!$J$180,0)</f>
        <v>0</v>
      </c>
      <c r="DB18" s="26">
        <f>IF(DB$4=Assumptions!$J$174,Assumptions!$J$180,0)</f>
        <v>0</v>
      </c>
      <c r="DC18" s="26">
        <f>IF(DC$4=Assumptions!$J$174,Assumptions!$J$180,0)</f>
        <v>0</v>
      </c>
      <c r="DD18" s="26">
        <f>IF(DD$4=Assumptions!$J$174,Assumptions!$J$180,0)</f>
        <v>0</v>
      </c>
      <c r="DE18" s="26">
        <f>IF(DE$4=Assumptions!$J$174,Assumptions!$J$180,0)</f>
        <v>0</v>
      </c>
      <c r="DF18" s="26">
        <f>IF(DF$4=Assumptions!$J$174,Assumptions!$J$180,0)</f>
        <v>0</v>
      </c>
      <c r="DG18" s="26">
        <f>IF(DG$4=Assumptions!$J$174,Assumptions!$J$180,0)</f>
        <v>0</v>
      </c>
      <c r="DH18" s="26">
        <f>IF(DH$4=Assumptions!$J$174,Assumptions!$J$180,0)</f>
        <v>0</v>
      </c>
      <c r="DI18" s="26">
        <f>IF(DI$4=Assumptions!$J$174,Assumptions!$J$180,0)</f>
        <v>0</v>
      </c>
      <c r="DJ18" s="26">
        <f>IF(DJ$4=Assumptions!$J$174,Assumptions!$J$180,0)</f>
        <v>0</v>
      </c>
      <c r="DK18" s="26">
        <f>IF(DK$4=Assumptions!$J$174,Assumptions!$J$180,0)</f>
        <v>0</v>
      </c>
      <c r="DL18" s="26">
        <f>IF(DL$4=Assumptions!$J$174,Assumptions!$J$180,0)</f>
        <v>0</v>
      </c>
      <c r="DM18" s="26">
        <f>IF(DM$4=Assumptions!$J$174,Assumptions!$J$180,0)</f>
        <v>0</v>
      </c>
      <c r="DN18" s="26">
        <f>IF(DN$4=Assumptions!$J$174,Assumptions!$J$180,0)</f>
        <v>0</v>
      </c>
      <c r="DO18" s="26">
        <f>IF(DO$4=Assumptions!$J$174,Assumptions!$J$180,0)</f>
        <v>0</v>
      </c>
      <c r="DP18" s="26">
        <f>IF(DP$4=Assumptions!$J$174,Assumptions!$J$180,0)</f>
        <v>0</v>
      </c>
      <c r="DQ18" s="26">
        <f>IF(DQ$4=Assumptions!$J$174,Assumptions!$J$180,0)</f>
        <v>0</v>
      </c>
      <c r="DR18" s="26">
        <f>IF(DR$4=Assumptions!$J$174,Assumptions!$J$180,0)</f>
        <v>0</v>
      </c>
      <c r="DS18" s="26">
        <f>IF(DS$4=Assumptions!$J$174,Assumptions!$J$180,0)</f>
        <v>0</v>
      </c>
      <c r="DT18" s="26">
        <f>IF(DT$4=Assumptions!$J$174,Assumptions!$J$180,0)</f>
        <v>0</v>
      </c>
      <c r="DU18" s="26">
        <f>IF(DU$4=Assumptions!$J$174,Assumptions!$J$180,0)</f>
        <v>0</v>
      </c>
      <c r="DV18" s="26">
        <f>IF(DV$4=Assumptions!$J$174,Assumptions!$J$180,0)</f>
        <v>0</v>
      </c>
      <c r="DW18" s="26">
        <f>IF(DW$4=Assumptions!$J$174,Assumptions!$J$180,0)</f>
        <v>0</v>
      </c>
      <c r="DX18" s="26">
        <f>IF(DX$4=Assumptions!$J$174,Assumptions!$J$180,0)</f>
        <v>0</v>
      </c>
      <c r="DY18" s="26">
        <f>IF(DY$4=Assumptions!$J$174,Assumptions!$J$180,0)</f>
        <v>0</v>
      </c>
      <c r="DZ18" s="26">
        <f>IF(DZ$4=Assumptions!$J$174,Assumptions!$J$180,0)</f>
        <v>0</v>
      </c>
      <c r="EA18" s="26">
        <f>IF(EA$4=Assumptions!$J$174,Assumptions!$J$180,0)</f>
        <v>0</v>
      </c>
      <c r="EB18" s="26">
        <f>IF(EB$4=Assumptions!$J$174,Assumptions!$J$180,0)</f>
        <v>0</v>
      </c>
      <c r="EC18" s="26">
        <f>IF(EC$4=Assumptions!$J$174,Assumptions!$J$180,0)</f>
        <v>0</v>
      </c>
      <c r="ED18" s="26">
        <f>IF(ED$4=Assumptions!$J$174,Assumptions!$J$180,0)</f>
        <v>0</v>
      </c>
      <c r="EE18" s="26">
        <f>IF(EE$4=Assumptions!$J$174,Assumptions!$J$180,0)</f>
        <v>0</v>
      </c>
      <c r="EF18" s="26">
        <f>IF(EF$4=Assumptions!$J$174,Assumptions!$J$180,0)</f>
        <v>0</v>
      </c>
      <c r="EG18" s="26">
        <f>IF(EG$4=Assumptions!$J$174,Assumptions!$J$180,0)</f>
        <v>0</v>
      </c>
      <c r="EH18" s="26">
        <f>IF(EH$4=Assumptions!$J$174,Assumptions!$J$180,0)</f>
        <v>0</v>
      </c>
      <c r="EI18" s="26">
        <f>IF(EI$4=Assumptions!$J$174,Assumptions!$J$180,0)</f>
        <v>0</v>
      </c>
      <c r="EM18" s="1" t="s">
        <v>191</v>
      </c>
    </row>
    <row r="19" spans="4:143" x14ac:dyDescent="0.45"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M19" s="1" t="s">
        <v>191</v>
      </c>
    </row>
    <row r="20" spans="4:143" x14ac:dyDescent="0.45">
      <c r="D20" s="1" t="s">
        <v>15</v>
      </c>
      <c r="G20" s="24">
        <f>IF(G4=Assumptions!$E$174,Assumptions!$E$177,0)</f>
        <v>0</v>
      </c>
      <c r="H20" s="24">
        <f>IF(H4=Assumptions!$E$174,Assumptions!$E$177,0)</f>
        <v>0</v>
      </c>
      <c r="I20" s="24">
        <f>IF(I4=Assumptions!$E$174,Assumptions!$E$177,0)</f>
        <v>0</v>
      </c>
      <c r="J20" s="24">
        <f>IF(J4=Assumptions!$E$174,Assumptions!$E$177,0)</f>
        <v>0</v>
      </c>
      <c r="K20" s="24">
        <f>IF(K4=Assumptions!$E$174,Assumptions!$E$177,0)</f>
        <v>0</v>
      </c>
      <c r="L20" s="24">
        <f>IF(L4=Assumptions!$E$174,Assumptions!$E$177,0)</f>
        <v>0</v>
      </c>
      <c r="M20" s="24">
        <f>IF(M4=Assumptions!$E$174,Assumptions!$E$177,0)</f>
        <v>0</v>
      </c>
      <c r="N20" s="24">
        <f>IF(N4=Assumptions!$E$174,Assumptions!$E$177,0)</f>
        <v>0</v>
      </c>
      <c r="O20" s="24">
        <f>IF(O4=Assumptions!$E$174,Assumptions!$E$177,0)</f>
        <v>0</v>
      </c>
      <c r="P20" s="24">
        <f>IF(P4=Assumptions!$E$174,Assumptions!$E$177,0)</f>
        <v>0</v>
      </c>
      <c r="Q20" s="24">
        <f>IF(Q4=Assumptions!$E$174,Assumptions!$E$177,0)</f>
        <v>0</v>
      </c>
      <c r="R20" s="24">
        <f>IF(R4=Assumptions!$E$174,Assumptions!$E$177,0)</f>
        <v>0</v>
      </c>
      <c r="S20" s="24">
        <f>IF(S4=Assumptions!$E$174,Assumptions!$E$177,0)</f>
        <v>0</v>
      </c>
      <c r="T20" s="24">
        <f>IF(T4=Assumptions!$E$174,Assumptions!$E$177,0)</f>
        <v>0</v>
      </c>
      <c r="U20" s="24">
        <f>IF(U4=Assumptions!$E$174,Assumptions!$E$177,0)</f>
        <v>0</v>
      </c>
      <c r="V20" s="24">
        <f>IF(V4=Assumptions!$E$174,Assumptions!$E$177,0)</f>
        <v>0</v>
      </c>
      <c r="W20" s="24">
        <f>IF(W4=Assumptions!$E$174,Assumptions!$E$177,0)</f>
        <v>0</v>
      </c>
      <c r="X20" s="24">
        <f>IF(X4=Assumptions!$E$174,Assumptions!$E$177,0)</f>
        <v>0</v>
      </c>
      <c r="Y20" s="24">
        <f>IF(Y4=Assumptions!$E$174,Assumptions!$E$177,0)</f>
        <v>0</v>
      </c>
      <c r="Z20" s="24">
        <f>IF(Z4=Assumptions!$E$174,Assumptions!$E$177,0)</f>
        <v>0</v>
      </c>
      <c r="AA20" s="24">
        <f>IF(AA4=Assumptions!$E$174,Assumptions!$E$177,0)</f>
        <v>0</v>
      </c>
      <c r="AB20" s="24">
        <f>IF(AB4=Assumptions!$E$174,Assumptions!$E$177,0)</f>
        <v>0</v>
      </c>
      <c r="AC20" s="24">
        <f>IF(AC4=Assumptions!$E$174,Assumptions!$E$177,0)</f>
        <v>0</v>
      </c>
      <c r="AD20" s="24">
        <f>IF(AD4=Assumptions!$E$174,Assumptions!$E$177,0)</f>
        <v>0</v>
      </c>
      <c r="AE20" s="24">
        <f>IF(AE4=Assumptions!$E$174,Assumptions!$E$177,0)</f>
        <v>0</v>
      </c>
      <c r="AF20" s="24">
        <f>IF(AF4=Assumptions!$E$174,Assumptions!$E$177,0)</f>
        <v>0</v>
      </c>
      <c r="AG20" s="24">
        <f>IF(AG4=Assumptions!$E$174,Assumptions!$E$177,0)</f>
        <v>0</v>
      </c>
      <c r="AH20" s="24">
        <f>IF(AH4=Assumptions!$E$174,Assumptions!$E$177,0)</f>
        <v>0</v>
      </c>
      <c r="AI20" s="24">
        <f>IF(AI4=Assumptions!$E$174,Assumptions!$E$177,0)</f>
        <v>0</v>
      </c>
      <c r="AJ20" s="24">
        <f>IF(AJ4=Assumptions!$E$174,Assumptions!$E$177,0)</f>
        <v>0</v>
      </c>
      <c r="AK20" s="24">
        <f>IF(AK4=Assumptions!$E$174,Assumptions!$E$177,0)</f>
        <v>0</v>
      </c>
      <c r="AL20" s="24">
        <f>IF(AL4=Assumptions!$E$174,Assumptions!$E$177,0)</f>
        <v>0</v>
      </c>
      <c r="AM20" s="24">
        <f>IF(AM4=Assumptions!$E$174,Assumptions!$E$177,0)</f>
        <v>0</v>
      </c>
      <c r="AN20" s="24">
        <f>IF(AN4=Assumptions!$E$174,Assumptions!$E$177,0)</f>
        <v>0</v>
      </c>
      <c r="AO20" s="24">
        <f>IF(AO4=Assumptions!$E$174,Assumptions!$E$177,0)</f>
        <v>0</v>
      </c>
      <c r="AP20" s="24">
        <f>IF(AP4=Assumptions!$E$174,Assumptions!$E$177,0)</f>
        <v>0</v>
      </c>
      <c r="AQ20" s="24">
        <f>IF(AQ4=Assumptions!$E$174,Assumptions!$E$177,0)</f>
        <v>0</v>
      </c>
      <c r="AR20" s="24">
        <f>IF(AR4=Assumptions!$E$174,Assumptions!$E$177,0)</f>
        <v>0</v>
      </c>
      <c r="AS20" s="24">
        <f>IF(AS4=Assumptions!$E$174,Assumptions!$E$177,0)</f>
        <v>0</v>
      </c>
      <c r="AT20" s="24">
        <f>IF(AT4=Assumptions!$E$174,Assumptions!$E$177,0)</f>
        <v>0</v>
      </c>
      <c r="AU20" s="24">
        <f>IF(AU4=Assumptions!$E$174,Assumptions!$E$177,0)</f>
        <v>0</v>
      </c>
      <c r="AV20" s="24">
        <f>IF(AV4=Assumptions!$E$174,Assumptions!$E$177,0)</f>
        <v>0</v>
      </c>
      <c r="AW20" s="24">
        <f>IF(AW4=Assumptions!$E$174,Assumptions!$E$177,0)</f>
        <v>0</v>
      </c>
      <c r="AX20" s="24">
        <f>IF(AX4=Assumptions!$E$174,Assumptions!$E$177,0)</f>
        <v>0</v>
      </c>
      <c r="AY20" s="24">
        <f>IF(AY4=Assumptions!$E$174,Assumptions!$E$177,0)</f>
        <v>0</v>
      </c>
      <c r="AZ20" s="24">
        <f>IF(AZ4=Assumptions!$E$174,Assumptions!$E$177,0)</f>
        <v>0</v>
      </c>
      <c r="BA20" s="24">
        <f>IF(BA4=Assumptions!$E$174,Assumptions!$E$177,0)</f>
        <v>0</v>
      </c>
      <c r="BB20" s="24">
        <f>IF(BB4=Assumptions!$E$174,Assumptions!$E$177,0)</f>
        <v>0</v>
      </c>
      <c r="BC20" s="24">
        <f>IF(BC4=Assumptions!$E$174,Assumptions!$E$177,0)</f>
        <v>0</v>
      </c>
      <c r="BD20" s="24">
        <f>IF(BD4=Assumptions!$E$174,Assumptions!$E$177,0)</f>
        <v>0</v>
      </c>
      <c r="BE20" s="24">
        <f>IF(BE4=Assumptions!$E$174,Assumptions!$E$177,0)</f>
        <v>0</v>
      </c>
      <c r="BF20" s="24">
        <f>IF(BF4=Assumptions!$E$174,Assumptions!$E$177,0)</f>
        <v>0</v>
      </c>
      <c r="BG20" s="24">
        <f>IF(BG4=Assumptions!$E$174,Assumptions!$E$177,0)</f>
        <v>0</v>
      </c>
      <c r="BH20" s="24">
        <f>IF(BH4=Assumptions!$E$174,Assumptions!$E$177,0)</f>
        <v>0</v>
      </c>
      <c r="BI20" s="24">
        <f>IF(BI4=Assumptions!$E$174,Assumptions!$E$177,0)</f>
        <v>0</v>
      </c>
      <c r="BJ20" s="24">
        <f>IF(BJ4=Assumptions!$E$174,Assumptions!$E$177,0)</f>
        <v>0</v>
      </c>
      <c r="BK20" s="24">
        <f>IF(BK4=Assumptions!$E$174,Assumptions!$E$177,0)</f>
        <v>0</v>
      </c>
      <c r="BL20" s="24">
        <f>IF(BL4=Assumptions!$E$174,Assumptions!$E$177,0)</f>
        <v>0</v>
      </c>
      <c r="BM20" s="24">
        <f>IF(BM4=Assumptions!$E$174,Assumptions!$E$177,0)</f>
        <v>0</v>
      </c>
      <c r="BN20" s="24">
        <f>IF(BN4=Assumptions!$E$174,Assumptions!$E$177,0)</f>
        <v>0</v>
      </c>
      <c r="BO20" s="24">
        <f>IF(BO4=Assumptions!$E$174,Assumptions!$E$177,0)</f>
        <v>34053701.861557066</v>
      </c>
      <c r="BP20" s="24">
        <f>IF(BP4=Assumptions!$E$174,Assumptions!$E$177,0)</f>
        <v>0</v>
      </c>
      <c r="BQ20" s="24">
        <f>IF(BQ4=Assumptions!$E$174,Assumptions!$E$177,0)</f>
        <v>0</v>
      </c>
      <c r="BR20" s="24">
        <f>IF(BR4=Assumptions!$E$174,Assumptions!$E$177,0)</f>
        <v>0</v>
      </c>
      <c r="BS20" s="24">
        <f>IF(BS4=Assumptions!$E$174,Assumptions!$E$177,0)</f>
        <v>0</v>
      </c>
      <c r="BT20" s="24">
        <f>IF(BT4=Assumptions!$E$174,Assumptions!$E$177,0)</f>
        <v>0</v>
      </c>
      <c r="BU20" s="24">
        <f>IF(BU4=Assumptions!$E$174,Assumptions!$E$177,0)</f>
        <v>0</v>
      </c>
      <c r="BV20" s="24">
        <f>IF(BV4=Assumptions!$E$174,Assumptions!$E$177,0)</f>
        <v>0</v>
      </c>
      <c r="BW20" s="24">
        <f>IF(BW4=Assumptions!$E$174,Assumptions!$E$177,0)</f>
        <v>0</v>
      </c>
      <c r="BX20" s="24">
        <f>IF(BX4=Assumptions!$E$174,Assumptions!$E$177,0)</f>
        <v>0</v>
      </c>
      <c r="BY20" s="24">
        <f>IF(BY4=Assumptions!$E$174,Assumptions!$E$177,0)</f>
        <v>0</v>
      </c>
      <c r="BZ20" s="24">
        <f>IF(BZ4=Assumptions!$E$174,Assumptions!$E$177,0)</f>
        <v>0</v>
      </c>
      <c r="CA20" s="24">
        <f>IF(CA4=Assumptions!$E$174,Assumptions!$E$177,0)</f>
        <v>0</v>
      </c>
      <c r="CB20" s="24">
        <f>IF(CB4=Assumptions!$E$174,Assumptions!$E$177,0)</f>
        <v>0</v>
      </c>
      <c r="CC20" s="24">
        <f>IF(CC4=Assumptions!$E$174,Assumptions!$E$177,0)</f>
        <v>0</v>
      </c>
      <c r="CD20" s="24">
        <f>IF(CD4=Assumptions!$E$174,Assumptions!$E$177,0)</f>
        <v>0</v>
      </c>
      <c r="CE20" s="24">
        <f>IF(CE4=Assumptions!$E$174,Assumptions!$E$177,0)</f>
        <v>0</v>
      </c>
      <c r="CF20" s="24">
        <f>IF(CF4=Assumptions!$E$174,Assumptions!$E$177,0)</f>
        <v>0</v>
      </c>
      <c r="CG20" s="24">
        <f>IF(CG4=Assumptions!$E$174,Assumptions!$E$177,0)</f>
        <v>0</v>
      </c>
      <c r="CH20" s="24">
        <f>IF(CH4=Assumptions!$E$174,Assumptions!$E$177,0)</f>
        <v>0</v>
      </c>
      <c r="CI20" s="24">
        <f>IF(CI4=Assumptions!$E$174,Assumptions!$E$177,0)</f>
        <v>0</v>
      </c>
      <c r="CJ20" s="24">
        <f>IF(CJ4=Assumptions!$E$174,Assumptions!$E$177,0)</f>
        <v>0</v>
      </c>
      <c r="CK20" s="24">
        <f>IF(CK4=Assumptions!$E$174,Assumptions!$E$177,0)</f>
        <v>0</v>
      </c>
      <c r="CL20" s="24">
        <f>IF(CL4=Assumptions!$E$174,Assumptions!$E$177,0)</f>
        <v>0</v>
      </c>
      <c r="CM20" s="24">
        <f>IF(CM4=Assumptions!$E$174,Assumptions!$E$177,0)</f>
        <v>0</v>
      </c>
      <c r="CN20" s="24">
        <f>IF(CN4=Assumptions!$E$174,Assumptions!$E$177,0)</f>
        <v>0</v>
      </c>
      <c r="CO20" s="24">
        <f>IF(CO4=Assumptions!$E$174,Assumptions!$E$177,0)</f>
        <v>0</v>
      </c>
      <c r="CP20" s="24">
        <f>IF(CP4=Assumptions!$E$174,Assumptions!$E$177,0)</f>
        <v>0</v>
      </c>
      <c r="CQ20" s="24">
        <f>IF(CQ4=Assumptions!$E$174,Assumptions!$E$177,0)</f>
        <v>0</v>
      </c>
      <c r="CR20" s="24">
        <f>IF(CR4=Assumptions!$E$174,Assumptions!$E$177,0)</f>
        <v>0</v>
      </c>
      <c r="CS20" s="24">
        <f>IF(CS4=Assumptions!$E$174,Assumptions!$E$177,0)</f>
        <v>0</v>
      </c>
      <c r="CT20" s="24">
        <f>IF(CT4=Assumptions!$E$174,Assumptions!$E$177,0)</f>
        <v>0</v>
      </c>
      <c r="CU20" s="24">
        <f>IF(CU4=Assumptions!$E$174,Assumptions!$E$177,0)</f>
        <v>0</v>
      </c>
      <c r="CV20" s="24">
        <f>IF(CV4=Assumptions!$E$174,Assumptions!$E$177,0)</f>
        <v>0</v>
      </c>
      <c r="CW20" s="24">
        <f>IF(CW4=Assumptions!$E$174,Assumptions!$E$177,0)</f>
        <v>0</v>
      </c>
      <c r="CX20" s="24">
        <f>IF(CX4=Assumptions!$E$174,Assumptions!$E$177,0)</f>
        <v>0</v>
      </c>
      <c r="CY20" s="24">
        <f>IF(CY4=Assumptions!$E$174,Assumptions!$E$177,0)</f>
        <v>0</v>
      </c>
      <c r="CZ20" s="24">
        <f>IF(CZ4=Assumptions!$E$174,Assumptions!$E$177,0)</f>
        <v>0</v>
      </c>
      <c r="DA20" s="24">
        <f>IF(DA4=Assumptions!$E$174,Assumptions!$E$177,0)</f>
        <v>0</v>
      </c>
      <c r="DB20" s="24">
        <f>IF(DB4=Assumptions!$E$174,Assumptions!$E$177,0)</f>
        <v>0</v>
      </c>
      <c r="DC20" s="24">
        <f>IF(DC4=Assumptions!$E$174,Assumptions!$E$177,0)</f>
        <v>0</v>
      </c>
      <c r="DD20" s="24">
        <f>IF(DD4=Assumptions!$E$174,Assumptions!$E$177,0)</f>
        <v>0</v>
      </c>
      <c r="DE20" s="24">
        <f>IF(DE4=Assumptions!$E$174,Assumptions!$E$177,0)</f>
        <v>0</v>
      </c>
      <c r="DF20" s="24">
        <f>IF(DF4=Assumptions!$E$174,Assumptions!$E$177,0)</f>
        <v>0</v>
      </c>
      <c r="DG20" s="24">
        <f>IF(DG4=Assumptions!$E$174,Assumptions!$E$177,0)</f>
        <v>0</v>
      </c>
      <c r="DH20" s="24">
        <f>IF(DH4=Assumptions!$E$174,Assumptions!$E$177,0)</f>
        <v>0</v>
      </c>
      <c r="DI20" s="24">
        <f>IF(DI4=Assumptions!$E$174,Assumptions!$E$177,0)</f>
        <v>0</v>
      </c>
      <c r="DJ20" s="24">
        <f>IF(DJ4=Assumptions!$E$174,Assumptions!$E$177,0)</f>
        <v>0</v>
      </c>
      <c r="DK20" s="24">
        <f>IF(DK4=Assumptions!$E$174,Assumptions!$E$177,0)</f>
        <v>0</v>
      </c>
      <c r="DL20" s="24">
        <f>IF(DL4=Assumptions!$E$174,Assumptions!$E$177,0)</f>
        <v>0</v>
      </c>
      <c r="DM20" s="24">
        <f>IF(DM4=Assumptions!$E$174,Assumptions!$E$177,0)</f>
        <v>0</v>
      </c>
      <c r="DN20" s="24">
        <f>IF(DN4=Assumptions!$E$174,Assumptions!$E$177,0)</f>
        <v>0</v>
      </c>
      <c r="DO20" s="24">
        <f>IF(DO4=Assumptions!$E$174,Assumptions!$E$177,0)</f>
        <v>0</v>
      </c>
      <c r="DP20" s="24">
        <f>IF(DP4=Assumptions!$E$174,Assumptions!$E$177,0)</f>
        <v>0</v>
      </c>
      <c r="DQ20" s="24">
        <f>IF(DQ4=Assumptions!$E$174,Assumptions!$E$177,0)</f>
        <v>0</v>
      </c>
      <c r="DR20" s="24">
        <f>IF(DR4=Assumptions!$E$174,Assumptions!$E$177,0)</f>
        <v>0</v>
      </c>
      <c r="DS20" s="24">
        <f>IF(DS4=Assumptions!$E$174,Assumptions!$E$177,0)</f>
        <v>0</v>
      </c>
      <c r="DT20" s="24">
        <f>IF(DT4=Assumptions!$E$174,Assumptions!$E$177,0)</f>
        <v>0</v>
      </c>
      <c r="DU20" s="24">
        <f>IF(DU4=Assumptions!$E$174,Assumptions!$E$177,0)</f>
        <v>0</v>
      </c>
      <c r="DV20" s="24">
        <f>IF(DV4=Assumptions!$E$174,Assumptions!$E$177,0)</f>
        <v>0</v>
      </c>
      <c r="DW20" s="24">
        <f>IF(DW4=Assumptions!$E$174,Assumptions!$E$177,0)</f>
        <v>0</v>
      </c>
      <c r="DX20" s="24">
        <f>IF(DX4=Assumptions!$E$174,Assumptions!$E$177,0)</f>
        <v>0</v>
      </c>
      <c r="DY20" s="24">
        <f>IF(DY4=Assumptions!$E$174,Assumptions!$E$177,0)</f>
        <v>0</v>
      </c>
      <c r="DZ20" s="24">
        <f>IF(DZ4=Assumptions!$E$174,Assumptions!$E$177,0)</f>
        <v>0</v>
      </c>
      <c r="EA20" s="24">
        <f>IF(EA4=Assumptions!$E$174,Assumptions!$E$177,0)</f>
        <v>0</v>
      </c>
      <c r="EB20" s="24">
        <f>IF(EB4=Assumptions!$E$174,Assumptions!$E$177,0)</f>
        <v>0</v>
      </c>
      <c r="EC20" s="24">
        <f>IF(EC4=Assumptions!$E$174,Assumptions!$E$177,0)</f>
        <v>0</v>
      </c>
      <c r="ED20" s="24">
        <f>IF(ED4=Assumptions!$E$174,Assumptions!$E$177,0)</f>
        <v>0</v>
      </c>
      <c r="EE20" s="24">
        <f>IF(EE4=Assumptions!$E$174,Assumptions!$E$177,0)</f>
        <v>0</v>
      </c>
      <c r="EF20" s="24">
        <f>IF(EF4=Assumptions!$E$174,Assumptions!$E$177,0)</f>
        <v>0</v>
      </c>
      <c r="EG20" s="24">
        <f>IF(EG4=Assumptions!$E$174,Assumptions!$E$177,0)</f>
        <v>0</v>
      </c>
      <c r="EH20" s="24">
        <f>IF(EH4=Assumptions!$E$174,Assumptions!$E$177,0)</f>
        <v>0</v>
      </c>
      <c r="EI20" s="24">
        <f>IF(EI4=Assumptions!$E$174,Assumptions!$E$177,0)</f>
        <v>0</v>
      </c>
      <c r="EM20" s="1" t="s">
        <v>191</v>
      </c>
    </row>
    <row r="21" spans="4:143" x14ac:dyDescent="0.45">
      <c r="D21" s="1" t="s">
        <v>11</v>
      </c>
      <c r="G21" s="24">
        <f>IF(G4=Assumptions!$E$174,Assumptions!$E$179,0)</f>
        <v>0</v>
      </c>
      <c r="H21" s="24">
        <f>IF(H4=Assumptions!$E$174,Assumptions!$E$179,0)</f>
        <v>0</v>
      </c>
      <c r="I21" s="24">
        <f>IF(I4=Assumptions!$E$174,Assumptions!$E$179,0)</f>
        <v>0</v>
      </c>
      <c r="J21" s="24">
        <f>IF(J4=Assumptions!$E$174,Assumptions!$E$179,0)</f>
        <v>0</v>
      </c>
      <c r="K21" s="24">
        <f>IF(K4=Assumptions!$E$174,Assumptions!$E$179,0)</f>
        <v>0</v>
      </c>
      <c r="L21" s="24">
        <f>IF(L4=Assumptions!$E$174,Assumptions!$E$179,0)</f>
        <v>0</v>
      </c>
      <c r="M21" s="24">
        <f>IF(M4=Assumptions!$E$174,Assumptions!$E$179,0)</f>
        <v>0</v>
      </c>
      <c r="N21" s="24">
        <f>IF(N4=Assumptions!$E$174,Assumptions!$E$179,0)</f>
        <v>0</v>
      </c>
      <c r="O21" s="24">
        <f>IF(O4=Assumptions!$E$174,Assumptions!$E$179,0)</f>
        <v>0</v>
      </c>
      <c r="P21" s="24">
        <f>IF(P4=Assumptions!$E$174,Assumptions!$E$179,0)</f>
        <v>0</v>
      </c>
      <c r="Q21" s="24">
        <f>IF(Q4=Assumptions!$E$174,Assumptions!$E$179,0)</f>
        <v>0</v>
      </c>
      <c r="R21" s="24">
        <f>IF(R4=Assumptions!$E$174,Assumptions!$E$179,0)</f>
        <v>0</v>
      </c>
      <c r="S21" s="24">
        <f>IF(S4=Assumptions!$E$174,Assumptions!$E$179,0)</f>
        <v>0</v>
      </c>
      <c r="T21" s="24">
        <f>IF(T4=Assumptions!$E$174,Assumptions!$E$179,0)</f>
        <v>0</v>
      </c>
      <c r="U21" s="24">
        <f>IF(U4=Assumptions!$E$174,Assumptions!$E$179,0)</f>
        <v>0</v>
      </c>
      <c r="V21" s="24">
        <f>IF(V4=Assumptions!$E$174,Assumptions!$E$179,0)</f>
        <v>0</v>
      </c>
      <c r="W21" s="24">
        <f>IF(W4=Assumptions!$E$174,Assumptions!$E$179,0)</f>
        <v>0</v>
      </c>
      <c r="X21" s="24">
        <f>IF(X4=Assumptions!$E$174,Assumptions!$E$179,0)</f>
        <v>0</v>
      </c>
      <c r="Y21" s="24">
        <f>IF(Y4=Assumptions!$E$174,Assumptions!$E$179,0)</f>
        <v>0</v>
      </c>
      <c r="Z21" s="24">
        <f>IF(Z4=Assumptions!$E$174,Assumptions!$E$179,0)</f>
        <v>0</v>
      </c>
      <c r="AA21" s="24">
        <f>IF(AA4=Assumptions!$E$174,Assumptions!$E$179,0)</f>
        <v>0</v>
      </c>
      <c r="AB21" s="24">
        <f>IF(AB4=Assumptions!$E$174,Assumptions!$E$179,0)</f>
        <v>0</v>
      </c>
      <c r="AC21" s="24">
        <f>IF(AC4=Assumptions!$E$174,Assumptions!$E$179,0)</f>
        <v>0</v>
      </c>
      <c r="AD21" s="24">
        <f>IF(AD4=Assumptions!$E$174,Assumptions!$E$179,0)</f>
        <v>0</v>
      </c>
      <c r="AE21" s="24">
        <f>IF(AE4=Assumptions!$E$174,Assumptions!$E$179,0)</f>
        <v>0</v>
      </c>
      <c r="AF21" s="24">
        <f>IF(AF4=Assumptions!$E$174,Assumptions!$E$179,0)</f>
        <v>0</v>
      </c>
      <c r="AG21" s="24">
        <f>IF(AG4=Assumptions!$E$174,Assumptions!$E$179,0)</f>
        <v>0</v>
      </c>
      <c r="AH21" s="24">
        <f>IF(AH4=Assumptions!$E$174,Assumptions!$E$179,0)</f>
        <v>0</v>
      </c>
      <c r="AI21" s="24">
        <f>IF(AI4=Assumptions!$E$174,Assumptions!$E$179,0)</f>
        <v>0</v>
      </c>
      <c r="AJ21" s="24">
        <f>IF(AJ4=Assumptions!$E$174,Assumptions!$E$179,0)</f>
        <v>0</v>
      </c>
      <c r="AK21" s="24">
        <f>IF(AK4=Assumptions!$E$174,Assumptions!$E$179,0)</f>
        <v>0</v>
      </c>
      <c r="AL21" s="24">
        <f>IF(AL4=Assumptions!$E$174,Assumptions!$E$179,0)</f>
        <v>0</v>
      </c>
      <c r="AM21" s="24">
        <f>IF(AM4=Assumptions!$E$174,Assumptions!$E$179,0)</f>
        <v>0</v>
      </c>
      <c r="AN21" s="24">
        <f>IF(AN4=Assumptions!$E$174,Assumptions!$E$179,0)</f>
        <v>0</v>
      </c>
      <c r="AO21" s="24">
        <f>IF(AO4=Assumptions!$E$174,Assumptions!$E$179,0)</f>
        <v>0</v>
      </c>
      <c r="AP21" s="24">
        <f>IF(AP4=Assumptions!$E$174,Assumptions!$E$179,0)</f>
        <v>0</v>
      </c>
      <c r="AQ21" s="24">
        <f>IF(AQ4=Assumptions!$E$174,Assumptions!$E$179,0)</f>
        <v>0</v>
      </c>
      <c r="AR21" s="24">
        <f>IF(AR4=Assumptions!$E$174,Assumptions!$E$179,0)</f>
        <v>0</v>
      </c>
      <c r="AS21" s="24">
        <f>IF(AS4=Assumptions!$E$174,Assumptions!$E$179,0)</f>
        <v>0</v>
      </c>
      <c r="AT21" s="24">
        <f>IF(AT4=Assumptions!$E$174,Assumptions!$E$179,0)</f>
        <v>0</v>
      </c>
      <c r="AU21" s="24">
        <f>IF(AU4=Assumptions!$E$174,Assumptions!$E$179,0)</f>
        <v>0</v>
      </c>
      <c r="AV21" s="24">
        <f>IF(AV4=Assumptions!$E$174,Assumptions!$E$179,0)</f>
        <v>0</v>
      </c>
      <c r="AW21" s="24">
        <f>IF(AW4=Assumptions!$E$174,Assumptions!$E$179,0)</f>
        <v>0</v>
      </c>
      <c r="AX21" s="24">
        <f>IF(AX4=Assumptions!$E$174,Assumptions!$E$179,0)</f>
        <v>0</v>
      </c>
      <c r="AY21" s="24">
        <f>IF(AY4=Assumptions!$E$174,Assumptions!$E$179,0)</f>
        <v>0</v>
      </c>
      <c r="AZ21" s="24">
        <f>IF(AZ4=Assumptions!$E$174,Assumptions!$E$179,0)</f>
        <v>0</v>
      </c>
      <c r="BA21" s="24">
        <f>IF(BA4=Assumptions!$E$174,Assumptions!$E$179,0)</f>
        <v>0</v>
      </c>
      <c r="BB21" s="24">
        <f>IF(BB4=Assumptions!$E$174,Assumptions!$E$179,0)</f>
        <v>0</v>
      </c>
      <c r="BC21" s="24">
        <f>IF(BC4=Assumptions!$E$174,Assumptions!$E$179,0)</f>
        <v>0</v>
      </c>
      <c r="BD21" s="24">
        <f>IF(BD4=Assumptions!$E$174,Assumptions!$E$179,0)</f>
        <v>0</v>
      </c>
      <c r="BE21" s="24">
        <f>IF(BE4=Assumptions!$E$174,Assumptions!$E$179,0)</f>
        <v>0</v>
      </c>
      <c r="BF21" s="24">
        <f>IF(BF4=Assumptions!$E$174,Assumptions!$E$179,0)</f>
        <v>0</v>
      </c>
      <c r="BG21" s="24">
        <f>IF(BG4=Assumptions!$E$174,Assumptions!$E$179,0)</f>
        <v>0</v>
      </c>
      <c r="BH21" s="24">
        <f>IF(BH4=Assumptions!$E$174,Assumptions!$E$179,0)</f>
        <v>0</v>
      </c>
      <c r="BI21" s="24">
        <f>IF(BI4=Assumptions!$E$174,Assumptions!$E$179,0)</f>
        <v>0</v>
      </c>
      <c r="BJ21" s="24">
        <f>IF(BJ4=Assumptions!$E$174,Assumptions!$E$179,0)</f>
        <v>0</v>
      </c>
      <c r="BK21" s="24">
        <f>IF(BK4=Assumptions!$E$174,Assumptions!$E$179,0)</f>
        <v>0</v>
      </c>
      <c r="BL21" s="24">
        <f>IF(BL4=Assumptions!$E$174,Assumptions!$E$179,0)</f>
        <v>0</v>
      </c>
      <c r="BM21" s="24">
        <f>IF(BM4=Assumptions!$E$174,Assumptions!$E$179,0)</f>
        <v>0</v>
      </c>
      <c r="BN21" s="24">
        <f>IF(BN4=Assumptions!$E$174,Assumptions!$E$179,0)</f>
        <v>0</v>
      </c>
      <c r="BO21" s="24">
        <f>IF(BO4=Assumptions!$E$174,Assumptions!$E$179,0)</f>
        <v>-1055664.7577082689</v>
      </c>
      <c r="BP21" s="24">
        <f>IF(BP4=Assumptions!$E$174,Assumptions!$E$179,0)</f>
        <v>0</v>
      </c>
      <c r="BQ21" s="24">
        <f>IF(BQ4=Assumptions!$E$174,Assumptions!$E$179,0)</f>
        <v>0</v>
      </c>
      <c r="BR21" s="24">
        <f>IF(BR4=Assumptions!$E$174,Assumptions!$E$179,0)</f>
        <v>0</v>
      </c>
      <c r="BS21" s="24">
        <f>IF(BS4=Assumptions!$E$174,Assumptions!$E$179,0)</f>
        <v>0</v>
      </c>
      <c r="BT21" s="24">
        <f>IF(BT4=Assumptions!$E$174,Assumptions!$E$179,0)</f>
        <v>0</v>
      </c>
      <c r="BU21" s="24">
        <f>IF(BU4=Assumptions!$E$174,Assumptions!$E$179,0)</f>
        <v>0</v>
      </c>
      <c r="BV21" s="24">
        <f>IF(BV4=Assumptions!$E$174,Assumptions!$E$179,0)</f>
        <v>0</v>
      </c>
      <c r="BW21" s="24">
        <f>IF(BW4=Assumptions!$E$174,Assumptions!$E$179,0)</f>
        <v>0</v>
      </c>
      <c r="BX21" s="24">
        <f>IF(BX4=Assumptions!$E$174,Assumptions!$E$179,0)</f>
        <v>0</v>
      </c>
      <c r="BY21" s="24">
        <f>IF(BY4=Assumptions!$E$174,Assumptions!$E$179,0)</f>
        <v>0</v>
      </c>
      <c r="BZ21" s="24">
        <f>IF(BZ4=Assumptions!$E$174,Assumptions!$E$179,0)</f>
        <v>0</v>
      </c>
      <c r="CA21" s="24">
        <f>IF(CA4=Assumptions!$E$174,Assumptions!$E$179,0)</f>
        <v>0</v>
      </c>
      <c r="CB21" s="24">
        <f>IF(CB4=Assumptions!$E$174,Assumptions!$E$179,0)</f>
        <v>0</v>
      </c>
      <c r="CC21" s="24">
        <f>IF(CC4=Assumptions!$E$174,Assumptions!$E$179,0)</f>
        <v>0</v>
      </c>
      <c r="CD21" s="24">
        <f>IF(CD4=Assumptions!$E$174,Assumptions!$E$179,0)</f>
        <v>0</v>
      </c>
      <c r="CE21" s="24">
        <f>IF(CE4=Assumptions!$E$174,Assumptions!$E$179,0)</f>
        <v>0</v>
      </c>
      <c r="CF21" s="24">
        <f>IF(CF4=Assumptions!$E$174,Assumptions!$E$179,0)</f>
        <v>0</v>
      </c>
      <c r="CG21" s="24">
        <f>IF(CG4=Assumptions!$E$174,Assumptions!$E$179,0)</f>
        <v>0</v>
      </c>
      <c r="CH21" s="24">
        <f>IF(CH4=Assumptions!$E$174,Assumptions!$E$179,0)</f>
        <v>0</v>
      </c>
      <c r="CI21" s="24">
        <f>IF(CI4=Assumptions!$E$174,Assumptions!$E$179,0)</f>
        <v>0</v>
      </c>
      <c r="CJ21" s="24">
        <f>IF(CJ4=Assumptions!$E$174,Assumptions!$E$179,0)</f>
        <v>0</v>
      </c>
      <c r="CK21" s="24">
        <f>IF(CK4=Assumptions!$E$174,Assumptions!$E$179,0)</f>
        <v>0</v>
      </c>
      <c r="CL21" s="24">
        <f>IF(CL4=Assumptions!$E$174,Assumptions!$E$179,0)</f>
        <v>0</v>
      </c>
      <c r="CM21" s="24">
        <f>IF(CM4=Assumptions!$E$174,Assumptions!$E$179,0)</f>
        <v>0</v>
      </c>
      <c r="CN21" s="24">
        <f>IF(CN4=Assumptions!$E$174,Assumptions!$E$179,0)</f>
        <v>0</v>
      </c>
      <c r="CO21" s="24">
        <f>IF(CO4=Assumptions!$E$174,Assumptions!$E$179,0)</f>
        <v>0</v>
      </c>
      <c r="CP21" s="24">
        <f>IF(CP4=Assumptions!$E$174,Assumptions!$E$179,0)</f>
        <v>0</v>
      </c>
      <c r="CQ21" s="24">
        <f>IF(CQ4=Assumptions!$E$174,Assumptions!$E$179,0)</f>
        <v>0</v>
      </c>
      <c r="CR21" s="24">
        <f>IF(CR4=Assumptions!$E$174,Assumptions!$E$179,0)</f>
        <v>0</v>
      </c>
      <c r="CS21" s="24">
        <f>IF(CS4=Assumptions!$E$174,Assumptions!$E$179,0)</f>
        <v>0</v>
      </c>
      <c r="CT21" s="24">
        <f>IF(CT4=Assumptions!$E$174,Assumptions!$E$179,0)</f>
        <v>0</v>
      </c>
      <c r="CU21" s="24">
        <f>IF(CU4=Assumptions!$E$174,Assumptions!$E$179,0)</f>
        <v>0</v>
      </c>
      <c r="CV21" s="24">
        <f>IF(CV4=Assumptions!$E$174,Assumptions!$E$179,0)</f>
        <v>0</v>
      </c>
      <c r="CW21" s="24">
        <f>IF(CW4=Assumptions!$E$174,Assumptions!$E$179,0)</f>
        <v>0</v>
      </c>
      <c r="CX21" s="24">
        <f>IF(CX4=Assumptions!$E$174,Assumptions!$E$179,0)</f>
        <v>0</v>
      </c>
      <c r="CY21" s="24">
        <f>IF(CY4=Assumptions!$E$174,Assumptions!$E$179,0)</f>
        <v>0</v>
      </c>
      <c r="CZ21" s="24">
        <f>IF(CZ4=Assumptions!$E$174,Assumptions!$E$179,0)</f>
        <v>0</v>
      </c>
      <c r="DA21" s="24">
        <f>IF(DA4=Assumptions!$E$174,Assumptions!$E$179,0)</f>
        <v>0</v>
      </c>
      <c r="DB21" s="24">
        <f>IF(DB4=Assumptions!$E$174,Assumptions!$E$179,0)</f>
        <v>0</v>
      </c>
      <c r="DC21" s="24">
        <f>IF(DC4=Assumptions!$E$174,Assumptions!$E$179,0)</f>
        <v>0</v>
      </c>
      <c r="DD21" s="24">
        <f>IF(DD4=Assumptions!$E$174,Assumptions!$E$179,0)</f>
        <v>0</v>
      </c>
      <c r="DE21" s="24">
        <f>IF(DE4=Assumptions!$E$174,Assumptions!$E$179,0)</f>
        <v>0</v>
      </c>
      <c r="DF21" s="24">
        <f>IF(DF4=Assumptions!$E$174,Assumptions!$E$179,0)</f>
        <v>0</v>
      </c>
      <c r="DG21" s="24">
        <f>IF(DG4=Assumptions!$E$174,Assumptions!$E$179,0)</f>
        <v>0</v>
      </c>
      <c r="DH21" s="24">
        <f>IF(DH4=Assumptions!$E$174,Assumptions!$E$179,0)</f>
        <v>0</v>
      </c>
      <c r="DI21" s="24">
        <f>IF(DI4=Assumptions!$E$174,Assumptions!$E$179,0)</f>
        <v>0</v>
      </c>
      <c r="DJ21" s="24">
        <f>IF(DJ4=Assumptions!$E$174,Assumptions!$E$179,0)</f>
        <v>0</v>
      </c>
      <c r="DK21" s="24">
        <f>IF(DK4=Assumptions!$E$174,Assumptions!$E$179,0)</f>
        <v>0</v>
      </c>
      <c r="DL21" s="24">
        <f>IF(DL4=Assumptions!$E$174,Assumptions!$E$179,0)</f>
        <v>0</v>
      </c>
      <c r="DM21" s="24">
        <f>IF(DM4=Assumptions!$E$174,Assumptions!$E$179,0)</f>
        <v>0</v>
      </c>
      <c r="DN21" s="24">
        <f>IF(DN4=Assumptions!$E$174,Assumptions!$E$179,0)</f>
        <v>0</v>
      </c>
      <c r="DO21" s="24">
        <f>IF(DO4=Assumptions!$E$174,Assumptions!$E$179,0)</f>
        <v>0</v>
      </c>
      <c r="DP21" s="24">
        <f>IF(DP4=Assumptions!$E$174,Assumptions!$E$179,0)</f>
        <v>0</v>
      </c>
      <c r="DQ21" s="24">
        <f>IF(DQ4=Assumptions!$E$174,Assumptions!$E$179,0)</f>
        <v>0</v>
      </c>
      <c r="DR21" s="24">
        <f>IF(DR4=Assumptions!$E$174,Assumptions!$E$179,0)</f>
        <v>0</v>
      </c>
      <c r="DS21" s="24">
        <f>IF(DS4=Assumptions!$E$174,Assumptions!$E$179,0)</f>
        <v>0</v>
      </c>
      <c r="DT21" s="24">
        <f>IF(DT4=Assumptions!$E$174,Assumptions!$E$179,0)</f>
        <v>0</v>
      </c>
      <c r="DU21" s="24">
        <f>IF(DU4=Assumptions!$E$174,Assumptions!$E$179,0)</f>
        <v>0</v>
      </c>
      <c r="DV21" s="24">
        <f>IF(DV4=Assumptions!$E$174,Assumptions!$E$179,0)</f>
        <v>0</v>
      </c>
      <c r="DW21" s="24">
        <f>IF(DW4=Assumptions!$E$174,Assumptions!$E$179,0)</f>
        <v>0</v>
      </c>
      <c r="DX21" s="24">
        <f>IF(DX4=Assumptions!$E$174,Assumptions!$E$179,0)</f>
        <v>0</v>
      </c>
      <c r="DY21" s="24">
        <f>IF(DY4=Assumptions!$E$174,Assumptions!$E$179,0)</f>
        <v>0</v>
      </c>
      <c r="DZ21" s="24">
        <f>IF(DZ4=Assumptions!$E$174,Assumptions!$E$179,0)</f>
        <v>0</v>
      </c>
      <c r="EA21" s="24">
        <f>IF(EA4=Assumptions!$E$174,Assumptions!$E$179,0)</f>
        <v>0</v>
      </c>
      <c r="EB21" s="24">
        <f>IF(EB4=Assumptions!$E$174,Assumptions!$E$179,0)</f>
        <v>0</v>
      </c>
      <c r="EC21" s="24">
        <f>IF(EC4=Assumptions!$E$174,Assumptions!$E$179,0)</f>
        <v>0</v>
      </c>
      <c r="ED21" s="24">
        <f>IF(ED4=Assumptions!$E$174,Assumptions!$E$179,0)</f>
        <v>0</v>
      </c>
      <c r="EE21" s="24">
        <f>IF(EE4=Assumptions!$E$174,Assumptions!$E$179,0)</f>
        <v>0</v>
      </c>
      <c r="EF21" s="24">
        <f>IF(EF4=Assumptions!$E$174,Assumptions!$E$179,0)</f>
        <v>0</v>
      </c>
      <c r="EG21" s="24">
        <f>IF(EG4=Assumptions!$E$174,Assumptions!$E$179,0)</f>
        <v>0</v>
      </c>
      <c r="EH21" s="24">
        <f>IF(EH4=Assumptions!$E$174,Assumptions!$E$179,0)</f>
        <v>0</v>
      </c>
      <c r="EI21" s="24">
        <f>IF(EI4=Assumptions!$E$174,Assumptions!$E$179,0)</f>
        <v>0</v>
      </c>
      <c r="EM21" s="1" t="s">
        <v>191</v>
      </c>
    </row>
    <row r="22" spans="4:143" s="8" customFormat="1" x14ac:dyDescent="0.45">
      <c r="D22" s="4" t="s">
        <v>16</v>
      </c>
      <c r="E22" s="4"/>
      <c r="F22" s="4"/>
      <c r="G22" s="26">
        <f>IF(G4=Assumptions!$E$174,Assumptions!$E$180,0)</f>
        <v>0</v>
      </c>
      <c r="H22" s="26">
        <f>IF(H4=Assumptions!$E$174,Assumptions!$E$180,0)</f>
        <v>0</v>
      </c>
      <c r="I22" s="26">
        <f>IF(I4=Assumptions!$E$174,Assumptions!$E$180,0)</f>
        <v>0</v>
      </c>
      <c r="J22" s="26">
        <f>IF(J4=Assumptions!$E$174,Assumptions!$E$180,0)</f>
        <v>0</v>
      </c>
      <c r="K22" s="26">
        <f>IF(K4=Assumptions!$E$174,Assumptions!$E$180,0)</f>
        <v>0</v>
      </c>
      <c r="L22" s="26">
        <f>IF(L4=Assumptions!$E$174,Assumptions!$E$180,0)</f>
        <v>0</v>
      </c>
      <c r="M22" s="26">
        <f>IF(M4=Assumptions!$E$174,Assumptions!$E$180,0)</f>
        <v>0</v>
      </c>
      <c r="N22" s="26">
        <f>IF(N4=Assumptions!$E$174,Assumptions!$E$180,0)</f>
        <v>0</v>
      </c>
      <c r="O22" s="26">
        <f>IF(O4=Assumptions!$E$174,Assumptions!$E$180,0)</f>
        <v>0</v>
      </c>
      <c r="P22" s="26">
        <f>IF(P4=Assumptions!$E$174,Assumptions!$E$180,0)</f>
        <v>0</v>
      </c>
      <c r="Q22" s="26">
        <f>IF(Q4=Assumptions!$E$174,Assumptions!$E$180,0)</f>
        <v>0</v>
      </c>
      <c r="R22" s="26">
        <f>IF(R4=Assumptions!$E$174,Assumptions!$E$180,0)</f>
        <v>0</v>
      </c>
      <c r="S22" s="26">
        <f>IF(S4=Assumptions!$E$174,Assumptions!$E$180,0)</f>
        <v>0</v>
      </c>
      <c r="T22" s="26">
        <f>IF(T4=Assumptions!$E$174,Assumptions!$E$180,0)</f>
        <v>0</v>
      </c>
      <c r="U22" s="26">
        <f>IF(U4=Assumptions!$E$174,Assumptions!$E$180,0)</f>
        <v>0</v>
      </c>
      <c r="V22" s="26">
        <f>IF(V4=Assumptions!$E$174,Assumptions!$E$180,0)</f>
        <v>0</v>
      </c>
      <c r="W22" s="26">
        <f>IF(W4=Assumptions!$E$174,Assumptions!$E$180,0)</f>
        <v>0</v>
      </c>
      <c r="X22" s="26">
        <f>IF(X4=Assumptions!$E$174,Assumptions!$E$180,0)</f>
        <v>0</v>
      </c>
      <c r="Y22" s="26">
        <f>IF(Y4=Assumptions!$E$174,Assumptions!$E$180,0)</f>
        <v>0</v>
      </c>
      <c r="Z22" s="26">
        <f>IF(Z4=Assumptions!$E$174,Assumptions!$E$180,0)</f>
        <v>0</v>
      </c>
      <c r="AA22" s="26">
        <f>IF(AA4=Assumptions!$E$174,Assumptions!$E$180,0)</f>
        <v>0</v>
      </c>
      <c r="AB22" s="26">
        <f>IF(AB4=Assumptions!$E$174,Assumptions!$E$180,0)</f>
        <v>0</v>
      </c>
      <c r="AC22" s="26">
        <f>IF(AC4=Assumptions!$E$174,Assumptions!$E$180,0)</f>
        <v>0</v>
      </c>
      <c r="AD22" s="26">
        <f>IF(AD4=Assumptions!$E$174,Assumptions!$E$180,0)</f>
        <v>0</v>
      </c>
      <c r="AE22" s="26">
        <f>IF(AE4=Assumptions!$E$174,Assumptions!$E$180,0)</f>
        <v>0</v>
      </c>
      <c r="AF22" s="26">
        <f>IF(AF4=Assumptions!$E$174,Assumptions!$E$180,0)</f>
        <v>0</v>
      </c>
      <c r="AG22" s="26">
        <f>IF(AG4=Assumptions!$E$174,Assumptions!$E$180,0)</f>
        <v>0</v>
      </c>
      <c r="AH22" s="26">
        <f>IF(AH4=Assumptions!$E$174,Assumptions!$E$180,0)</f>
        <v>0</v>
      </c>
      <c r="AI22" s="26">
        <f>IF(AI4=Assumptions!$E$174,Assumptions!$E$180,0)</f>
        <v>0</v>
      </c>
      <c r="AJ22" s="26">
        <f>IF(AJ4=Assumptions!$E$174,Assumptions!$E$180,0)</f>
        <v>0</v>
      </c>
      <c r="AK22" s="26">
        <f>IF(AK4=Assumptions!$E$174,Assumptions!$E$180,0)</f>
        <v>0</v>
      </c>
      <c r="AL22" s="26">
        <f>IF(AL4=Assumptions!$E$174,Assumptions!$E$180,0)</f>
        <v>0</v>
      </c>
      <c r="AM22" s="26">
        <f>IF(AM4=Assumptions!$E$174,Assumptions!$E$180,0)</f>
        <v>0</v>
      </c>
      <c r="AN22" s="26">
        <f>IF(AN4=Assumptions!$E$174,Assumptions!$E$180,0)</f>
        <v>0</v>
      </c>
      <c r="AO22" s="26">
        <f>IF(AO4=Assumptions!$E$174,Assumptions!$E$180,0)</f>
        <v>0</v>
      </c>
      <c r="AP22" s="26">
        <f>IF(AP4=Assumptions!$E$174,Assumptions!$E$180,0)</f>
        <v>0</v>
      </c>
      <c r="AQ22" s="26">
        <f>IF(AQ4=Assumptions!$E$174,Assumptions!$E$180,0)</f>
        <v>0</v>
      </c>
      <c r="AR22" s="26">
        <f>IF(AR4=Assumptions!$E$174,Assumptions!$E$180,0)</f>
        <v>0</v>
      </c>
      <c r="AS22" s="26">
        <f>IF(AS4=Assumptions!$E$174,Assumptions!$E$180,0)</f>
        <v>0</v>
      </c>
      <c r="AT22" s="26">
        <f>IF(AT4=Assumptions!$E$174,Assumptions!$E$180,0)</f>
        <v>0</v>
      </c>
      <c r="AU22" s="26">
        <f>IF(AU4=Assumptions!$E$174,Assumptions!$E$180,0)</f>
        <v>0</v>
      </c>
      <c r="AV22" s="26">
        <f>IF(AV4=Assumptions!$E$174,Assumptions!$E$180,0)</f>
        <v>0</v>
      </c>
      <c r="AW22" s="26">
        <f>IF(AW4=Assumptions!$E$174,Assumptions!$E$180,0)</f>
        <v>0</v>
      </c>
      <c r="AX22" s="26">
        <f>IF(AX4=Assumptions!$E$174,Assumptions!$E$180,0)</f>
        <v>0</v>
      </c>
      <c r="AY22" s="26">
        <f>IF(AY4=Assumptions!$E$174,Assumptions!$E$180,0)</f>
        <v>0</v>
      </c>
      <c r="AZ22" s="26">
        <f>IF(AZ4=Assumptions!$E$174,Assumptions!$E$180,0)</f>
        <v>0</v>
      </c>
      <c r="BA22" s="26">
        <f>IF(BA4=Assumptions!$E$174,Assumptions!$E$180,0)</f>
        <v>0</v>
      </c>
      <c r="BB22" s="26">
        <f>IF(BB4=Assumptions!$E$174,Assumptions!$E$180,0)</f>
        <v>0</v>
      </c>
      <c r="BC22" s="26">
        <f>IF(BC4=Assumptions!$E$174,Assumptions!$E$180,0)</f>
        <v>0</v>
      </c>
      <c r="BD22" s="26">
        <f>IF(BD4=Assumptions!$E$174,Assumptions!$E$180,0)</f>
        <v>0</v>
      </c>
      <c r="BE22" s="26">
        <f>IF(BE4=Assumptions!$E$174,Assumptions!$E$180,0)</f>
        <v>0</v>
      </c>
      <c r="BF22" s="26">
        <f>IF(BF4=Assumptions!$E$174,Assumptions!$E$180,0)</f>
        <v>0</v>
      </c>
      <c r="BG22" s="26">
        <f>IF(BG4=Assumptions!$E$174,Assumptions!$E$180,0)</f>
        <v>0</v>
      </c>
      <c r="BH22" s="26">
        <f>IF(BH4=Assumptions!$E$174,Assumptions!$E$180,0)</f>
        <v>0</v>
      </c>
      <c r="BI22" s="26">
        <f>IF(BI4=Assumptions!$E$174,Assumptions!$E$180,0)</f>
        <v>0</v>
      </c>
      <c r="BJ22" s="26">
        <f>IF(BJ4=Assumptions!$E$174,Assumptions!$E$180,0)</f>
        <v>0</v>
      </c>
      <c r="BK22" s="26">
        <f>IF(BK4=Assumptions!$E$174,Assumptions!$E$180,0)</f>
        <v>0</v>
      </c>
      <c r="BL22" s="26">
        <f>IF(BL4=Assumptions!$E$174,Assumptions!$E$180,0)</f>
        <v>0</v>
      </c>
      <c r="BM22" s="26">
        <f>IF(BM4=Assumptions!$E$174,Assumptions!$E$180,0)</f>
        <v>0</v>
      </c>
      <c r="BN22" s="26">
        <f>IF(BN4=Assumptions!$E$174,Assumptions!$E$180,0)</f>
        <v>0</v>
      </c>
      <c r="BO22" s="26">
        <f>IF(BO4=Assumptions!$E$174,Assumptions!$E$180,0)</f>
        <v>32998037.103848796</v>
      </c>
      <c r="BP22" s="26">
        <f>IF(BP4=Assumptions!$E$174,Assumptions!$E$180,0)</f>
        <v>0</v>
      </c>
      <c r="BQ22" s="26">
        <f>IF(BQ4=Assumptions!$E$174,Assumptions!$E$180,0)</f>
        <v>0</v>
      </c>
      <c r="BR22" s="26">
        <f>IF(BR4=Assumptions!$E$174,Assumptions!$E$180,0)</f>
        <v>0</v>
      </c>
      <c r="BS22" s="26">
        <f>IF(BS4=Assumptions!$E$174,Assumptions!$E$180,0)</f>
        <v>0</v>
      </c>
      <c r="BT22" s="26">
        <f>IF(BT4=Assumptions!$E$174,Assumptions!$E$180,0)</f>
        <v>0</v>
      </c>
      <c r="BU22" s="26">
        <f>IF(BU4=Assumptions!$E$174,Assumptions!$E$180,0)</f>
        <v>0</v>
      </c>
      <c r="BV22" s="26">
        <f>IF(BV4=Assumptions!$E$174,Assumptions!$E$180,0)</f>
        <v>0</v>
      </c>
      <c r="BW22" s="26">
        <f>IF(BW4=Assumptions!$E$174,Assumptions!$E$180,0)</f>
        <v>0</v>
      </c>
      <c r="BX22" s="26">
        <f>IF(BX4=Assumptions!$E$174,Assumptions!$E$180,0)</f>
        <v>0</v>
      </c>
      <c r="BY22" s="26">
        <f>IF(BY4=Assumptions!$E$174,Assumptions!$E$180,0)</f>
        <v>0</v>
      </c>
      <c r="BZ22" s="26">
        <f>IF(BZ4=Assumptions!$E$174,Assumptions!$E$180,0)</f>
        <v>0</v>
      </c>
      <c r="CA22" s="26">
        <f>IF(CA4=Assumptions!$E$174,Assumptions!$E$180,0)</f>
        <v>0</v>
      </c>
      <c r="CB22" s="26">
        <f>IF(CB4=Assumptions!$E$174,Assumptions!$E$180,0)</f>
        <v>0</v>
      </c>
      <c r="CC22" s="26">
        <f>IF(CC4=Assumptions!$E$174,Assumptions!$E$180,0)</f>
        <v>0</v>
      </c>
      <c r="CD22" s="26">
        <f>IF(CD4=Assumptions!$E$174,Assumptions!$E$180,0)</f>
        <v>0</v>
      </c>
      <c r="CE22" s="26">
        <f>IF(CE4=Assumptions!$E$174,Assumptions!$E$180,0)</f>
        <v>0</v>
      </c>
      <c r="CF22" s="26">
        <f>IF(CF4=Assumptions!$E$174,Assumptions!$E$180,0)</f>
        <v>0</v>
      </c>
      <c r="CG22" s="26">
        <f>IF(CG4=Assumptions!$E$174,Assumptions!$E$180,0)</f>
        <v>0</v>
      </c>
      <c r="CH22" s="26">
        <f>IF(CH4=Assumptions!$E$174,Assumptions!$E$180,0)</f>
        <v>0</v>
      </c>
      <c r="CI22" s="26">
        <f>IF(CI4=Assumptions!$E$174,Assumptions!$E$180,0)</f>
        <v>0</v>
      </c>
      <c r="CJ22" s="26">
        <f>IF(CJ4=Assumptions!$E$174,Assumptions!$E$180,0)</f>
        <v>0</v>
      </c>
      <c r="CK22" s="26">
        <f>IF(CK4=Assumptions!$E$174,Assumptions!$E$180,0)</f>
        <v>0</v>
      </c>
      <c r="CL22" s="26">
        <f>IF(CL4=Assumptions!$E$174,Assumptions!$E$180,0)</f>
        <v>0</v>
      </c>
      <c r="CM22" s="26">
        <f>IF(CM4=Assumptions!$E$174,Assumptions!$E$180,0)</f>
        <v>0</v>
      </c>
      <c r="CN22" s="26">
        <f>IF(CN4=Assumptions!$E$174,Assumptions!$E$180,0)</f>
        <v>0</v>
      </c>
      <c r="CO22" s="26">
        <f>IF(CO4=Assumptions!$E$174,Assumptions!$E$180,0)</f>
        <v>0</v>
      </c>
      <c r="CP22" s="26">
        <f>IF(CP4=Assumptions!$E$174,Assumptions!$E$180,0)</f>
        <v>0</v>
      </c>
      <c r="CQ22" s="26">
        <f>IF(CQ4=Assumptions!$E$174,Assumptions!$E$180,0)</f>
        <v>0</v>
      </c>
      <c r="CR22" s="26">
        <f>IF(CR4=Assumptions!$E$174,Assumptions!$E$180,0)</f>
        <v>0</v>
      </c>
      <c r="CS22" s="26">
        <f>IF(CS4=Assumptions!$E$174,Assumptions!$E$180,0)</f>
        <v>0</v>
      </c>
      <c r="CT22" s="26">
        <f>IF(CT4=Assumptions!$E$174,Assumptions!$E$180,0)</f>
        <v>0</v>
      </c>
      <c r="CU22" s="26">
        <f>IF(CU4=Assumptions!$E$174,Assumptions!$E$180,0)</f>
        <v>0</v>
      </c>
      <c r="CV22" s="26">
        <f>IF(CV4=Assumptions!$E$174,Assumptions!$E$180,0)</f>
        <v>0</v>
      </c>
      <c r="CW22" s="26">
        <f>IF(CW4=Assumptions!$E$174,Assumptions!$E$180,0)</f>
        <v>0</v>
      </c>
      <c r="CX22" s="26">
        <f>IF(CX4=Assumptions!$E$174,Assumptions!$E$180,0)</f>
        <v>0</v>
      </c>
      <c r="CY22" s="26">
        <f>IF(CY4=Assumptions!$E$174,Assumptions!$E$180,0)</f>
        <v>0</v>
      </c>
      <c r="CZ22" s="26">
        <f>IF(CZ4=Assumptions!$E$174,Assumptions!$E$180,0)</f>
        <v>0</v>
      </c>
      <c r="DA22" s="26">
        <f>IF(DA4=Assumptions!$E$174,Assumptions!$E$180,0)</f>
        <v>0</v>
      </c>
      <c r="DB22" s="26">
        <f>IF(DB4=Assumptions!$E$174,Assumptions!$E$180,0)</f>
        <v>0</v>
      </c>
      <c r="DC22" s="26">
        <f>IF(DC4=Assumptions!$E$174,Assumptions!$E$180,0)</f>
        <v>0</v>
      </c>
      <c r="DD22" s="26">
        <f>IF(DD4=Assumptions!$E$174,Assumptions!$E$180,0)</f>
        <v>0</v>
      </c>
      <c r="DE22" s="26">
        <f>IF(DE4=Assumptions!$E$174,Assumptions!$E$180,0)</f>
        <v>0</v>
      </c>
      <c r="DF22" s="26">
        <f>IF(DF4=Assumptions!$E$174,Assumptions!$E$180,0)</f>
        <v>0</v>
      </c>
      <c r="DG22" s="26">
        <f>IF(DG4=Assumptions!$E$174,Assumptions!$E$180,0)</f>
        <v>0</v>
      </c>
      <c r="DH22" s="26">
        <f>IF(DH4=Assumptions!$E$174,Assumptions!$E$180,0)</f>
        <v>0</v>
      </c>
      <c r="DI22" s="26">
        <f>IF(DI4=Assumptions!$E$174,Assumptions!$E$180,0)</f>
        <v>0</v>
      </c>
      <c r="DJ22" s="26">
        <f>IF(DJ4=Assumptions!$E$174,Assumptions!$E$180,0)</f>
        <v>0</v>
      </c>
      <c r="DK22" s="26">
        <f>IF(DK4=Assumptions!$E$174,Assumptions!$E$180,0)</f>
        <v>0</v>
      </c>
      <c r="DL22" s="26">
        <f>IF(DL4=Assumptions!$E$174,Assumptions!$E$180,0)</f>
        <v>0</v>
      </c>
      <c r="DM22" s="26">
        <f>IF(DM4=Assumptions!$E$174,Assumptions!$E$180,0)</f>
        <v>0</v>
      </c>
      <c r="DN22" s="26">
        <f>IF(DN4=Assumptions!$E$174,Assumptions!$E$180,0)</f>
        <v>0</v>
      </c>
      <c r="DO22" s="26">
        <f>IF(DO4=Assumptions!$E$174,Assumptions!$E$180,0)</f>
        <v>0</v>
      </c>
      <c r="DP22" s="26">
        <f>IF(DP4=Assumptions!$E$174,Assumptions!$E$180,0)</f>
        <v>0</v>
      </c>
      <c r="DQ22" s="26">
        <f>IF(DQ4=Assumptions!$E$174,Assumptions!$E$180,0)</f>
        <v>0</v>
      </c>
      <c r="DR22" s="26">
        <f>IF(DR4=Assumptions!$E$174,Assumptions!$E$180,0)</f>
        <v>0</v>
      </c>
      <c r="DS22" s="26">
        <f>IF(DS4=Assumptions!$E$174,Assumptions!$E$180,0)</f>
        <v>0</v>
      </c>
      <c r="DT22" s="26">
        <f>IF(DT4=Assumptions!$E$174,Assumptions!$E$180,0)</f>
        <v>0</v>
      </c>
      <c r="DU22" s="26">
        <f>IF(DU4=Assumptions!$E$174,Assumptions!$E$180,0)</f>
        <v>0</v>
      </c>
      <c r="DV22" s="26">
        <f>IF(DV4=Assumptions!$E$174,Assumptions!$E$180,0)</f>
        <v>0</v>
      </c>
      <c r="DW22" s="26">
        <f>IF(DW4=Assumptions!$E$174,Assumptions!$E$180,0)</f>
        <v>0</v>
      </c>
      <c r="DX22" s="26">
        <f>IF(DX4=Assumptions!$E$174,Assumptions!$E$180,0)</f>
        <v>0</v>
      </c>
      <c r="DY22" s="26">
        <f>IF(DY4=Assumptions!$E$174,Assumptions!$E$180,0)</f>
        <v>0</v>
      </c>
      <c r="DZ22" s="26">
        <f>IF(DZ4=Assumptions!$E$174,Assumptions!$E$180,0)</f>
        <v>0</v>
      </c>
      <c r="EA22" s="26">
        <f>IF(EA4=Assumptions!$E$174,Assumptions!$E$180,0)</f>
        <v>0</v>
      </c>
      <c r="EB22" s="26">
        <f>IF(EB4=Assumptions!$E$174,Assumptions!$E$180,0)</f>
        <v>0</v>
      </c>
      <c r="EC22" s="26">
        <f>IF(EC4=Assumptions!$E$174,Assumptions!$E$180,0)</f>
        <v>0</v>
      </c>
      <c r="ED22" s="26">
        <f>IF(ED4=Assumptions!$E$174,Assumptions!$E$180,0)</f>
        <v>0</v>
      </c>
      <c r="EE22" s="26">
        <f>IF(EE4=Assumptions!$E$174,Assumptions!$E$180,0)</f>
        <v>0</v>
      </c>
      <c r="EF22" s="26">
        <f>IF(EF4=Assumptions!$E$174,Assumptions!$E$180,0)</f>
        <v>0</v>
      </c>
      <c r="EG22" s="26">
        <f>IF(EG4=Assumptions!$E$174,Assumptions!$E$180,0)</f>
        <v>0</v>
      </c>
      <c r="EH22" s="26">
        <f>IF(EH4=Assumptions!$E$174,Assumptions!$E$180,0)</f>
        <v>0</v>
      </c>
      <c r="EI22" s="26">
        <f>IF(EI4=Assumptions!$E$174,Assumptions!$E$180,0)</f>
        <v>0</v>
      </c>
      <c r="EM22" s="1" t="s">
        <v>191</v>
      </c>
    </row>
    <row r="23" spans="4:143" x14ac:dyDescent="0.45"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M23" s="1" t="s">
        <v>191</v>
      </c>
    </row>
    <row r="24" spans="4:143" x14ac:dyDescent="0.45">
      <c r="D24" s="1" t="s">
        <v>18</v>
      </c>
      <c r="G24" s="24" cm="1">
        <f t="array" ref="G24">IFERROR(INDEX('NOI Walk'!$H$61:$EI$61,,MATCH(Model!G$4,'NOI Walk'!$H$16:$EI$16,0)),0)</f>
        <v>0</v>
      </c>
      <c r="H24" s="24" cm="1">
        <f t="array" ref="H24">IFERROR(INDEX('NOI Walk'!$H$61:$EI$61,,MATCH(Model!H$4,'NOI Walk'!$H$16:$EI$16,0)),0)</f>
        <v>0</v>
      </c>
      <c r="I24" s="24" cm="1">
        <f t="array" ref="I24">IFERROR(INDEX('NOI Walk'!$H$61:$EI$61,,MATCH(Model!I$4,'NOI Walk'!$H$16:$EI$16,0)),0)</f>
        <v>0</v>
      </c>
      <c r="J24" s="24" cm="1">
        <f t="array" ref="J24">IFERROR(INDEX('NOI Walk'!$H$61:$EI$61,,MATCH(Model!J$4,'NOI Walk'!$H$16:$EI$16,0)),0)</f>
        <v>0</v>
      </c>
      <c r="K24" s="24" cm="1">
        <f t="array" ref="K24">IFERROR(INDEX('NOI Walk'!$H$61:$EI$61,,MATCH(Model!K$4,'NOI Walk'!$H$16:$EI$16,0)),0)</f>
        <v>0</v>
      </c>
      <c r="L24" s="24" cm="1">
        <f t="array" ref="L24">IFERROR(INDEX('NOI Walk'!$H$61:$EI$61,,MATCH(Model!L$4,'NOI Walk'!$H$16:$EI$16,0)),0)</f>
        <v>0</v>
      </c>
      <c r="M24" s="24" cm="1">
        <f t="array" ref="M24">IFERROR(INDEX('NOI Walk'!$H$61:$EI$61,,MATCH(Model!M$4,'NOI Walk'!$H$16:$EI$16,0)),0)</f>
        <v>0</v>
      </c>
      <c r="N24" s="24" cm="1">
        <f t="array" ref="N24">IFERROR(INDEX('NOI Walk'!$H$61:$EI$61,,MATCH(Model!N$4,'NOI Walk'!$H$16:$EI$16,0)),0)</f>
        <v>0</v>
      </c>
      <c r="O24" s="24" cm="1">
        <f t="array" ref="O24">IFERROR(INDEX('NOI Walk'!$H$61:$EI$61,,MATCH(Model!O$4,'NOI Walk'!$H$16:$EI$16,0)),0)</f>
        <v>0</v>
      </c>
      <c r="P24" s="24" cm="1">
        <f t="array" ref="P24">IFERROR(INDEX('NOI Walk'!$H$61:$EI$61,,MATCH(Model!P$4,'NOI Walk'!$H$16:$EI$16,0)),0)</f>
        <v>0</v>
      </c>
      <c r="Q24" s="24" cm="1">
        <f t="array" ref="Q24">IFERROR(INDEX('NOI Walk'!$H$61:$EI$61,,MATCH(Model!Q$4,'NOI Walk'!$H$16:$EI$16,0)),0)</f>
        <v>0</v>
      </c>
      <c r="R24" s="24" cm="1">
        <f t="array" ref="R24">IFERROR(INDEX('NOI Walk'!$H$61:$EI$61,,MATCH(Model!R$4,'NOI Walk'!$H$16:$EI$16,0)),0)</f>
        <v>0</v>
      </c>
      <c r="S24" s="24" cm="1">
        <f t="array" ref="S24">IFERROR(INDEX('NOI Walk'!$H$61:$EI$61,,MATCH(Model!S$4,'NOI Walk'!$H$16:$EI$16,0)),0)</f>
        <v>0</v>
      </c>
      <c r="T24" s="24" cm="1">
        <f t="array" ref="T24">IFERROR(INDEX('NOI Walk'!$H$61:$EI$61,,MATCH(Model!T$4,'NOI Walk'!$H$16:$EI$16,0)),0)</f>
        <v>0</v>
      </c>
      <c r="U24" s="24" cm="1">
        <f t="array" ref="U24">IFERROR(INDEX('NOI Walk'!$H$61:$EI$61,,MATCH(Model!U$4,'NOI Walk'!$H$16:$EI$16,0)),0)</f>
        <v>0</v>
      </c>
      <c r="V24" s="24" cm="1">
        <f t="array" ref="V24">IFERROR(INDEX('NOI Walk'!$H$61:$EI$61,,MATCH(Model!V$4,'NOI Walk'!$H$16:$EI$16,0)),0)</f>
        <v>0</v>
      </c>
      <c r="W24" s="24" cm="1">
        <f t="array" ref="W24">IFERROR(INDEX('NOI Walk'!$H$61:$EI$61,,MATCH(Model!W$4,'NOI Walk'!$H$16:$EI$16,0)),0)</f>
        <v>0</v>
      </c>
      <c r="X24" s="24" cm="1">
        <f t="array" ref="X24">IFERROR(INDEX('NOI Walk'!$H$61:$EI$61,,MATCH(Model!X$4,'NOI Walk'!$H$16:$EI$16,0)),0)</f>
        <v>0</v>
      </c>
      <c r="Y24" s="24" cm="1">
        <f t="array" ref="Y24">IFERROR(INDEX('NOI Walk'!$H$61:$EI$61,,MATCH(Model!Y$4,'NOI Walk'!$H$16:$EI$16,0)),0)</f>
        <v>0</v>
      </c>
      <c r="Z24" s="24" cm="1">
        <f t="array" ref="Z24">IFERROR(INDEX('NOI Walk'!$H$61:$EI$61,,MATCH(Model!Z$4,'NOI Walk'!$H$16:$EI$16,0)),0)</f>
        <v>0</v>
      </c>
      <c r="AA24" s="24" cm="1">
        <f t="array" ref="AA24">IFERROR(INDEX('NOI Walk'!$H$61:$EI$61,,MATCH(Model!AA$4,'NOI Walk'!$H$16:$EI$16,0)),0)</f>
        <v>0</v>
      </c>
      <c r="AB24" s="24" cm="1">
        <f t="array" ref="AB24">IFERROR(INDEX('NOI Walk'!$H$61:$EI$61,,MATCH(Model!AB$4,'NOI Walk'!$H$16:$EI$16,0)),0)</f>
        <v>0</v>
      </c>
      <c r="AC24" s="24" cm="1">
        <f t="array" ref="AC24">IFERROR(INDEX('NOI Walk'!$H$61:$EI$61,,MATCH(Model!AC$4,'NOI Walk'!$H$16:$EI$16,0)),0)</f>
        <v>0</v>
      </c>
      <c r="AD24" s="24" cm="1">
        <f t="array" ref="AD24">IFERROR(INDEX('NOI Walk'!$H$61:$EI$61,,MATCH(Model!AD$4,'NOI Walk'!$H$16:$EI$16,0)),0)</f>
        <v>0</v>
      </c>
      <c r="AE24" s="24" cm="1">
        <f t="array" ref="AE24">IFERROR(INDEX('NOI Walk'!$H$61:$EI$61,,MATCH(Model!AE$4,'NOI Walk'!$H$16:$EI$16,0)),0)</f>
        <v>0</v>
      </c>
      <c r="AF24" s="24" cm="1">
        <f t="array" ref="AF24">IFERROR(INDEX('NOI Walk'!$H$61:$EI$61,,MATCH(Model!AF$4,'NOI Walk'!$H$16:$EI$16,0)),0)</f>
        <v>0</v>
      </c>
      <c r="AG24" s="24" cm="1">
        <f t="array" ref="AG24">IFERROR(INDEX('NOI Walk'!$H$61:$EI$61,,MATCH(Model!AG$4,'NOI Walk'!$H$16:$EI$16,0)),0)</f>
        <v>0</v>
      </c>
      <c r="AH24" s="24" cm="1">
        <f t="array" ref="AH24">IFERROR(INDEX('NOI Walk'!$H$61:$EI$61,,MATCH(Model!AH$4,'NOI Walk'!$H$16:$EI$16,0)),0)</f>
        <v>0</v>
      </c>
      <c r="AI24" s="24" cm="1">
        <f t="array" ref="AI24">IFERROR(INDEX('NOI Walk'!$H$61:$EI$61,,MATCH(Model!AI$4,'NOI Walk'!$H$16:$EI$16,0)),0)</f>
        <v>0</v>
      </c>
      <c r="AJ24" s="24" cm="1">
        <f t="array" ref="AJ24">IFERROR(INDEX('NOI Walk'!$H$61:$EI$61,,MATCH(Model!AJ$4,'NOI Walk'!$H$16:$EI$16,0)),0)</f>
        <v>0</v>
      </c>
      <c r="AK24" s="24" cm="1">
        <f t="array" ref="AK24">IFERROR(INDEX('NOI Walk'!$H$61:$EI$61,,MATCH(Model!AK$4,'NOI Walk'!$H$16:$EI$16,0)),0)</f>
        <v>0</v>
      </c>
      <c r="AL24" s="24" cm="1">
        <f t="array" ref="AL24">IFERROR(INDEX('NOI Walk'!$H$61:$EI$61,,MATCH(Model!AL$4,'NOI Walk'!$H$16:$EI$16,0)),0)</f>
        <v>0</v>
      </c>
      <c r="AM24" s="24" cm="1">
        <f t="array" ref="AM24">IFERROR(INDEX('NOI Walk'!$H$61:$EI$61,,MATCH(Model!AM$4,'NOI Walk'!$H$16:$EI$16,0)),0)</f>
        <v>0</v>
      </c>
      <c r="AN24" s="24" cm="1">
        <f t="array" ref="AN24">IFERROR(INDEX('NOI Walk'!$H$61:$EI$61,,MATCH(Model!AN$4,'NOI Walk'!$H$16:$EI$16,0)),0)</f>
        <v>0</v>
      </c>
      <c r="AO24" s="24" cm="1">
        <f t="array" ref="AO24">IFERROR(INDEX('NOI Walk'!$H$61:$EI$61,,MATCH(Model!AO$4,'NOI Walk'!$H$16:$EI$16,0)),0)</f>
        <v>0</v>
      </c>
      <c r="AP24" s="24" cm="1">
        <f t="array" ref="AP24">IFERROR(INDEX('NOI Walk'!$H$61:$EI$61,,MATCH(Model!AP$4,'NOI Walk'!$H$16:$EI$16,0)),0)</f>
        <v>0</v>
      </c>
      <c r="AQ24" s="24" cm="1">
        <f t="array" ref="AQ24">IFERROR(INDEX('NOI Walk'!$H$61:$EI$61,,MATCH(Model!AQ$4,'NOI Walk'!$H$16:$EI$16,0)),0)</f>
        <v>0</v>
      </c>
      <c r="AR24" s="24" cm="1">
        <f t="array" ref="AR24">IFERROR(INDEX('NOI Walk'!$H$61:$EI$61,,MATCH(Model!AR$4,'NOI Walk'!$H$16:$EI$16,0)),0)</f>
        <v>0</v>
      </c>
      <c r="AS24" s="24" cm="1">
        <f t="array" ref="AS24">IFERROR(INDEX('NOI Walk'!$H$61:$EI$61,,MATCH(Model!AS$4,'NOI Walk'!$H$16:$EI$16,0)),0)</f>
        <v>0</v>
      </c>
      <c r="AT24" s="24" cm="1">
        <f t="array" ref="AT24">IFERROR(INDEX('NOI Walk'!$H$61:$EI$61,,MATCH(Model!AT$4,'NOI Walk'!$H$16:$EI$16,0)),0)</f>
        <v>0</v>
      </c>
      <c r="AU24" s="24" cm="1">
        <f t="array" ref="AU24">IFERROR(INDEX('NOI Walk'!$H$61:$EI$61,,MATCH(Model!AU$4,'NOI Walk'!$H$16:$EI$16,0)),0)</f>
        <v>0</v>
      </c>
      <c r="AV24" s="24" cm="1">
        <f t="array" ref="AV24">IFERROR(INDEX('NOI Walk'!$H$61:$EI$61,,MATCH(Model!AV$4,'NOI Walk'!$H$16:$EI$16,0)),0)</f>
        <v>0</v>
      </c>
      <c r="AW24" s="24" cm="1">
        <f t="array" ref="AW24">IFERROR(INDEX('NOI Walk'!$H$61:$EI$61,,MATCH(Model!AW$4,'NOI Walk'!$H$16:$EI$16,0)),0)</f>
        <v>0</v>
      </c>
      <c r="AX24" s="24" cm="1">
        <f t="array" ref="AX24">IFERROR(INDEX('NOI Walk'!$H$61:$EI$61,,MATCH(Model!AX$4,'NOI Walk'!$H$16:$EI$16,0)),0)</f>
        <v>0</v>
      </c>
      <c r="AY24" s="24" cm="1">
        <f t="array" ref="AY24">IFERROR(INDEX('NOI Walk'!$H$61:$EI$61,,MATCH(Model!AY$4,'NOI Walk'!$H$16:$EI$16,0)),0)</f>
        <v>0</v>
      </c>
      <c r="AZ24" s="24" cm="1">
        <f t="array" ref="AZ24">IFERROR(INDEX('NOI Walk'!$H$61:$EI$61,,MATCH(Model!AZ$4,'NOI Walk'!$H$16:$EI$16,0)),0)</f>
        <v>0</v>
      </c>
      <c r="BA24" s="24" cm="1">
        <f t="array" ref="BA24">IFERROR(INDEX('NOI Walk'!$H$61:$EI$61,,MATCH(Model!BA$4,'NOI Walk'!$H$16:$EI$16,0)),0)</f>
        <v>0</v>
      </c>
      <c r="BB24" s="24" cm="1">
        <f t="array" ref="BB24">IFERROR(INDEX('NOI Walk'!$H$61:$EI$61,,MATCH(Model!BB$4,'NOI Walk'!$H$16:$EI$16,0)),0)</f>
        <v>0</v>
      </c>
      <c r="BC24" s="24" cm="1">
        <f t="array" ref="BC24">IFERROR(INDEX('NOI Walk'!$H$61:$EI$61,,MATCH(Model!BC$4,'NOI Walk'!$H$16:$EI$16,0)),0)</f>
        <v>0</v>
      </c>
      <c r="BD24" s="24" cm="1">
        <f t="array" ref="BD24">IFERROR(INDEX('NOI Walk'!$H$61:$EI$61,,MATCH(Model!BD$4,'NOI Walk'!$H$16:$EI$16,0)),0)</f>
        <v>0</v>
      </c>
      <c r="BE24" s="24" cm="1">
        <f t="array" ref="BE24">IFERROR(INDEX('NOI Walk'!$H$61:$EI$61,,MATCH(Model!BE$4,'NOI Walk'!$H$16:$EI$16,0)),0)</f>
        <v>0</v>
      </c>
      <c r="BF24" s="24" cm="1">
        <f t="array" ref="BF24">IFERROR(INDEX('NOI Walk'!$H$61:$EI$61,,MATCH(Model!BF$4,'NOI Walk'!$H$16:$EI$16,0)),0)</f>
        <v>0</v>
      </c>
      <c r="BG24" s="24" cm="1">
        <f t="array" ref="BG24">IFERROR(INDEX('NOI Walk'!$H$61:$EI$61,,MATCH(Model!BG$4,'NOI Walk'!$H$16:$EI$16,0)),0)</f>
        <v>0</v>
      </c>
      <c r="BH24" s="24" cm="1">
        <f t="array" ref="BH24">IFERROR(INDEX('NOI Walk'!$H$61:$EI$61,,MATCH(Model!BH$4,'NOI Walk'!$H$16:$EI$16,0)),0)</f>
        <v>0</v>
      </c>
      <c r="BI24" s="24" cm="1">
        <f t="array" ref="BI24">IFERROR(INDEX('NOI Walk'!$H$61:$EI$61,,MATCH(Model!BI$4,'NOI Walk'!$H$16:$EI$16,0)),0)</f>
        <v>0</v>
      </c>
      <c r="BJ24" s="24" cm="1">
        <f t="array" ref="BJ24">IFERROR(INDEX('NOI Walk'!$H$61:$EI$61,,MATCH(Model!BJ$4,'NOI Walk'!$H$16:$EI$16,0)),0)</f>
        <v>0</v>
      </c>
      <c r="BK24" s="24" cm="1">
        <f t="array" ref="BK24">IFERROR(INDEX('NOI Walk'!$H$61:$EI$61,,MATCH(Model!BK$4,'NOI Walk'!$H$16:$EI$16,0)),0)</f>
        <v>0</v>
      </c>
      <c r="BL24" s="24" cm="1">
        <f t="array" ref="BL24">IFERROR(INDEX('NOI Walk'!$H$61:$EI$61,,MATCH(Model!BL$4,'NOI Walk'!$H$16:$EI$16,0)),0)</f>
        <v>0</v>
      </c>
      <c r="BM24" s="24" cm="1">
        <f t="array" ref="BM24">IFERROR(INDEX('NOI Walk'!$H$61:$EI$61,,MATCH(Model!BM$4,'NOI Walk'!$H$16:$EI$16,0)),0)</f>
        <v>0</v>
      </c>
      <c r="BN24" s="24" cm="1">
        <f t="array" ref="BN24">IFERROR(INDEX('NOI Walk'!$H$61:$EI$61,,MATCH(Model!BN$4,'NOI Walk'!$H$16:$EI$16,0)),0)</f>
        <v>0</v>
      </c>
      <c r="BO24" s="24" cm="1">
        <f t="array" ref="BO24">IFERROR(INDEX('NOI Walk'!$H$61:$EI$61,,MATCH(Model!BO$4,'NOI Walk'!$H$16:$EI$16,0)),0)</f>
        <v>0</v>
      </c>
      <c r="BP24" s="24" cm="1">
        <f t="array" ref="BP24">IFERROR(INDEX('NOI Walk'!$H$61:$EI$61,,MATCH(Model!BP$4,'NOI Walk'!$H$16:$EI$16,0)),0)</f>
        <v>0</v>
      </c>
      <c r="BQ24" s="24" cm="1">
        <f t="array" ref="BQ24">IFERROR(INDEX('NOI Walk'!$H$61:$EI$61,,MATCH(Model!BQ$4,'NOI Walk'!$H$16:$EI$16,0)),0)</f>
        <v>0</v>
      </c>
      <c r="BR24" s="24" cm="1">
        <f t="array" ref="BR24">IFERROR(INDEX('NOI Walk'!$H$61:$EI$61,,MATCH(Model!BR$4,'NOI Walk'!$H$16:$EI$16,0)),0)</f>
        <v>0</v>
      </c>
      <c r="BS24" s="24" cm="1">
        <f t="array" ref="BS24">IFERROR(INDEX('NOI Walk'!$H$61:$EI$61,,MATCH(Model!BS$4,'NOI Walk'!$H$16:$EI$16,0)),0)</f>
        <v>0</v>
      </c>
      <c r="BT24" s="24" cm="1">
        <f t="array" ref="BT24">IFERROR(INDEX('NOI Walk'!$H$61:$EI$61,,MATCH(Model!BT$4,'NOI Walk'!$H$16:$EI$16,0)),0)</f>
        <v>0</v>
      </c>
      <c r="BU24" s="24" cm="1">
        <f t="array" ref="BU24">IFERROR(INDEX('NOI Walk'!$H$61:$EI$61,,MATCH(Model!BU$4,'NOI Walk'!$H$16:$EI$16,0)),0)</f>
        <v>0</v>
      </c>
      <c r="BV24" s="24" cm="1">
        <f t="array" ref="BV24">IFERROR(INDEX('NOI Walk'!$H$61:$EI$61,,MATCH(Model!BV$4,'NOI Walk'!$H$16:$EI$16,0)),0)</f>
        <v>0</v>
      </c>
      <c r="BW24" s="24" cm="1">
        <f t="array" ref="BW24">IFERROR(INDEX('NOI Walk'!$H$61:$EI$61,,MATCH(Model!BW$4,'NOI Walk'!$H$16:$EI$16,0)),0)</f>
        <v>0</v>
      </c>
      <c r="BX24" s="24" cm="1">
        <f t="array" ref="BX24">IFERROR(INDEX('NOI Walk'!$H$61:$EI$61,,MATCH(Model!BX$4,'NOI Walk'!$H$16:$EI$16,0)),0)</f>
        <v>0</v>
      </c>
      <c r="BY24" s="24" cm="1">
        <f t="array" ref="BY24">IFERROR(INDEX('NOI Walk'!$H$61:$EI$61,,MATCH(Model!BY$4,'NOI Walk'!$H$16:$EI$16,0)),0)</f>
        <v>0</v>
      </c>
      <c r="BZ24" s="24" cm="1">
        <f t="array" ref="BZ24">IFERROR(INDEX('NOI Walk'!$H$61:$EI$61,,MATCH(Model!BZ$4,'NOI Walk'!$H$16:$EI$16,0)),0)</f>
        <v>0</v>
      </c>
      <c r="CA24" s="24" cm="1">
        <f t="array" ref="CA24">IFERROR(INDEX('NOI Walk'!$H$61:$EI$61,,MATCH(Model!CA$4,'NOI Walk'!$H$16:$EI$16,0)),0)</f>
        <v>0</v>
      </c>
      <c r="CB24" s="24" cm="1">
        <f t="array" ref="CB24">IFERROR(INDEX('NOI Walk'!$H$61:$EI$61,,MATCH(Model!CB$4,'NOI Walk'!$H$16:$EI$16,0)),0)</f>
        <v>0</v>
      </c>
      <c r="CC24" s="24" cm="1">
        <f t="array" ref="CC24">IFERROR(INDEX('NOI Walk'!$H$61:$EI$61,,MATCH(Model!CC$4,'NOI Walk'!$H$16:$EI$16,0)),0)</f>
        <v>0</v>
      </c>
      <c r="CD24" s="24" cm="1">
        <f t="array" ref="CD24">IFERROR(INDEX('NOI Walk'!$H$61:$EI$61,,MATCH(Model!CD$4,'NOI Walk'!$H$16:$EI$16,0)),0)</f>
        <v>0</v>
      </c>
      <c r="CE24" s="24" cm="1">
        <f t="array" ref="CE24">IFERROR(INDEX('NOI Walk'!$H$61:$EI$61,,MATCH(Model!CE$4,'NOI Walk'!$H$16:$EI$16,0)),0)</f>
        <v>0</v>
      </c>
      <c r="CF24" s="24" cm="1">
        <f t="array" ref="CF24">IFERROR(INDEX('NOI Walk'!$H$61:$EI$61,,MATCH(Model!CF$4,'NOI Walk'!$H$16:$EI$16,0)),0)</f>
        <v>0</v>
      </c>
      <c r="CG24" s="24" cm="1">
        <f t="array" ref="CG24">IFERROR(INDEX('NOI Walk'!$H$61:$EI$61,,MATCH(Model!CG$4,'NOI Walk'!$H$16:$EI$16,0)),0)</f>
        <v>0</v>
      </c>
      <c r="CH24" s="24" cm="1">
        <f t="array" ref="CH24">IFERROR(INDEX('NOI Walk'!$H$61:$EI$61,,MATCH(Model!CH$4,'NOI Walk'!$H$16:$EI$16,0)),0)</f>
        <v>0</v>
      </c>
      <c r="CI24" s="24" cm="1">
        <f t="array" ref="CI24">IFERROR(INDEX('NOI Walk'!$H$61:$EI$61,,MATCH(Model!CI$4,'NOI Walk'!$H$16:$EI$16,0)),0)</f>
        <v>0</v>
      </c>
      <c r="CJ24" s="24" cm="1">
        <f t="array" ref="CJ24">IFERROR(INDEX('NOI Walk'!$H$61:$EI$61,,MATCH(Model!CJ$4,'NOI Walk'!$H$16:$EI$16,0)),0)</f>
        <v>0</v>
      </c>
      <c r="CK24" s="24" cm="1">
        <f t="array" ref="CK24">IFERROR(INDEX('NOI Walk'!$H$61:$EI$61,,MATCH(Model!CK$4,'NOI Walk'!$H$16:$EI$16,0)),0)</f>
        <v>0</v>
      </c>
      <c r="CL24" s="24" cm="1">
        <f t="array" ref="CL24">IFERROR(INDEX('NOI Walk'!$H$61:$EI$61,,MATCH(Model!CL$4,'NOI Walk'!$H$16:$EI$16,0)),0)</f>
        <v>0</v>
      </c>
      <c r="CM24" s="24" cm="1">
        <f t="array" ref="CM24">IFERROR(INDEX('NOI Walk'!$H$61:$EI$61,,MATCH(Model!CM$4,'NOI Walk'!$H$16:$EI$16,0)),0)</f>
        <v>0</v>
      </c>
      <c r="CN24" s="24" cm="1">
        <f t="array" ref="CN24">IFERROR(INDEX('NOI Walk'!$H$61:$EI$61,,MATCH(Model!CN$4,'NOI Walk'!$H$16:$EI$16,0)),0)</f>
        <v>0</v>
      </c>
      <c r="CO24" s="24" cm="1">
        <f t="array" ref="CO24">IFERROR(INDEX('NOI Walk'!$H$61:$EI$61,,MATCH(Model!CO$4,'NOI Walk'!$H$16:$EI$16,0)),0)</f>
        <v>0</v>
      </c>
      <c r="CP24" s="24" cm="1">
        <f t="array" ref="CP24">IFERROR(INDEX('NOI Walk'!$H$61:$EI$61,,MATCH(Model!CP$4,'NOI Walk'!$H$16:$EI$16,0)),0)</f>
        <v>0</v>
      </c>
      <c r="CQ24" s="24" cm="1">
        <f t="array" ref="CQ24">IFERROR(INDEX('NOI Walk'!$H$61:$EI$61,,MATCH(Model!CQ$4,'NOI Walk'!$H$16:$EI$16,0)),0)</f>
        <v>0</v>
      </c>
      <c r="CR24" s="24" cm="1">
        <f t="array" ref="CR24">IFERROR(INDEX('NOI Walk'!$H$61:$EI$61,,MATCH(Model!CR$4,'NOI Walk'!$H$16:$EI$16,0)),0)</f>
        <v>0</v>
      </c>
      <c r="CS24" s="24" cm="1">
        <f t="array" ref="CS24">IFERROR(INDEX('NOI Walk'!$H$61:$EI$61,,MATCH(Model!CS$4,'NOI Walk'!$H$16:$EI$16,0)),0)</f>
        <v>0</v>
      </c>
      <c r="CT24" s="24" cm="1">
        <f t="array" ref="CT24">IFERROR(INDEX('NOI Walk'!$H$61:$EI$61,,MATCH(Model!CT$4,'NOI Walk'!$H$16:$EI$16,0)),0)</f>
        <v>0</v>
      </c>
      <c r="CU24" s="24" cm="1">
        <f t="array" ref="CU24">IFERROR(INDEX('NOI Walk'!$H$61:$EI$61,,MATCH(Model!CU$4,'NOI Walk'!$H$16:$EI$16,0)),0)</f>
        <v>0</v>
      </c>
      <c r="CV24" s="24" cm="1">
        <f t="array" ref="CV24">IFERROR(INDEX('NOI Walk'!$H$61:$EI$61,,MATCH(Model!CV$4,'NOI Walk'!$H$16:$EI$16,0)),0)</f>
        <v>0</v>
      </c>
      <c r="CW24" s="24" cm="1">
        <f t="array" ref="CW24">IFERROR(INDEX('NOI Walk'!$H$61:$EI$61,,MATCH(Model!CW$4,'NOI Walk'!$H$16:$EI$16,0)),0)</f>
        <v>0</v>
      </c>
      <c r="CX24" s="24" cm="1">
        <f t="array" ref="CX24">IFERROR(INDEX('NOI Walk'!$H$61:$EI$61,,MATCH(Model!CX$4,'NOI Walk'!$H$16:$EI$16,0)),0)</f>
        <v>0</v>
      </c>
      <c r="CY24" s="24" cm="1">
        <f t="array" ref="CY24">IFERROR(INDEX('NOI Walk'!$H$61:$EI$61,,MATCH(Model!CY$4,'NOI Walk'!$H$16:$EI$16,0)),0)</f>
        <v>0</v>
      </c>
      <c r="CZ24" s="24" cm="1">
        <f t="array" ref="CZ24">IFERROR(INDEX('NOI Walk'!$H$61:$EI$61,,MATCH(Model!CZ$4,'NOI Walk'!$H$16:$EI$16,0)),0)</f>
        <v>0</v>
      </c>
      <c r="DA24" s="24" cm="1">
        <f t="array" ref="DA24">IFERROR(INDEX('NOI Walk'!$H$61:$EI$61,,MATCH(Model!DA$4,'NOI Walk'!$H$16:$EI$16,0)),0)</f>
        <v>0</v>
      </c>
      <c r="DB24" s="24" cm="1">
        <f t="array" ref="DB24">IFERROR(INDEX('NOI Walk'!$H$61:$EI$61,,MATCH(Model!DB$4,'NOI Walk'!$H$16:$EI$16,0)),0)</f>
        <v>0</v>
      </c>
      <c r="DC24" s="24" cm="1">
        <f t="array" ref="DC24">IFERROR(INDEX('NOI Walk'!$H$61:$EI$61,,MATCH(Model!DC$4,'NOI Walk'!$H$16:$EI$16,0)),0)</f>
        <v>0</v>
      </c>
      <c r="DD24" s="24" cm="1">
        <f t="array" ref="DD24">IFERROR(INDEX('NOI Walk'!$H$61:$EI$61,,MATCH(Model!DD$4,'NOI Walk'!$H$16:$EI$16,0)),0)</f>
        <v>0</v>
      </c>
      <c r="DE24" s="24" cm="1">
        <f t="array" ref="DE24">IFERROR(INDEX('NOI Walk'!$H$61:$EI$61,,MATCH(Model!DE$4,'NOI Walk'!$H$16:$EI$16,0)),0)</f>
        <v>0</v>
      </c>
      <c r="DF24" s="24" cm="1">
        <f t="array" ref="DF24">IFERROR(INDEX('NOI Walk'!$H$61:$EI$61,,MATCH(Model!DF$4,'NOI Walk'!$H$16:$EI$16,0)),0)</f>
        <v>0</v>
      </c>
      <c r="DG24" s="24" cm="1">
        <f t="array" ref="DG24">IFERROR(INDEX('NOI Walk'!$H$61:$EI$61,,MATCH(Model!DG$4,'NOI Walk'!$H$16:$EI$16,0)),0)</f>
        <v>0</v>
      </c>
      <c r="DH24" s="24" cm="1">
        <f t="array" ref="DH24">IFERROR(INDEX('NOI Walk'!$H$61:$EI$61,,MATCH(Model!DH$4,'NOI Walk'!$H$16:$EI$16,0)),0)</f>
        <v>0</v>
      </c>
      <c r="DI24" s="24" cm="1">
        <f t="array" ref="DI24">IFERROR(INDEX('NOI Walk'!$H$61:$EI$61,,MATCH(Model!DI$4,'NOI Walk'!$H$16:$EI$16,0)),0)</f>
        <v>0</v>
      </c>
      <c r="DJ24" s="24" cm="1">
        <f t="array" ref="DJ24">IFERROR(INDEX('NOI Walk'!$H$61:$EI$61,,MATCH(Model!DJ$4,'NOI Walk'!$H$16:$EI$16,0)),0)</f>
        <v>0</v>
      </c>
      <c r="DK24" s="24" cm="1">
        <f t="array" ref="DK24">IFERROR(INDEX('NOI Walk'!$H$61:$EI$61,,MATCH(Model!DK$4,'NOI Walk'!$H$16:$EI$16,0)),0)</f>
        <v>0</v>
      </c>
      <c r="DL24" s="24" cm="1">
        <f t="array" ref="DL24">IFERROR(INDEX('NOI Walk'!$H$61:$EI$61,,MATCH(Model!DL$4,'NOI Walk'!$H$16:$EI$16,0)),0)</f>
        <v>0</v>
      </c>
      <c r="DM24" s="24" cm="1">
        <f t="array" ref="DM24">IFERROR(INDEX('NOI Walk'!$H$61:$EI$61,,MATCH(Model!DM$4,'NOI Walk'!$H$16:$EI$16,0)),0)</f>
        <v>0</v>
      </c>
      <c r="DN24" s="24" cm="1">
        <f t="array" ref="DN24">IFERROR(INDEX('NOI Walk'!$H$61:$EI$61,,MATCH(Model!DN$4,'NOI Walk'!$H$16:$EI$16,0)),0)</f>
        <v>0</v>
      </c>
      <c r="DO24" s="24" cm="1">
        <f t="array" ref="DO24">IFERROR(INDEX('NOI Walk'!$H$61:$EI$61,,MATCH(Model!DO$4,'NOI Walk'!$H$16:$EI$16,0)),0)</f>
        <v>0</v>
      </c>
      <c r="DP24" s="24" cm="1">
        <f t="array" ref="DP24">IFERROR(INDEX('NOI Walk'!$H$61:$EI$61,,MATCH(Model!DP$4,'NOI Walk'!$H$16:$EI$16,0)),0)</f>
        <v>0</v>
      </c>
      <c r="DQ24" s="24" cm="1">
        <f t="array" ref="DQ24">IFERROR(INDEX('NOI Walk'!$H$61:$EI$61,,MATCH(Model!DQ$4,'NOI Walk'!$H$16:$EI$16,0)),0)</f>
        <v>0</v>
      </c>
      <c r="DR24" s="24" cm="1">
        <f t="array" ref="DR24">IFERROR(INDEX('NOI Walk'!$H$61:$EI$61,,MATCH(Model!DR$4,'NOI Walk'!$H$16:$EI$16,0)),0)</f>
        <v>0</v>
      </c>
      <c r="DS24" s="24" cm="1">
        <f t="array" ref="DS24">IFERROR(INDEX('NOI Walk'!$H$61:$EI$61,,MATCH(Model!DS$4,'NOI Walk'!$H$16:$EI$16,0)),0)</f>
        <v>0</v>
      </c>
      <c r="DT24" s="24" cm="1">
        <f t="array" ref="DT24">IFERROR(INDEX('NOI Walk'!$H$61:$EI$61,,MATCH(Model!DT$4,'NOI Walk'!$H$16:$EI$16,0)),0)</f>
        <v>0</v>
      </c>
      <c r="DU24" s="24" cm="1">
        <f t="array" ref="DU24">IFERROR(INDEX('NOI Walk'!$H$61:$EI$61,,MATCH(Model!DU$4,'NOI Walk'!$H$16:$EI$16,0)),0)</f>
        <v>0</v>
      </c>
      <c r="DV24" s="24" cm="1">
        <f t="array" ref="DV24">IFERROR(INDEX('NOI Walk'!$H$61:$EI$61,,MATCH(Model!DV$4,'NOI Walk'!$H$16:$EI$16,0)),0)</f>
        <v>0</v>
      </c>
      <c r="DW24" s="24" cm="1">
        <f t="array" ref="DW24">IFERROR(INDEX('NOI Walk'!$H$61:$EI$61,,MATCH(Model!DW$4,'NOI Walk'!$H$16:$EI$16,0)),0)</f>
        <v>0</v>
      </c>
      <c r="DX24" s="24" cm="1">
        <f t="array" ref="DX24">IFERROR(INDEX('NOI Walk'!$H$61:$EI$61,,MATCH(Model!DX$4,'NOI Walk'!$H$16:$EI$16,0)),0)</f>
        <v>0</v>
      </c>
      <c r="DY24" s="24" cm="1">
        <f t="array" ref="DY24">IFERROR(INDEX('NOI Walk'!$H$61:$EI$61,,MATCH(Model!DY$4,'NOI Walk'!$H$16:$EI$16,0)),0)</f>
        <v>0</v>
      </c>
      <c r="DZ24" s="24" cm="1">
        <f t="array" ref="DZ24">IFERROR(INDEX('NOI Walk'!$H$61:$EI$61,,MATCH(Model!DZ$4,'NOI Walk'!$H$16:$EI$16,0)),0)</f>
        <v>0</v>
      </c>
      <c r="EA24" s="24" cm="1">
        <f t="array" ref="EA24">IFERROR(INDEX('NOI Walk'!$H$61:$EI$61,,MATCH(Model!EA$4,'NOI Walk'!$H$16:$EI$16,0)),0)</f>
        <v>0</v>
      </c>
      <c r="EB24" s="24" cm="1">
        <f t="array" ref="EB24">IFERROR(INDEX('NOI Walk'!$H$61:$EI$61,,MATCH(Model!EB$4,'NOI Walk'!$H$16:$EI$16,0)),0)</f>
        <v>0</v>
      </c>
      <c r="EC24" s="24" cm="1">
        <f t="array" ref="EC24">IFERROR(INDEX('NOI Walk'!$H$61:$EI$61,,MATCH(Model!EC$4,'NOI Walk'!$H$16:$EI$16,0)),0)</f>
        <v>0</v>
      </c>
      <c r="ED24" s="24" cm="1">
        <f t="array" ref="ED24">IFERROR(INDEX('NOI Walk'!$H$61:$EI$61,,MATCH(Model!ED$4,'NOI Walk'!$H$16:$EI$16,0)),0)</f>
        <v>0</v>
      </c>
      <c r="EE24" s="24" cm="1">
        <f t="array" ref="EE24">IFERROR(INDEX('NOI Walk'!$H$61:$EI$61,,MATCH(Model!EE$4,'NOI Walk'!$H$16:$EI$16,0)),0)</f>
        <v>0</v>
      </c>
      <c r="EF24" s="24" cm="1">
        <f t="array" ref="EF24">IFERROR(INDEX('NOI Walk'!$H$61:$EI$61,,MATCH(Model!EF$4,'NOI Walk'!$H$16:$EI$16,0)),0)</f>
        <v>0</v>
      </c>
      <c r="EG24" s="24" cm="1">
        <f t="array" ref="EG24">IFERROR(INDEX('NOI Walk'!$H$61:$EI$61,,MATCH(Model!EG$4,'NOI Walk'!$H$16:$EI$16,0)),0)</f>
        <v>0</v>
      </c>
      <c r="EH24" s="24" cm="1">
        <f t="array" ref="EH24">IFERROR(INDEX('NOI Walk'!$H$61:$EI$61,,MATCH(Model!EH$4,'NOI Walk'!$H$16:$EI$16,0)),0)</f>
        <v>0</v>
      </c>
      <c r="EI24" s="24" cm="1">
        <f t="array" ref="EI24">IFERROR(INDEX('NOI Walk'!$H$61:$EI$61,,MATCH(Model!EI$4,'NOI Walk'!$H$16:$EI$16,0)),0)</f>
        <v>0</v>
      </c>
      <c r="EM24" s="1" t="s">
        <v>191</v>
      </c>
    </row>
    <row r="25" spans="4:143" x14ac:dyDescent="0.45">
      <c r="D25" s="1" t="s">
        <v>148</v>
      </c>
      <c r="G25" s="24" cm="1">
        <f t="array" ref="G25">-IFERROR(INDEX('NOI Walk'!$H$65:$EI$65,,MATCH(Model!G$4,'NOI Walk'!$H$16:$EI$16,0)),0)</f>
        <v>0</v>
      </c>
      <c r="H25" s="24" cm="1">
        <f t="array" ref="H25">-IFERROR(INDEX('NOI Walk'!$H$65:$EI$65,,MATCH(Model!H$4,'NOI Walk'!$H$16:$EI$16,0)),0)</f>
        <v>0</v>
      </c>
      <c r="I25" s="24" cm="1">
        <f t="array" ref="I25">-IFERROR(INDEX('NOI Walk'!$H$65:$EI$65,,MATCH(Model!I$4,'NOI Walk'!$H$16:$EI$16,0)),0)</f>
        <v>0</v>
      </c>
      <c r="J25" s="24" cm="1">
        <f t="array" ref="J25">-IFERROR(INDEX('NOI Walk'!$H$65:$EI$65,,MATCH(Model!J$4,'NOI Walk'!$H$16:$EI$16,0)),0)</f>
        <v>0</v>
      </c>
      <c r="K25" s="24" cm="1">
        <f t="array" ref="K25">-IFERROR(INDEX('NOI Walk'!$H$65:$EI$65,,MATCH(Model!K$4,'NOI Walk'!$H$16:$EI$16,0)),0)</f>
        <v>0</v>
      </c>
      <c r="L25" s="24" cm="1">
        <f t="array" ref="L25">-IFERROR(INDEX('NOI Walk'!$H$65:$EI$65,,MATCH(Model!L$4,'NOI Walk'!$H$16:$EI$16,0)),0)</f>
        <v>0</v>
      </c>
      <c r="M25" s="24" cm="1">
        <f t="array" ref="M25">-IFERROR(INDEX('NOI Walk'!$H$65:$EI$65,,MATCH(Model!M$4,'NOI Walk'!$H$16:$EI$16,0)),0)</f>
        <v>0</v>
      </c>
      <c r="N25" s="24" cm="1">
        <f t="array" ref="N25">-IFERROR(INDEX('NOI Walk'!$H$65:$EI$65,,MATCH(Model!N$4,'NOI Walk'!$H$16:$EI$16,0)),0)</f>
        <v>0</v>
      </c>
      <c r="O25" s="24" cm="1">
        <f t="array" ref="O25">-IFERROR(INDEX('NOI Walk'!$H$65:$EI$65,,MATCH(Model!O$4,'NOI Walk'!$H$16:$EI$16,0)),0)</f>
        <v>0</v>
      </c>
      <c r="P25" s="24" cm="1">
        <f t="array" ref="P25">-IFERROR(INDEX('NOI Walk'!$H$65:$EI$65,,MATCH(Model!P$4,'NOI Walk'!$H$16:$EI$16,0)),0)</f>
        <v>0</v>
      </c>
      <c r="Q25" s="24" cm="1">
        <f t="array" ref="Q25">-IFERROR(INDEX('NOI Walk'!$H$65:$EI$65,,MATCH(Model!Q$4,'NOI Walk'!$H$16:$EI$16,0)),0)</f>
        <v>0</v>
      </c>
      <c r="R25" s="24" cm="1">
        <f t="array" ref="R25">-IFERROR(INDEX('NOI Walk'!$H$65:$EI$65,,MATCH(Model!R$4,'NOI Walk'!$H$16:$EI$16,0)),0)</f>
        <v>0</v>
      </c>
      <c r="S25" s="24" cm="1">
        <f t="array" ref="S25">-IFERROR(INDEX('NOI Walk'!$H$65:$EI$65,,MATCH(Model!S$4,'NOI Walk'!$H$16:$EI$16,0)),0)</f>
        <v>0</v>
      </c>
      <c r="T25" s="24" cm="1">
        <f t="array" ref="T25">-IFERROR(INDEX('NOI Walk'!$H$65:$EI$65,,MATCH(Model!T$4,'NOI Walk'!$H$16:$EI$16,0)),0)</f>
        <v>0</v>
      </c>
      <c r="U25" s="24" cm="1">
        <f t="array" ref="U25">-IFERROR(INDEX('NOI Walk'!$H$65:$EI$65,,MATCH(Model!U$4,'NOI Walk'!$H$16:$EI$16,0)),0)</f>
        <v>0</v>
      </c>
      <c r="V25" s="24" cm="1">
        <f t="array" ref="V25">-IFERROR(INDEX('NOI Walk'!$H$65:$EI$65,,MATCH(Model!V$4,'NOI Walk'!$H$16:$EI$16,0)),0)</f>
        <v>0</v>
      </c>
      <c r="W25" s="24" cm="1">
        <f t="array" ref="W25">-IFERROR(INDEX('NOI Walk'!$H$65:$EI$65,,MATCH(Model!W$4,'NOI Walk'!$H$16:$EI$16,0)),0)</f>
        <v>0</v>
      </c>
      <c r="X25" s="24" cm="1">
        <f t="array" ref="X25">-IFERROR(INDEX('NOI Walk'!$H$65:$EI$65,,MATCH(Model!X$4,'NOI Walk'!$H$16:$EI$16,0)),0)</f>
        <v>0</v>
      </c>
      <c r="Y25" s="24" cm="1">
        <f t="array" ref="Y25">-IFERROR(INDEX('NOI Walk'!$H$65:$EI$65,,MATCH(Model!Y$4,'NOI Walk'!$H$16:$EI$16,0)),0)</f>
        <v>0</v>
      </c>
      <c r="Z25" s="24" cm="1">
        <f t="array" ref="Z25">-IFERROR(INDEX('NOI Walk'!$H$65:$EI$65,,MATCH(Model!Z$4,'NOI Walk'!$H$16:$EI$16,0)),0)</f>
        <v>0</v>
      </c>
      <c r="AA25" s="24" cm="1">
        <f t="array" ref="AA25">-IFERROR(INDEX('NOI Walk'!$H$65:$EI$65,,MATCH(Model!AA$4,'NOI Walk'!$H$16:$EI$16,0)),0)</f>
        <v>0</v>
      </c>
      <c r="AB25" s="24" cm="1">
        <f t="array" ref="AB25">-IFERROR(INDEX('NOI Walk'!$H$65:$EI$65,,MATCH(Model!AB$4,'NOI Walk'!$H$16:$EI$16,0)),0)</f>
        <v>0</v>
      </c>
      <c r="AC25" s="24" cm="1">
        <f t="array" ref="AC25">-IFERROR(INDEX('NOI Walk'!$H$65:$EI$65,,MATCH(Model!AC$4,'NOI Walk'!$H$16:$EI$16,0)),0)</f>
        <v>0</v>
      </c>
      <c r="AD25" s="24" cm="1">
        <f t="array" ref="AD25">-IFERROR(INDEX('NOI Walk'!$H$65:$EI$65,,MATCH(Model!AD$4,'NOI Walk'!$H$16:$EI$16,0)),0)</f>
        <v>0</v>
      </c>
      <c r="AE25" s="24" cm="1">
        <f t="array" ref="AE25">-IFERROR(INDEX('NOI Walk'!$H$65:$EI$65,,MATCH(Model!AE$4,'NOI Walk'!$H$16:$EI$16,0)),0)</f>
        <v>0</v>
      </c>
      <c r="AF25" s="24" cm="1">
        <f t="array" ref="AF25">-IFERROR(INDEX('NOI Walk'!$H$65:$EI$65,,MATCH(Model!AF$4,'NOI Walk'!$H$16:$EI$16,0)),0)</f>
        <v>0</v>
      </c>
      <c r="AG25" s="24" cm="1">
        <f t="array" ref="AG25">-IFERROR(INDEX('NOI Walk'!$H$65:$EI$65,,MATCH(Model!AG$4,'NOI Walk'!$H$16:$EI$16,0)),0)</f>
        <v>0</v>
      </c>
      <c r="AH25" s="24" cm="1">
        <f t="array" ref="AH25">-IFERROR(INDEX('NOI Walk'!$H$65:$EI$65,,MATCH(Model!AH$4,'NOI Walk'!$H$16:$EI$16,0)),0)</f>
        <v>0</v>
      </c>
      <c r="AI25" s="24" cm="1">
        <f t="array" ref="AI25">-IFERROR(INDEX('NOI Walk'!$H$65:$EI$65,,MATCH(Model!AI$4,'NOI Walk'!$H$16:$EI$16,0)),0)</f>
        <v>0</v>
      </c>
      <c r="AJ25" s="24" cm="1">
        <f t="array" ref="AJ25">-IFERROR(INDEX('NOI Walk'!$H$65:$EI$65,,MATCH(Model!AJ$4,'NOI Walk'!$H$16:$EI$16,0)),0)</f>
        <v>0</v>
      </c>
      <c r="AK25" s="24" cm="1">
        <f t="array" ref="AK25">-IFERROR(INDEX('NOI Walk'!$H$65:$EI$65,,MATCH(Model!AK$4,'NOI Walk'!$H$16:$EI$16,0)),0)</f>
        <v>0</v>
      </c>
      <c r="AL25" s="24" cm="1">
        <f t="array" ref="AL25">-IFERROR(INDEX('NOI Walk'!$H$65:$EI$65,,MATCH(Model!AL$4,'NOI Walk'!$H$16:$EI$16,0)),0)</f>
        <v>0</v>
      </c>
      <c r="AM25" s="24" cm="1">
        <f t="array" ref="AM25">-IFERROR(INDEX('NOI Walk'!$H$65:$EI$65,,MATCH(Model!AM$4,'NOI Walk'!$H$16:$EI$16,0)),0)</f>
        <v>0</v>
      </c>
      <c r="AN25" s="24" cm="1">
        <f t="array" ref="AN25">-IFERROR(INDEX('NOI Walk'!$H$65:$EI$65,,MATCH(Model!AN$4,'NOI Walk'!$H$16:$EI$16,0)),0)</f>
        <v>0</v>
      </c>
      <c r="AO25" s="24" cm="1">
        <f t="array" ref="AO25">-IFERROR(INDEX('NOI Walk'!$H$65:$EI$65,,MATCH(Model!AO$4,'NOI Walk'!$H$16:$EI$16,0)),0)</f>
        <v>0</v>
      </c>
      <c r="AP25" s="24" cm="1">
        <f t="array" ref="AP25">-IFERROR(INDEX('NOI Walk'!$H$65:$EI$65,,MATCH(Model!AP$4,'NOI Walk'!$H$16:$EI$16,0)),0)</f>
        <v>0</v>
      </c>
      <c r="AQ25" s="24" cm="1">
        <f t="array" ref="AQ25">-IFERROR(INDEX('NOI Walk'!$H$65:$EI$65,,MATCH(Model!AQ$4,'NOI Walk'!$H$16:$EI$16,0)),0)</f>
        <v>0</v>
      </c>
      <c r="AR25" s="24" cm="1">
        <f t="array" ref="AR25">-IFERROR(INDEX('NOI Walk'!$H$65:$EI$65,,MATCH(Model!AR$4,'NOI Walk'!$H$16:$EI$16,0)),0)</f>
        <v>0</v>
      </c>
      <c r="AS25" s="24" cm="1">
        <f t="array" ref="AS25">-IFERROR(INDEX('NOI Walk'!$H$65:$EI$65,,MATCH(Model!AS$4,'NOI Walk'!$H$16:$EI$16,0)),0)</f>
        <v>0</v>
      </c>
      <c r="AT25" s="24" cm="1">
        <f t="array" ref="AT25">-IFERROR(INDEX('NOI Walk'!$H$65:$EI$65,,MATCH(Model!AT$4,'NOI Walk'!$H$16:$EI$16,0)),0)</f>
        <v>0</v>
      </c>
      <c r="AU25" s="24" cm="1">
        <f t="array" ref="AU25">-IFERROR(INDEX('NOI Walk'!$H$65:$EI$65,,MATCH(Model!AU$4,'NOI Walk'!$H$16:$EI$16,0)),0)</f>
        <v>0</v>
      </c>
      <c r="AV25" s="24" cm="1">
        <f t="array" ref="AV25">-IFERROR(INDEX('NOI Walk'!$H$65:$EI$65,,MATCH(Model!AV$4,'NOI Walk'!$H$16:$EI$16,0)),0)</f>
        <v>0</v>
      </c>
      <c r="AW25" s="24" cm="1">
        <f t="array" ref="AW25">-IFERROR(INDEX('NOI Walk'!$H$65:$EI$65,,MATCH(Model!AW$4,'NOI Walk'!$H$16:$EI$16,0)),0)</f>
        <v>0</v>
      </c>
      <c r="AX25" s="24" cm="1">
        <f t="array" ref="AX25">-IFERROR(INDEX('NOI Walk'!$H$65:$EI$65,,MATCH(Model!AX$4,'NOI Walk'!$H$16:$EI$16,0)),0)</f>
        <v>0</v>
      </c>
      <c r="AY25" s="24" cm="1">
        <f t="array" ref="AY25">-IFERROR(INDEX('NOI Walk'!$H$65:$EI$65,,MATCH(Model!AY$4,'NOI Walk'!$H$16:$EI$16,0)),0)</f>
        <v>0</v>
      </c>
      <c r="AZ25" s="24" cm="1">
        <f t="array" ref="AZ25">-IFERROR(INDEX('NOI Walk'!$H$65:$EI$65,,MATCH(Model!AZ$4,'NOI Walk'!$H$16:$EI$16,0)),0)</f>
        <v>0</v>
      </c>
      <c r="BA25" s="24" cm="1">
        <f t="array" ref="BA25">-IFERROR(INDEX('NOI Walk'!$H$65:$EI$65,,MATCH(Model!BA$4,'NOI Walk'!$H$16:$EI$16,0)),0)</f>
        <v>0</v>
      </c>
      <c r="BB25" s="24" cm="1">
        <f t="array" ref="BB25">-IFERROR(INDEX('NOI Walk'!$H$65:$EI$65,,MATCH(Model!BB$4,'NOI Walk'!$H$16:$EI$16,0)),0)</f>
        <v>0</v>
      </c>
      <c r="BC25" s="24" cm="1">
        <f t="array" ref="BC25">-IFERROR(INDEX('NOI Walk'!$H$65:$EI$65,,MATCH(Model!BC$4,'NOI Walk'!$H$16:$EI$16,0)),0)</f>
        <v>0</v>
      </c>
      <c r="BD25" s="24" cm="1">
        <f t="array" ref="BD25">-IFERROR(INDEX('NOI Walk'!$H$65:$EI$65,,MATCH(Model!BD$4,'NOI Walk'!$H$16:$EI$16,0)),0)</f>
        <v>0</v>
      </c>
      <c r="BE25" s="24" cm="1">
        <f t="array" ref="BE25">-IFERROR(INDEX('NOI Walk'!$H$65:$EI$65,,MATCH(Model!BE$4,'NOI Walk'!$H$16:$EI$16,0)),0)</f>
        <v>0</v>
      </c>
      <c r="BF25" s="24" cm="1">
        <f t="array" ref="BF25">-IFERROR(INDEX('NOI Walk'!$H$65:$EI$65,,MATCH(Model!BF$4,'NOI Walk'!$H$16:$EI$16,0)),0)</f>
        <v>0</v>
      </c>
      <c r="BG25" s="24" cm="1">
        <f t="array" ref="BG25">-IFERROR(INDEX('NOI Walk'!$H$65:$EI$65,,MATCH(Model!BG$4,'NOI Walk'!$H$16:$EI$16,0)),0)</f>
        <v>0</v>
      </c>
      <c r="BH25" s="24" cm="1">
        <f t="array" ref="BH25">-IFERROR(INDEX('NOI Walk'!$H$65:$EI$65,,MATCH(Model!BH$4,'NOI Walk'!$H$16:$EI$16,0)),0)</f>
        <v>0</v>
      </c>
      <c r="BI25" s="24" cm="1">
        <f t="array" ref="BI25">-IFERROR(INDEX('NOI Walk'!$H$65:$EI$65,,MATCH(Model!BI$4,'NOI Walk'!$H$16:$EI$16,0)),0)</f>
        <v>0</v>
      </c>
      <c r="BJ25" s="24" cm="1">
        <f t="array" ref="BJ25">-IFERROR(INDEX('NOI Walk'!$H$65:$EI$65,,MATCH(Model!BJ$4,'NOI Walk'!$H$16:$EI$16,0)),0)</f>
        <v>0</v>
      </c>
      <c r="BK25" s="24" cm="1">
        <f t="array" ref="BK25">-IFERROR(INDEX('NOI Walk'!$H$65:$EI$65,,MATCH(Model!BK$4,'NOI Walk'!$H$16:$EI$16,0)),0)</f>
        <v>0</v>
      </c>
      <c r="BL25" s="24" cm="1">
        <f t="array" ref="BL25">-IFERROR(INDEX('NOI Walk'!$H$65:$EI$65,,MATCH(Model!BL$4,'NOI Walk'!$H$16:$EI$16,0)),0)</f>
        <v>0</v>
      </c>
      <c r="BM25" s="24" cm="1">
        <f t="array" ref="BM25">-IFERROR(INDEX('NOI Walk'!$H$65:$EI$65,,MATCH(Model!BM$4,'NOI Walk'!$H$16:$EI$16,0)),0)</f>
        <v>0</v>
      </c>
      <c r="BN25" s="24" cm="1">
        <f t="array" ref="BN25">-IFERROR(INDEX('NOI Walk'!$H$65:$EI$65,,MATCH(Model!BN$4,'NOI Walk'!$H$16:$EI$16,0)),0)</f>
        <v>0</v>
      </c>
      <c r="BO25" s="24" cm="1">
        <f t="array" ref="BO25">-IFERROR(INDEX('NOI Walk'!$H$65:$EI$65,,MATCH(Model!BO$4,'NOI Walk'!$H$16:$EI$16,0)),0)</f>
        <v>0</v>
      </c>
      <c r="BP25" s="24" cm="1">
        <f t="array" ref="BP25">-IFERROR(INDEX('NOI Walk'!$H$65:$EI$65,,MATCH(Model!BP$4,'NOI Walk'!$H$16:$EI$16,0)),0)</f>
        <v>0</v>
      </c>
      <c r="BQ25" s="24" cm="1">
        <f t="array" ref="BQ25">-IFERROR(INDEX('NOI Walk'!$H$65:$EI$65,,MATCH(Model!BQ$4,'NOI Walk'!$H$16:$EI$16,0)),0)</f>
        <v>0</v>
      </c>
      <c r="BR25" s="24" cm="1">
        <f t="array" ref="BR25">-IFERROR(INDEX('NOI Walk'!$H$65:$EI$65,,MATCH(Model!BR$4,'NOI Walk'!$H$16:$EI$16,0)),0)</f>
        <v>0</v>
      </c>
      <c r="BS25" s="24" cm="1">
        <f t="array" ref="BS25">-IFERROR(INDEX('NOI Walk'!$H$65:$EI$65,,MATCH(Model!BS$4,'NOI Walk'!$H$16:$EI$16,0)),0)</f>
        <v>0</v>
      </c>
      <c r="BT25" s="24" cm="1">
        <f t="array" ref="BT25">-IFERROR(INDEX('NOI Walk'!$H$65:$EI$65,,MATCH(Model!BT$4,'NOI Walk'!$H$16:$EI$16,0)),0)</f>
        <v>0</v>
      </c>
      <c r="BU25" s="24" cm="1">
        <f t="array" ref="BU25">-IFERROR(INDEX('NOI Walk'!$H$65:$EI$65,,MATCH(Model!BU$4,'NOI Walk'!$H$16:$EI$16,0)),0)</f>
        <v>0</v>
      </c>
      <c r="BV25" s="24" cm="1">
        <f t="array" ref="BV25">-IFERROR(INDEX('NOI Walk'!$H$65:$EI$65,,MATCH(Model!BV$4,'NOI Walk'!$H$16:$EI$16,0)),0)</f>
        <v>0</v>
      </c>
      <c r="BW25" s="24" cm="1">
        <f t="array" ref="BW25">-IFERROR(INDEX('NOI Walk'!$H$65:$EI$65,,MATCH(Model!BW$4,'NOI Walk'!$H$16:$EI$16,0)),0)</f>
        <v>0</v>
      </c>
      <c r="BX25" s="24" cm="1">
        <f t="array" ref="BX25">-IFERROR(INDEX('NOI Walk'!$H$65:$EI$65,,MATCH(Model!BX$4,'NOI Walk'!$H$16:$EI$16,0)),0)</f>
        <v>0</v>
      </c>
      <c r="BY25" s="24" cm="1">
        <f t="array" ref="BY25">-IFERROR(INDEX('NOI Walk'!$H$65:$EI$65,,MATCH(Model!BY$4,'NOI Walk'!$H$16:$EI$16,0)),0)</f>
        <v>0</v>
      </c>
      <c r="BZ25" s="24" cm="1">
        <f t="array" ref="BZ25">-IFERROR(INDEX('NOI Walk'!$H$65:$EI$65,,MATCH(Model!BZ$4,'NOI Walk'!$H$16:$EI$16,0)),0)</f>
        <v>0</v>
      </c>
      <c r="CA25" s="24" cm="1">
        <f t="array" ref="CA25">-IFERROR(INDEX('NOI Walk'!$H$65:$EI$65,,MATCH(Model!CA$4,'NOI Walk'!$H$16:$EI$16,0)),0)</f>
        <v>0</v>
      </c>
      <c r="CB25" s="24" cm="1">
        <f t="array" ref="CB25">-IFERROR(INDEX('NOI Walk'!$H$65:$EI$65,,MATCH(Model!CB$4,'NOI Walk'!$H$16:$EI$16,0)),0)</f>
        <v>0</v>
      </c>
      <c r="CC25" s="24" cm="1">
        <f t="array" ref="CC25">-IFERROR(INDEX('NOI Walk'!$H$65:$EI$65,,MATCH(Model!CC$4,'NOI Walk'!$H$16:$EI$16,0)),0)</f>
        <v>0</v>
      </c>
      <c r="CD25" s="24" cm="1">
        <f t="array" ref="CD25">-IFERROR(INDEX('NOI Walk'!$H$65:$EI$65,,MATCH(Model!CD$4,'NOI Walk'!$H$16:$EI$16,0)),0)</f>
        <v>0</v>
      </c>
      <c r="CE25" s="24" cm="1">
        <f t="array" ref="CE25">-IFERROR(INDEX('NOI Walk'!$H$65:$EI$65,,MATCH(Model!CE$4,'NOI Walk'!$H$16:$EI$16,0)),0)</f>
        <v>0</v>
      </c>
      <c r="CF25" s="24" cm="1">
        <f t="array" ref="CF25">-IFERROR(INDEX('NOI Walk'!$H$65:$EI$65,,MATCH(Model!CF$4,'NOI Walk'!$H$16:$EI$16,0)),0)</f>
        <v>0</v>
      </c>
      <c r="CG25" s="24" cm="1">
        <f t="array" ref="CG25">-IFERROR(INDEX('NOI Walk'!$H$65:$EI$65,,MATCH(Model!CG$4,'NOI Walk'!$H$16:$EI$16,0)),0)</f>
        <v>0</v>
      </c>
      <c r="CH25" s="24" cm="1">
        <f t="array" ref="CH25">-IFERROR(INDEX('NOI Walk'!$H$65:$EI$65,,MATCH(Model!CH$4,'NOI Walk'!$H$16:$EI$16,0)),0)</f>
        <v>0</v>
      </c>
      <c r="CI25" s="24" cm="1">
        <f t="array" ref="CI25">-IFERROR(INDEX('NOI Walk'!$H$65:$EI$65,,MATCH(Model!CI$4,'NOI Walk'!$H$16:$EI$16,0)),0)</f>
        <v>0</v>
      </c>
      <c r="CJ25" s="24" cm="1">
        <f t="array" ref="CJ25">-IFERROR(INDEX('NOI Walk'!$H$65:$EI$65,,MATCH(Model!CJ$4,'NOI Walk'!$H$16:$EI$16,0)),0)</f>
        <v>0</v>
      </c>
      <c r="CK25" s="24" cm="1">
        <f t="array" ref="CK25">-IFERROR(INDEX('NOI Walk'!$H$65:$EI$65,,MATCH(Model!CK$4,'NOI Walk'!$H$16:$EI$16,0)),0)</f>
        <v>0</v>
      </c>
      <c r="CL25" s="24" cm="1">
        <f t="array" ref="CL25">-IFERROR(INDEX('NOI Walk'!$H$65:$EI$65,,MATCH(Model!CL$4,'NOI Walk'!$H$16:$EI$16,0)),0)</f>
        <v>0</v>
      </c>
      <c r="CM25" s="24" cm="1">
        <f t="array" ref="CM25">-IFERROR(INDEX('NOI Walk'!$H$65:$EI$65,,MATCH(Model!CM$4,'NOI Walk'!$H$16:$EI$16,0)),0)</f>
        <v>0</v>
      </c>
      <c r="CN25" s="24" cm="1">
        <f t="array" ref="CN25">-IFERROR(INDEX('NOI Walk'!$H$65:$EI$65,,MATCH(Model!CN$4,'NOI Walk'!$H$16:$EI$16,0)),0)</f>
        <v>0</v>
      </c>
      <c r="CO25" s="24" cm="1">
        <f t="array" ref="CO25">-IFERROR(INDEX('NOI Walk'!$H$65:$EI$65,,MATCH(Model!CO$4,'NOI Walk'!$H$16:$EI$16,0)),0)</f>
        <v>0</v>
      </c>
      <c r="CP25" s="24" cm="1">
        <f t="array" ref="CP25">-IFERROR(INDEX('NOI Walk'!$H$65:$EI$65,,MATCH(Model!CP$4,'NOI Walk'!$H$16:$EI$16,0)),0)</f>
        <v>0</v>
      </c>
      <c r="CQ25" s="24" cm="1">
        <f t="array" ref="CQ25">-IFERROR(INDEX('NOI Walk'!$H$65:$EI$65,,MATCH(Model!CQ$4,'NOI Walk'!$H$16:$EI$16,0)),0)</f>
        <v>0</v>
      </c>
      <c r="CR25" s="24" cm="1">
        <f t="array" ref="CR25">-IFERROR(INDEX('NOI Walk'!$H$65:$EI$65,,MATCH(Model!CR$4,'NOI Walk'!$H$16:$EI$16,0)),0)</f>
        <v>0</v>
      </c>
      <c r="CS25" s="24" cm="1">
        <f t="array" ref="CS25">-IFERROR(INDEX('NOI Walk'!$H$65:$EI$65,,MATCH(Model!CS$4,'NOI Walk'!$H$16:$EI$16,0)),0)</f>
        <v>0</v>
      </c>
      <c r="CT25" s="24" cm="1">
        <f t="array" ref="CT25">-IFERROR(INDEX('NOI Walk'!$H$65:$EI$65,,MATCH(Model!CT$4,'NOI Walk'!$H$16:$EI$16,0)),0)</f>
        <v>0</v>
      </c>
      <c r="CU25" s="24" cm="1">
        <f t="array" ref="CU25">-IFERROR(INDEX('NOI Walk'!$H$65:$EI$65,,MATCH(Model!CU$4,'NOI Walk'!$H$16:$EI$16,0)),0)</f>
        <v>0</v>
      </c>
      <c r="CV25" s="24" cm="1">
        <f t="array" ref="CV25">-IFERROR(INDEX('NOI Walk'!$H$65:$EI$65,,MATCH(Model!CV$4,'NOI Walk'!$H$16:$EI$16,0)),0)</f>
        <v>0</v>
      </c>
      <c r="CW25" s="24" cm="1">
        <f t="array" ref="CW25">-IFERROR(INDEX('NOI Walk'!$H$65:$EI$65,,MATCH(Model!CW$4,'NOI Walk'!$H$16:$EI$16,0)),0)</f>
        <v>0</v>
      </c>
      <c r="CX25" s="24" cm="1">
        <f t="array" ref="CX25">-IFERROR(INDEX('NOI Walk'!$H$65:$EI$65,,MATCH(Model!CX$4,'NOI Walk'!$H$16:$EI$16,0)),0)</f>
        <v>0</v>
      </c>
      <c r="CY25" s="24" cm="1">
        <f t="array" ref="CY25">-IFERROR(INDEX('NOI Walk'!$H$65:$EI$65,,MATCH(Model!CY$4,'NOI Walk'!$H$16:$EI$16,0)),0)</f>
        <v>0</v>
      </c>
      <c r="CZ25" s="24" cm="1">
        <f t="array" ref="CZ25">-IFERROR(INDEX('NOI Walk'!$H$65:$EI$65,,MATCH(Model!CZ$4,'NOI Walk'!$H$16:$EI$16,0)),0)</f>
        <v>0</v>
      </c>
      <c r="DA25" s="24" cm="1">
        <f t="array" ref="DA25">-IFERROR(INDEX('NOI Walk'!$H$65:$EI$65,,MATCH(Model!DA$4,'NOI Walk'!$H$16:$EI$16,0)),0)</f>
        <v>0</v>
      </c>
      <c r="DB25" s="24" cm="1">
        <f t="array" ref="DB25">-IFERROR(INDEX('NOI Walk'!$H$65:$EI$65,,MATCH(Model!DB$4,'NOI Walk'!$H$16:$EI$16,0)),0)</f>
        <v>0</v>
      </c>
      <c r="DC25" s="24" cm="1">
        <f t="array" ref="DC25">-IFERROR(INDEX('NOI Walk'!$H$65:$EI$65,,MATCH(Model!DC$4,'NOI Walk'!$H$16:$EI$16,0)),0)</f>
        <v>0</v>
      </c>
      <c r="DD25" s="24" cm="1">
        <f t="array" ref="DD25">-IFERROR(INDEX('NOI Walk'!$H$65:$EI$65,,MATCH(Model!DD$4,'NOI Walk'!$H$16:$EI$16,0)),0)</f>
        <v>0</v>
      </c>
      <c r="DE25" s="24" cm="1">
        <f t="array" ref="DE25">-IFERROR(INDEX('NOI Walk'!$H$65:$EI$65,,MATCH(Model!DE$4,'NOI Walk'!$H$16:$EI$16,0)),0)</f>
        <v>0</v>
      </c>
      <c r="DF25" s="24" cm="1">
        <f t="array" ref="DF25">-IFERROR(INDEX('NOI Walk'!$H$65:$EI$65,,MATCH(Model!DF$4,'NOI Walk'!$H$16:$EI$16,0)),0)</f>
        <v>0</v>
      </c>
      <c r="DG25" s="24" cm="1">
        <f t="array" ref="DG25">-IFERROR(INDEX('NOI Walk'!$H$65:$EI$65,,MATCH(Model!DG$4,'NOI Walk'!$H$16:$EI$16,0)),0)</f>
        <v>0</v>
      </c>
      <c r="DH25" s="24" cm="1">
        <f t="array" ref="DH25">-IFERROR(INDEX('NOI Walk'!$H$65:$EI$65,,MATCH(Model!DH$4,'NOI Walk'!$H$16:$EI$16,0)),0)</f>
        <v>0</v>
      </c>
      <c r="DI25" s="24" cm="1">
        <f t="array" ref="DI25">-IFERROR(INDEX('NOI Walk'!$H$65:$EI$65,,MATCH(Model!DI$4,'NOI Walk'!$H$16:$EI$16,0)),0)</f>
        <v>0</v>
      </c>
      <c r="DJ25" s="24" cm="1">
        <f t="array" ref="DJ25">-IFERROR(INDEX('NOI Walk'!$H$65:$EI$65,,MATCH(Model!DJ$4,'NOI Walk'!$H$16:$EI$16,0)),0)</f>
        <v>0</v>
      </c>
      <c r="DK25" s="24" cm="1">
        <f t="array" ref="DK25">-IFERROR(INDEX('NOI Walk'!$H$65:$EI$65,,MATCH(Model!DK$4,'NOI Walk'!$H$16:$EI$16,0)),0)</f>
        <v>0</v>
      </c>
      <c r="DL25" s="24" cm="1">
        <f t="array" ref="DL25">-IFERROR(INDEX('NOI Walk'!$H$65:$EI$65,,MATCH(Model!DL$4,'NOI Walk'!$H$16:$EI$16,0)),0)</f>
        <v>0</v>
      </c>
      <c r="DM25" s="24" cm="1">
        <f t="array" ref="DM25">-IFERROR(INDEX('NOI Walk'!$H$65:$EI$65,,MATCH(Model!DM$4,'NOI Walk'!$H$16:$EI$16,0)),0)</f>
        <v>0</v>
      </c>
      <c r="DN25" s="24" cm="1">
        <f t="array" ref="DN25">-IFERROR(INDEX('NOI Walk'!$H$65:$EI$65,,MATCH(Model!DN$4,'NOI Walk'!$H$16:$EI$16,0)),0)</f>
        <v>0</v>
      </c>
      <c r="DO25" s="24" cm="1">
        <f t="array" ref="DO25">-IFERROR(INDEX('NOI Walk'!$H$65:$EI$65,,MATCH(Model!DO$4,'NOI Walk'!$H$16:$EI$16,0)),0)</f>
        <v>0</v>
      </c>
      <c r="DP25" s="24" cm="1">
        <f t="array" ref="DP25">-IFERROR(INDEX('NOI Walk'!$H$65:$EI$65,,MATCH(Model!DP$4,'NOI Walk'!$H$16:$EI$16,0)),0)</f>
        <v>0</v>
      </c>
      <c r="DQ25" s="24" cm="1">
        <f t="array" ref="DQ25">-IFERROR(INDEX('NOI Walk'!$H$65:$EI$65,,MATCH(Model!DQ$4,'NOI Walk'!$H$16:$EI$16,0)),0)</f>
        <v>0</v>
      </c>
      <c r="DR25" s="24" cm="1">
        <f t="array" ref="DR25">-IFERROR(INDEX('NOI Walk'!$H$65:$EI$65,,MATCH(Model!DR$4,'NOI Walk'!$H$16:$EI$16,0)),0)</f>
        <v>0</v>
      </c>
      <c r="DS25" s="24" cm="1">
        <f t="array" ref="DS25">-IFERROR(INDEX('NOI Walk'!$H$65:$EI$65,,MATCH(Model!DS$4,'NOI Walk'!$H$16:$EI$16,0)),0)</f>
        <v>0</v>
      </c>
      <c r="DT25" s="24" cm="1">
        <f t="array" ref="DT25">-IFERROR(INDEX('NOI Walk'!$H$65:$EI$65,,MATCH(Model!DT$4,'NOI Walk'!$H$16:$EI$16,0)),0)</f>
        <v>0</v>
      </c>
      <c r="DU25" s="24" cm="1">
        <f t="array" ref="DU25">-IFERROR(INDEX('NOI Walk'!$H$65:$EI$65,,MATCH(Model!DU$4,'NOI Walk'!$H$16:$EI$16,0)),0)</f>
        <v>0</v>
      </c>
      <c r="DV25" s="24" cm="1">
        <f t="array" ref="DV25">-IFERROR(INDEX('NOI Walk'!$H$65:$EI$65,,MATCH(Model!DV$4,'NOI Walk'!$H$16:$EI$16,0)),0)</f>
        <v>0</v>
      </c>
      <c r="DW25" s="24" cm="1">
        <f t="array" ref="DW25">-IFERROR(INDEX('NOI Walk'!$H$65:$EI$65,,MATCH(Model!DW$4,'NOI Walk'!$H$16:$EI$16,0)),0)</f>
        <v>0</v>
      </c>
      <c r="DX25" s="24" cm="1">
        <f t="array" ref="DX25">-IFERROR(INDEX('NOI Walk'!$H$65:$EI$65,,MATCH(Model!DX$4,'NOI Walk'!$H$16:$EI$16,0)),0)</f>
        <v>0</v>
      </c>
      <c r="DY25" s="24" cm="1">
        <f t="array" ref="DY25">-IFERROR(INDEX('NOI Walk'!$H$65:$EI$65,,MATCH(Model!DY$4,'NOI Walk'!$H$16:$EI$16,0)),0)</f>
        <v>0</v>
      </c>
      <c r="DZ25" s="24" cm="1">
        <f t="array" ref="DZ25">-IFERROR(INDEX('NOI Walk'!$H$65:$EI$65,,MATCH(Model!DZ$4,'NOI Walk'!$H$16:$EI$16,0)),0)</f>
        <v>0</v>
      </c>
      <c r="EA25" s="24" cm="1">
        <f t="array" ref="EA25">-IFERROR(INDEX('NOI Walk'!$H$65:$EI$65,,MATCH(Model!EA$4,'NOI Walk'!$H$16:$EI$16,0)),0)</f>
        <v>0</v>
      </c>
      <c r="EB25" s="24" cm="1">
        <f t="array" ref="EB25">-IFERROR(INDEX('NOI Walk'!$H$65:$EI$65,,MATCH(Model!EB$4,'NOI Walk'!$H$16:$EI$16,0)),0)</f>
        <v>0</v>
      </c>
      <c r="EC25" s="24" cm="1">
        <f t="array" ref="EC25">-IFERROR(INDEX('NOI Walk'!$H$65:$EI$65,,MATCH(Model!EC$4,'NOI Walk'!$H$16:$EI$16,0)),0)</f>
        <v>0</v>
      </c>
      <c r="ED25" s="24" cm="1">
        <f t="array" ref="ED25">-IFERROR(INDEX('NOI Walk'!$H$65:$EI$65,,MATCH(Model!ED$4,'NOI Walk'!$H$16:$EI$16,0)),0)</f>
        <v>0</v>
      </c>
      <c r="EE25" s="24" cm="1">
        <f t="array" ref="EE25">-IFERROR(INDEX('NOI Walk'!$H$65:$EI$65,,MATCH(Model!EE$4,'NOI Walk'!$H$16:$EI$16,0)),0)</f>
        <v>0</v>
      </c>
      <c r="EF25" s="24" cm="1">
        <f t="array" ref="EF25">-IFERROR(INDEX('NOI Walk'!$H$65:$EI$65,,MATCH(Model!EF$4,'NOI Walk'!$H$16:$EI$16,0)),0)</f>
        <v>0</v>
      </c>
      <c r="EG25" s="24" cm="1">
        <f t="array" ref="EG25">-IFERROR(INDEX('NOI Walk'!$H$65:$EI$65,,MATCH(Model!EG$4,'NOI Walk'!$H$16:$EI$16,0)),0)</f>
        <v>0</v>
      </c>
      <c r="EH25" s="24" cm="1">
        <f t="array" ref="EH25">-IFERROR(INDEX('NOI Walk'!$H$65:$EI$65,,MATCH(Model!EH$4,'NOI Walk'!$H$16:$EI$16,0)),0)</f>
        <v>0</v>
      </c>
      <c r="EI25" s="24" cm="1">
        <f t="array" ref="EI25">-IFERROR(INDEX('NOI Walk'!$H$65:$EI$65,,MATCH(Model!EI$4,'NOI Walk'!$H$16:$EI$16,0)),0)</f>
        <v>0</v>
      </c>
      <c r="EM25" s="1" t="s">
        <v>191</v>
      </c>
    </row>
    <row r="26" spans="4:143" s="8" customFormat="1" x14ac:dyDescent="0.45">
      <c r="D26" s="4" t="s">
        <v>149</v>
      </c>
      <c r="E26" s="4"/>
      <c r="F26" s="4"/>
      <c r="G26" s="26">
        <f>SUM(G24:G25)</f>
        <v>0</v>
      </c>
      <c r="H26" s="26">
        <f t="shared" ref="H26:AU26" si="255">SUM(H24:H25)</f>
        <v>0</v>
      </c>
      <c r="I26" s="26">
        <f t="shared" si="255"/>
        <v>0</v>
      </c>
      <c r="J26" s="26">
        <f t="shared" si="255"/>
        <v>0</v>
      </c>
      <c r="K26" s="26">
        <f t="shared" si="255"/>
        <v>0</v>
      </c>
      <c r="L26" s="26">
        <f t="shared" si="255"/>
        <v>0</v>
      </c>
      <c r="M26" s="26">
        <f t="shared" si="255"/>
        <v>0</v>
      </c>
      <c r="N26" s="26">
        <f t="shared" si="255"/>
        <v>0</v>
      </c>
      <c r="O26" s="26">
        <f t="shared" si="255"/>
        <v>0</v>
      </c>
      <c r="P26" s="26">
        <f t="shared" si="255"/>
        <v>0</v>
      </c>
      <c r="Q26" s="26">
        <f t="shared" si="255"/>
        <v>0</v>
      </c>
      <c r="R26" s="26">
        <f t="shared" si="255"/>
        <v>0</v>
      </c>
      <c r="S26" s="26">
        <f t="shared" si="255"/>
        <v>0</v>
      </c>
      <c r="T26" s="26">
        <f t="shared" si="255"/>
        <v>0</v>
      </c>
      <c r="U26" s="26">
        <f t="shared" si="255"/>
        <v>0</v>
      </c>
      <c r="V26" s="26">
        <f t="shared" si="255"/>
        <v>0</v>
      </c>
      <c r="W26" s="26">
        <f t="shared" si="255"/>
        <v>0</v>
      </c>
      <c r="X26" s="26">
        <f t="shared" si="255"/>
        <v>0</v>
      </c>
      <c r="Y26" s="26">
        <f t="shared" si="255"/>
        <v>0</v>
      </c>
      <c r="Z26" s="26">
        <f t="shared" si="255"/>
        <v>0</v>
      </c>
      <c r="AA26" s="26">
        <f t="shared" si="255"/>
        <v>0</v>
      </c>
      <c r="AB26" s="26">
        <f t="shared" si="255"/>
        <v>0</v>
      </c>
      <c r="AC26" s="26">
        <f t="shared" si="255"/>
        <v>0</v>
      </c>
      <c r="AD26" s="26">
        <f t="shared" si="255"/>
        <v>0</v>
      </c>
      <c r="AE26" s="26">
        <f t="shared" si="255"/>
        <v>0</v>
      </c>
      <c r="AF26" s="26">
        <f t="shared" si="255"/>
        <v>0</v>
      </c>
      <c r="AG26" s="26">
        <f t="shared" si="255"/>
        <v>0</v>
      </c>
      <c r="AH26" s="26">
        <f t="shared" si="255"/>
        <v>0</v>
      </c>
      <c r="AI26" s="26">
        <f t="shared" si="255"/>
        <v>0</v>
      </c>
      <c r="AJ26" s="26">
        <f t="shared" si="255"/>
        <v>0</v>
      </c>
      <c r="AK26" s="26">
        <f t="shared" si="255"/>
        <v>0</v>
      </c>
      <c r="AL26" s="26">
        <f t="shared" si="255"/>
        <v>0</v>
      </c>
      <c r="AM26" s="26">
        <f t="shared" si="255"/>
        <v>0</v>
      </c>
      <c r="AN26" s="26">
        <f t="shared" si="255"/>
        <v>0</v>
      </c>
      <c r="AO26" s="26">
        <f t="shared" si="255"/>
        <v>0</v>
      </c>
      <c r="AP26" s="26">
        <f t="shared" si="255"/>
        <v>0</v>
      </c>
      <c r="AQ26" s="26">
        <f t="shared" si="255"/>
        <v>0</v>
      </c>
      <c r="AR26" s="26">
        <f t="shared" si="255"/>
        <v>0</v>
      </c>
      <c r="AS26" s="26">
        <f t="shared" si="255"/>
        <v>0</v>
      </c>
      <c r="AT26" s="26">
        <f t="shared" si="255"/>
        <v>0</v>
      </c>
      <c r="AU26" s="26">
        <f t="shared" si="255"/>
        <v>0</v>
      </c>
      <c r="AV26" s="26">
        <f t="shared" ref="AV26" si="256">SUM(AV24:AV25)</f>
        <v>0</v>
      </c>
      <c r="AW26" s="26">
        <f t="shared" ref="AW26" si="257">SUM(AW24:AW25)</f>
        <v>0</v>
      </c>
      <c r="AX26" s="26">
        <f t="shared" ref="AX26" si="258">SUM(AX24:AX25)</f>
        <v>0</v>
      </c>
      <c r="AY26" s="26">
        <f t="shared" ref="AY26" si="259">SUM(AY24:AY25)</f>
        <v>0</v>
      </c>
      <c r="AZ26" s="26">
        <f t="shared" ref="AZ26" si="260">SUM(AZ24:AZ25)</f>
        <v>0</v>
      </c>
      <c r="BA26" s="26">
        <f t="shared" ref="BA26" si="261">SUM(BA24:BA25)</f>
        <v>0</v>
      </c>
      <c r="BB26" s="26">
        <f t="shared" ref="BB26" si="262">SUM(BB24:BB25)</f>
        <v>0</v>
      </c>
      <c r="BC26" s="26">
        <f t="shared" ref="BC26" si="263">SUM(BC24:BC25)</f>
        <v>0</v>
      </c>
      <c r="BD26" s="26">
        <f t="shared" ref="BD26" si="264">SUM(BD24:BD25)</f>
        <v>0</v>
      </c>
      <c r="BE26" s="26">
        <f t="shared" ref="BE26" si="265">SUM(BE24:BE25)</f>
        <v>0</v>
      </c>
      <c r="BF26" s="26">
        <f t="shared" ref="BF26" si="266">SUM(BF24:BF25)</f>
        <v>0</v>
      </c>
      <c r="BG26" s="26">
        <f t="shared" ref="BG26" si="267">SUM(BG24:BG25)</f>
        <v>0</v>
      </c>
      <c r="BH26" s="26">
        <f t="shared" ref="BH26" si="268">SUM(BH24:BH25)</f>
        <v>0</v>
      </c>
      <c r="BI26" s="26">
        <f t="shared" ref="BI26" si="269">SUM(BI24:BI25)</f>
        <v>0</v>
      </c>
      <c r="BJ26" s="26">
        <f t="shared" ref="BJ26" si="270">SUM(BJ24:BJ25)</f>
        <v>0</v>
      </c>
      <c r="BK26" s="26">
        <f t="shared" ref="BK26" si="271">SUM(BK24:BK25)</f>
        <v>0</v>
      </c>
      <c r="BL26" s="26">
        <f t="shared" ref="BL26" si="272">SUM(BL24:BL25)</f>
        <v>0</v>
      </c>
      <c r="BM26" s="26">
        <f t="shared" ref="BM26" si="273">SUM(BM24:BM25)</f>
        <v>0</v>
      </c>
      <c r="BN26" s="26">
        <f t="shared" ref="BN26" si="274">SUM(BN24:BN25)</f>
        <v>0</v>
      </c>
      <c r="BO26" s="26">
        <f t="shared" ref="BO26" si="275">SUM(BO24:BO25)</f>
        <v>0</v>
      </c>
      <c r="BP26" s="26">
        <f t="shared" ref="BP26" si="276">SUM(BP24:BP25)</f>
        <v>0</v>
      </c>
      <c r="BQ26" s="26">
        <f t="shared" ref="BQ26" si="277">SUM(BQ24:BQ25)</f>
        <v>0</v>
      </c>
      <c r="BR26" s="26">
        <f t="shared" ref="BR26" si="278">SUM(BR24:BR25)</f>
        <v>0</v>
      </c>
      <c r="BS26" s="26">
        <f t="shared" ref="BS26" si="279">SUM(BS24:BS25)</f>
        <v>0</v>
      </c>
      <c r="BT26" s="26">
        <f t="shared" ref="BT26" si="280">SUM(BT24:BT25)</f>
        <v>0</v>
      </c>
      <c r="BU26" s="26">
        <f t="shared" ref="BU26" si="281">SUM(BU24:BU25)</f>
        <v>0</v>
      </c>
      <c r="BV26" s="26">
        <f t="shared" ref="BV26" si="282">SUM(BV24:BV25)</f>
        <v>0</v>
      </c>
      <c r="BW26" s="26">
        <f t="shared" ref="BW26" si="283">SUM(BW24:BW25)</f>
        <v>0</v>
      </c>
      <c r="BX26" s="26">
        <f t="shared" ref="BX26" si="284">SUM(BX24:BX25)</f>
        <v>0</v>
      </c>
      <c r="BY26" s="26">
        <f t="shared" ref="BY26" si="285">SUM(BY24:BY25)</f>
        <v>0</v>
      </c>
      <c r="BZ26" s="26">
        <f t="shared" ref="BZ26" si="286">SUM(BZ24:BZ25)</f>
        <v>0</v>
      </c>
      <c r="CA26" s="26">
        <f t="shared" ref="CA26" si="287">SUM(CA24:CA25)</f>
        <v>0</v>
      </c>
      <c r="CB26" s="26">
        <f t="shared" ref="CB26" si="288">SUM(CB24:CB25)</f>
        <v>0</v>
      </c>
      <c r="CC26" s="26">
        <f t="shared" ref="CC26" si="289">SUM(CC24:CC25)</f>
        <v>0</v>
      </c>
      <c r="CD26" s="26">
        <f t="shared" ref="CD26" si="290">SUM(CD24:CD25)</f>
        <v>0</v>
      </c>
      <c r="CE26" s="26">
        <f t="shared" ref="CE26" si="291">SUM(CE24:CE25)</f>
        <v>0</v>
      </c>
      <c r="CF26" s="26">
        <f t="shared" ref="CF26" si="292">SUM(CF24:CF25)</f>
        <v>0</v>
      </c>
      <c r="CG26" s="26">
        <f t="shared" ref="CG26" si="293">SUM(CG24:CG25)</f>
        <v>0</v>
      </c>
      <c r="CH26" s="26">
        <f t="shared" ref="CH26" si="294">SUM(CH24:CH25)</f>
        <v>0</v>
      </c>
      <c r="CI26" s="26">
        <f t="shared" ref="CI26" si="295">SUM(CI24:CI25)</f>
        <v>0</v>
      </c>
      <c r="CJ26" s="26">
        <f t="shared" ref="CJ26" si="296">SUM(CJ24:CJ25)</f>
        <v>0</v>
      </c>
      <c r="CK26" s="26">
        <f t="shared" ref="CK26" si="297">SUM(CK24:CK25)</f>
        <v>0</v>
      </c>
      <c r="CL26" s="26">
        <f t="shared" ref="CL26" si="298">SUM(CL24:CL25)</f>
        <v>0</v>
      </c>
      <c r="CM26" s="26">
        <f t="shared" ref="CM26" si="299">SUM(CM24:CM25)</f>
        <v>0</v>
      </c>
      <c r="CN26" s="26">
        <f t="shared" ref="CN26" si="300">SUM(CN24:CN25)</f>
        <v>0</v>
      </c>
      <c r="CO26" s="26">
        <f t="shared" ref="CO26" si="301">SUM(CO24:CO25)</f>
        <v>0</v>
      </c>
      <c r="CP26" s="26">
        <f t="shared" ref="CP26" si="302">SUM(CP24:CP25)</f>
        <v>0</v>
      </c>
      <c r="CQ26" s="26">
        <f t="shared" ref="CQ26" si="303">SUM(CQ24:CQ25)</f>
        <v>0</v>
      </c>
      <c r="CR26" s="26">
        <f t="shared" ref="CR26" si="304">SUM(CR24:CR25)</f>
        <v>0</v>
      </c>
      <c r="CS26" s="26">
        <f t="shared" ref="CS26" si="305">SUM(CS24:CS25)</f>
        <v>0</v>
      </c>
      <c r="CT26" s="26">
        <f t="shared" ref="CT26" si="306">SUM(CT24:CT25)</f>
        <v>0</v>
      </c>
      <c r="CU26" s="26">
        <f t="shared" ref="CU26" si="307">SUM(CU24:CU25)</f>
        <v>0</v>
      </c>
      <c r="CV26" s="26">
        <f t="shared" ref="CV26:EI26" si="308">SUM(CV24:CV25)</f>
        <v>0</v>
      </c>
      <c r="CW26" s="26">
        <f t="shared" si="308"/>
        <v>0</v>
      </c>
      <c r="CX26" s="26">
        <f t="shared" si="308"/>
        <v>0</v>
      </c>
      <c r="CY26" s="26">
        <f t="shared" si="308"/>
        <v>0</v>
      </c>
      <c r="CZ26" s="26">
        <f t="shared" si="308"/>
        <v>0</v>
      </c>
      <c r="DA26" s="26">
        <f t="shared" si="308"/>
        <v>0</v>
      </c>
      <c r="DB26" s="26">
        <f t="shared" si="308"/>
        <v>0</v>
      </c>
      <c r="DC26" s="26">
        <f t="shared" si="308"/>
        <v>0</v>
      </c>
      <c r="DD26" s="26">
        <f t="shared" si="308"/>
        <v>0</v>
      </c>
      <c r="DE26" s="26">
        <f t="shared" si="308"/>
        <v>0</v>
      </c>
      <c r="DF26" s="26">
        <f t="shared" si="308"/>
        <v>0</v>
      </c>
      <c r="DG26" s="26">
        <f t="shared" si="308"/>
        <v>0</v>
      </c>
      <c r="DH26" s="26">
        <f t="shared" si="308"/>
        <v>0</v>
      </c>
      <c r="DI26" s="26">
        <f t="shared" si="308"/>
        <v>0</v>
      </c>
      <c r="DJ26" s="26">
        <f t="shared" si="308"/>
        <v>0</v>
      </c>
      <c r="DK26" s="26">
        <f t="shared" si="308"/>
        <v>0</v>
      </c>
      <c r="DL26" s="26">
        <f t="shared" si="308"/>
        <v>0</v>
      </c>
      <c r="DM26" s="26">
        <f t="shared" si="308"/>
        <v>0</v>
      </c>
      <c r="DN26" s="26">
        <f t="shared" si="308"/>
        <v>0</v>
      </c>
      <c r="DO26" s="26">
        <f t="shared" si="308"/>
        <v>0</v>
      </c>
      <c r="DP26" s="26">
        <f t="shared" si="308"/>
        <v>0</v>
      </c>
      <c r="DQ26" s="26">
        <f t="shared" si="308"/>
        <v>0</v>
      </c>
      <c r="DR26" s="26">
        <f t="shared" si="308"/>
        <v>0</v>
      </c>
      <c r="DS26" s="26">
        <f t="shared" si="308"/>
        <v>0</v>
      </c>
      <c r="DT26" s="26">
        <f t="shared" si="308"/>
        <v>0</v>
      </c>
      <c r="DU26" s="26">
        <f t="shared" si="308"/>
        <v>0</v>
      </c>
      <c r="DV26" s="26">
        <f t="shared" si="308"/>
        <v>0</v>
      </c>
      <c r="DW26" s="26">
        <f t="shared" si="308"/>
        <v>0</v>
      </c>
      <c r="DX26" s="26">
        <f t="shared" si="308"/>
        <v>0</v>
      </c>
      <c r="DY26" s="26">
        <f t="shared" si="308"/>
        <v>0</v>
      </c>
      <c r="DZ26" s="26">
        <f t="shared" si="308"/>
        <v>0</v>
      </c>
      <c r="EA26" s="26">
        <f t="shared" si="308"/>
        <v>0</v>
      </c>
      <c r="EB26" s="26">
        <f t="shared" si="308"/>
        <v>0</v>
      </c>
      <c r="EC26" s="26">
        <f t="shared" si="308"/>
        <v>0</v>
      </c>
      <c r="ED26" s="26">
        <f t="shared" si="308"/>
        <v>0</v>
      </c>
      <c r="EE26" s="26">
        <f t="shared" si="308"/>
        <v>0</v>
      </c>
      <c r="EF26" s="26">
        <f t="shared" si="308"/>
        <v>0</v>
      </c>
      <c r="EG26" s="26">
        <f t="shared" si="308"/>
        <v>0</v>
      </c>
      <c r="EH26" s="26">
        <f t="shared" si="308"/>
        <v>0</v>
      </c>
      <c r="EI26" s="26">
        <f t="shared" si="308"/>
        <v>0</v>
      </c>
      <c r="EM26" s="1" t="s">
        <v>191</v>
      </c>
    </row>
    <row r="27" spans="4:143" x14ac:dyDescent="0.45"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M27" s="1" t="s">
        <v>191</v>
      </c>
    </row>
    <row r="28" spans="4:143" x14ac:dyDescent="0.45">
      <c r="D28" s="1" t="s">
        <v>17</v>
      </c>
      <c r="G28" s="24" cm="1">
        <f t="array" ref="G28">IFERROR(INDEX('NOI Walk'!$H$54:$EI$54,,MATCH(Model!G$4,'NOI Walk'!$H$16:$EI$16,0)),0)</f>
        <v>0</v>
      </c>
      <c r="H28" s="24" cm="1">
        <f t="array" ref="H28">IFERROR(INDEX('NOI Walk'!$H$54:$EI$54,,MATCH(Model!H$4,'NOI Walk'!$H$16:$EI$16,0)),0)</f>
        <v>80459.49491555561</v>
      </c>
      <c r="I28" s="24" cm="1">
        <f t="array" ref="I28">IFERROR(INDEX('NOI Walk'!$H$54:$EI$54,,MATCH(Model!I$4,'NOI Walk'!$H$16:$EI$16,0)),0)</f>
        <v>75837.50810152918</v>
      </c>
      <c r="J28" s="24" cm="1">
        <f t="array" ref="J28">IFERROR(INDEX('NOI Walk'!$H$54:$EI$54,,MATCH(Model!J$4,'NOI Walk'!$H$16:$EI$16,0)),0)</f>
        <v>71196.086942984344</v>
      </c>
      <c r="K28" s="24" cm="1">
        <f t="array" ref="K28">IFERROR(INDEX('NOI Walk'!$H$54:$EI$54,,MATCH(Model!K$4,'NOI Walk'!$H$16:$EI$16,0)),0)</f>
        <v>66535.170775306193</v>
      </c>
      <c r="L28" s="24" cm="1">
        <f t="array" ref="L28">IFERROR(INDEX('NOI Walk'!$H$54:$EI$54,,MATCH(Model!L$4,'NOI Walk'!$H$16:$EI$16,0)),0)</f>
        <v>69219.13678611799</v>
      </c>
      <c r="M28" s="24" cm="1">
        <f t="array" ref="M28">IFERROR(INDEX('NOI Walk'!$H$54:$EI$54,,MATCH(Model!M$4,'NOI Walk'!$H$16:$EI$16,0)),0)</f>
        <v>73435.037491167575</v>
      </c>
      <c r="N28" s="24" cm="1">
        <f t="array" ref="N28">IFERROR(INDEX('NOI Walk'!$H$54:$EI$54,,MATCH(Model!N$4,'NOI Walk'!$H$16:$EI$16,0)),0)</f>
        <v>76143.347400286555</v>
      </c>
      <c r="O28" s="24" cm="1">
        <f t="array" ref="O28">IFERROR(INDEX('NOI Walk'!$H$54:$EI$54,,MATCH(Model!O$4,'NOI Walk'!$H$16:$EI$16,0)),0)</f>
        <v>78862.616593936764</v>
      </c>
      <c r="P28" s="24" cm="1">
        <f t="array" ref="P28">IFERROR(INDEX('NOI Walk'!$H$54:$EI$54,,MATCH(Model!P$4,'NOI Walk'!$H$16:$EI$16,0)),0)</f>
        <v>81592.878969966987</v>
      </c>
      <c r="Q28" s="24" cm="1">
        <f t="array" ref="Q28">IFERROR(INDEX('NOI Walk'!$H$54:$EI$54,,MATCH(Model!Q$4,'NOI Walk'!$H$16:$EI$16,0)),0)</f>
        <v>84334.168519882529</v>
      </c>
      <c r="R28" s="24" cm="1">
        <f t="array" ref="R28">IFERROR(INDEX('NOI Walk'!$H$54:$EI$54,,MATCH(Model!R$4,'NOI Walk'!$H$16:$EI$16,0)),0)</f>
        <v>87086.519329087954</v>
      </c>
      <c r="S28" s="24" cm="1">
        <f t="array" ref="S28">IFERROR(INDEX('NOI Walk'!$H$54:$EI$54,,MATCH(Model!S$4,'NOI Walk'!$H$16:$EI$16,0)),0)</f>
        <v>89849.965577130846</v>
      </c>
      <c r="T28" s="24" cm="1">
        <f t="array" ref="T28">IFERROR(INDEX('NOI Walk'!$H$54:$EI$54,,MATCH(Model!T$4,'NOI Walk'!$H$16:$EI$16,0)),0)</f>
        <v>92624.541537946352</v>
      </c>
      <c r="U28" s="24" cm="1">
        <f t="array" ref="U28">IFERROR(INDEX('NOI Walk'!$H$54:$EI$54,,MATCH(Model!U$4,'NOI Walk'!$H$16:$EI$16,0)),0)</f>
        <v>95410.281580101902</v>
      </c>
      <c r="V28" s="24" cm="1">
        <f t="array" ref="V28">IFERROR(INDEX('NOI Walk'!$H$54:$EI$54,,MATCH(Model!V$4,'NOI Walk'!$H$16:$EI$16,0)),0)</f>
        <v>98207.220167042513</v>
      </c>
      <c r="W28" s="24" cm="1">
        <f t="array" ref="W28">IFERROR(INDEX('NOI Walk'!$H$54:$EI$54,,MATCH(Model!W$4,'NOI Walk'!$H$16:$EI$16,0)),0)</f>
        <v>101015.3918573374</v>
      </c>
      <c r="X28" s="24" cm="1">
        <f t="array" ref="X28">IFERROR(INDEX('NOI Walk'!$H$54:$EI$54,,MATCH(Model!X$4,'NOI Walk'!$H$16:$EI$16,0)),0)</f>
        <v>103834.83130492628</v>
      </c>
      <c r="Y28" s="24" cm="1">
        <f t="array" ref="Y28">IFERROR(INDEX('NOI Walk'!$H$54:$EI$54,,MATCH(Model!Y$4,'NOI Walk'!$H$16:$EI$16,0)),0)</f>
        <v>106665.57325936688</v>
      </c>
      <c r="Z28" s="24" cm="1">
        <f t="array" ref="Z28">IFERROR(INDEX('NOI Walk'!$H$54:$EI$54,,MATCH(Model!Z$4,'NOI Walk'!$H$16:$EI$16,0)),0)</f>
        <v>109507.65256608292</v>
      </c>
      <c r="AA28" s="24" cm="1">
        <f t="array" ref="AA28">IFERROR(INDEX('NOI Walk'!$H$54:$EI$54,,MATCH(Model!AA$4,'NOI Walk'!$H$16:$EI$16,0)),0)</f>
        <v>112361.10416661281</v>
      </c>
      <c r="AB28" s="24" cm="1">
        <f t="array" ref="AB28">IFERROR(INDEX('NOI Walk'!$H$54:$EI$54,,MATCH(Model!AB$4,'NOI Walk'!$H$16:$EI$16,0)),0)</f>
        <v>115225.96309885863</v>
      </c>
      <c r="AC28" s="24" cm="1">
        <f t="array" ref="AC28">IFERROR(INDEX('NOI Walk'!$H$54:$EI$54,,MATCH(Model!AC$4,'NOI Walk'!$H$16:$EI$16,0)),0)</f>
        <v>118102.26449733601</v>
      </c>
      <c r="AD28" s="24" cm="1">
        <f t="array" ref="AD28">IFERROR(INDEX('NOI Walk'!$H$54:$EI$54,,MATCH(Model!AD$4,'NOI Walk'!$H$16:$EI$16,0)),0)</f>
        <v>120990.04359342477</v>
      </c>
      <c r="AE28" s="24" cm="1">
        <f t="array" ref="AE28">IFERROR(INDEX('NOI Walk'!$H$54:$EI$54,,MATCH(Model!AE$4,'NOI Walk'!$H$16:$EI$16,0)),0)</f>
        <v>123889.33571561983</v>
      </c>
      <c r="AF28" s="24" cm="1">
        <f t="array" ref="AF28">IFERROR(INDEX('NOI Walk'!$H$54:$EI$54,,MATCH(Model!AF$4,'NOI Walk'!$H$16:$EI$16,0)),0)</f>
        <v>126800.17628978292</v>
      </c>
      <c r="AG28" s="24" cm="1">
        <f t="array" ref="AG28">IFERROR(INDEX('NOI Walk'!$H$54:$EI$54,,MATCH(Model!AG$4,'NOI Walk'!$H$16:$EI$16,0)),0)</f>
        <v>129722.60083939495</v>
      </c>
      <c r="AH28" s="24" cm="1">
        <f t="array" ref="AH28">IFERROR(INDEX('NOI Walk'!$H$54:$EI$54,,MATCH(Model!AH$4,'NOI Walk'!$H$16:$EI$16,0)),0)</f>
        <v>132656.64498580893</v>
      </c>
      <c r="AI28" s="24" cm="1">
        <f t="array" ref="AI28">IFERROR(INDEX('NOI Walk'!$H$54:$EI$54,,MATCH(Model!AI$4,'NOI Walk'!$H$16:$EI$16,0)),0)</f>
        <v>140741.40304303775</v>
      </c>
      <c r="AJ28" s="24" cm="1">
        <f t="array" ref="AJ28">IFERROR(INDEX('NOI Walk'!$H$54:$EI$54,,MATCH(Model!AJ$4,'NOI Walk'!$H$16:$EI$16,0)),0)</f>
        <v>148859.01999642252</v>
      </c>
      <c r="AK28" s="24" cm="1">
        <f t="array" ref="AK28">IFERROR(INDEX('NOI Walk'!$H$54:$EI$54,,MATCH(Model!AK$4,'NOI Walk'!$H$16:$EI$16,0)),0)</f>
        <v>157009.59729925761</v>
      </c>
      <c r="AL28" s="24" cm="1">
        <f t="array" ref="AL28">IFERROR(INDEX('NOI Walk'!$H$54:$EI$54,,MATCH(Model!AL$4,'NOI Walk'!$H$16:$EI$16,0)),0)</f>
        <v>157352.84686865599</v>
      </c>
      <c r="AM28" s="24" cm="1">
        <f t="array" ref="AM28">IFERROR(INDEX('NOI Walk'!$H$54:$EI$54,,MATCH(Model!AM$4,'NOI Walk'!$H$16:$EI$16,0)),0)</f>
        <v>157696.83845172683</v>
      </c>
      <c r="AN28" s="24" cm="1">
        <f t="array" ref="AN28">IFERROR(INDEX('NOI Walk'!$H$54:$EI$54,,MATCH(Model!AN$4,'NOI Walk'!$H$16:$EI$16,0)),0)</f>
        <v>158041.57363918249</v>
      </c>
      <c r="AO28" s="24" cm="1">
        <f t="array" ref="AO28">IFERROR(INDEX('NOI Walk'!$H$54:$EI$54,,MATCH(Model!AO$4,'NOI Walk'!$H$16:$EI$16,0)),0)</f>
        <v>158387.05402512426</v>
      </c>
      <c r="AP28" s="24" cm="1">
        <f t="array" ref="AP28">IFERROR(INDEX('NOI Walk'!$H$54:$EI$54,,MATCH(Model!AP$4,'NOI Walk'!$H$16:$EI$16,0)),0)</f>
        <v>158733.28120704924</v>
      </c>
      <c r="AQ28" s="24" cm="1">
        <f t="array" ref="AQ28">IFERROR(INDEX('NOI Walk'!$H$54:$EI$54,,MATCH(Model!AQ$4,'NOI Walk'!$H$16:$EI$16,0)),0)</f>
        <v>159080.25678585787</v>
      </c>
      <c r="AR28" s="24" cm="1">
        <f t="array" ref="AR28">IFERROR(INDEX('NOI Walk'!$H$54:$EI$54,,MATCH(Model!AR$4,'NOI Walk'!$H$16:$EI$16,0)),0)</f>
        <v>159427.98236586057</v>
      </c>
      <c r="AS28" s="24" cm="1">
        <f t="array" ref="AS28">IFERROR(INDEX('NOI Walk'!$H$54:$EI$54,,MATCH(Model!AS$4,'NOI Walk'!$H$16:$EI$16,0)),0)</f>
        <v>159776.45955478557</v>
      </c>
      <c r="AT28" s="24" cm="1">
        <f t="array" ref="AT28">IFERROR(INDEX('NOI Walk'!$H$54:$EI$54,,MATCH(Model!AT$4,'NOI Walk'!$H$16:$EI$16,0)),0)</f>
        <v>160125.68996378582</v>
      </c>
      <c r="AU28" s="24" cm="1">
        <f t="array" ref="AU28">IFERROR(INDEX('NOI Walk'!$H$54:$EI$54,,MATCH(Model!AU$4,'NOI Walk'!$H$16:$EI$16,0)),0)</f>
        <v>160475.6752074463</v>
      </c>
      <c r="AV28" s="24" cm="1">
        <f t="array" ref="AV28">IFERROR(INDEX('NOI Walk'!$H$54:$EI$54,,MATCH(Model!AV$4,'NOI Walk'!$H$16:$EI$16,0)),0)</f>
        <v>160826.41690379148</v>
      </c>
      <c r="AW28" s="24" cm="1">
        <f t="array" ref="AW28">IFERROR(INDEX('NOI Walk'!$H$54:$EI$54,,MATCH(Model!AW$4,'NOI Walk'!$H$16:$EI$16,0)),0)</f>
        <v>161177.91667429238</v>
      </c>
      <c r="AX28" s="24" cm="1">
        <f t="array" ref="AX28">IFERROR(INDEX('NOI Walk'!$H$54:$EI$54,,MATCH(Model!AX$4,'NOI Walk'!$H$16:$EI$16,0)),0)</f>
        <v>161530.17614387398</v>
      </c>
      <c r="AY28" s="24" cm="1">
        <f t="array" ref="AY28">IFERROR(INDEX('NOI Walk'!$H$54:$EI$54,,MATCH(Model!AY$4,'NOI Walk'!$H$16:$EI$16,0)),0)</f>
        <v>161883.19694092253</v>
      </c>
      <c r="AZ28" s="24" cm="1">
        <f t="array" ref="AZ28">IFERROR(INDEX('NOI Walk'!$H$54:$EI$54,,MATCH(Model!AZ$4,'NOI Walk'!$H$16:$EI$16,0)),0)</f>
        <v>162236.98069729286</v>
      </c>
      <c r="BA28" s="24" cm="1">
        <f t="array" ref="BA28">IFERROR(INDEX('NOI Walk'!$H$54:$EI$54,,MATCH(Model!BA$4,'NOI Walk'!$H$16:$EI$16,0)),0)</f>
        <v>162591.52904831566</v>
      </c>
      <c r="BB28" s="24" cm="1">
        <f t="array" ref="BB28">IFERROR(INDEX('NOI Walk'!$H$54:$EI$54,,MATCH(Model!BB$4,'NOI Walk'!$H$16:$EI$16,0)),0)</f>
        <v>162946.84363280522</v>
      </c>
      <c r="BC28" s="24" cm="1">
        <f t="array" ref="BC28">IFERROR(INDEX('NOI Walk'!$H$54:$EI$54,,MATCH(Model!BC$4,'NOI Walk'!$H$16:$EI$16,0)),0)</f>
        <v>163302.92609306631</v>
      </c>
      <c r="BD28" s="24" cm="1">
        <f t="array" ref="BD28">IFERROR(INDEX('NOI Walk'!$H$54:$EI$54,,MATCH(Model!BD$4,'NOI Walk'!$H$16:$EI$16,0)),0)</f>
        <v>163659.77807490193</v>
      </c>
      <c r="BE28" s="24" cm="1">
        <f t="array" ref="BE28">IFERROR(INDEX('NOI Walk'!$H$54:$EI$54,,MATCH(Model!BE$4,'NOI Walk'!$H$16:$EI$16,0)),0)</f>
        <v>164017.4012276204</v>
      </c>
      <c r="BF28" s="24" cm="1">
        <f t="array" ref="BF28">IFERROR(INDEX('NOI Walk'!$H$54:$EI$54,,MATCH(Model!BF$4,'NOI Walk'!$H$16:$EI$16,0)),0)</f>
        <v>164375.79720404325</v>
      </c>
      <c r="BG28" s="24" cm="1">
        <f t="array" ref="BG28">IFERROR(INDEX('NOI Walk'!$H$54:$EI$54,,MATCH(Model!BG$4,'NOI Walk'!$H$16:$EI$16,0)),0)</f>
        <v>164734.96766051234</v>
      </c>
      <c r="BH28" s="24" cm="1">
        <f t="array" ref="BH28">IFERROR(INDEX('NOI Walk'!$H$54:$EI$54,,MATCH(Model!BH$4,'NOI Walk'!$H$16:$EI$16,0)),0)</f>
        <v>165094.91425689735</v>
      </c>
      <c r="BI28" s="24" cm="1">
        <f t="array" ref="BI28">IFERROR(INDEX('NOI Walk'!$H$54:$EI$54,,MATCH(Model!BI$4,'NOI Walk'!$H$16:$EI$16,0)),0)</f>
        <v>165455.63865660332</v>
      </c>
      <c r="BJ28" s="24" cm="1">
        <f t="array" ref="BJ28">IFERROR(INDEX('NOI Walk'!$H$54:$EI$54,,MATCH(Model!BJ$4,'NOI Walk'!$H$16:$EI$16,0)),0)</f>
        <v>165817.1425265781</v>
      </c>
      <c r="BK28" s="24" cm="1">
        <f t="array" ref="BK28">IFERROR(INDEX('NOI Walk'!$H$54:$EI$54,,MATCH(Model!BK$4,'NOI Walk'!$H$16:$EI$16,0)),0)</f>
        <v>166179.42753732001</v>
      </c>
      <c r="BL28" s="24" cm="1">
        <f t="array" ref="BL28">IFERROR(INDEX('NOI Walk'!$H$54:$EI$54,,MATCH(Model!BL$4,'NOI Walk'!$H$16:$EI$16,0)),0)</f>
        <v>166542.49536288503</v>
      </c>
      <c r="BM28" s="24" cm="1">
        <f t="array" ref="BM28">IFERROR(INDEX('NOI Walk'!$H$54:$EI$54,,MATCH(Model!BM$4,'NOI Walk'!$H$16:$EI$16,0)),0)</f>
        <v>166906.3476808948</v>
      </c>
      <c r="BN28" s="24" cm="1">
        <f t="array" ref="BN28">IFERROR(INDEX('NOI Walk'!$H$54:$EI$54,,MATCH(Model!BN$4,'NOI Walk'!$H$16:$EI$16,0)),0)</f>
        <v>167270.98617254378</v>
      </c>
      <c r="BO28" s="24" cm="1">
        <f t="array" ref="BO28">IFERROR(INDEX('NOI Walk'!$H$54:$EI$54,,MATCH(Model!BO$4,'NOI Walk'!$H$16:$EI$16,0)),0)</f>
        <v>167636.4125226069</v>
      </c>
      <c r="BP28" s="24" cm="1">
        <f t="array" ref="BP28">IFERROR(INDEX('NOI Walk'!$H$54:$EI$54,,MATCH(Model!BP$4,'NOI Walk'!$H$16:$EI$16,0)),0)</f>
        <v>168002.62841944752</v>
      </c>
      <c r="BQ28" s="24" cm="1">
        <f t="array" ref="BQ28">IFERROR(INDEX('NOI Walk'!$H$54:$EI$54,,MATCH(Model!BQ$4,'NOI Walk'!$H$16:$EI$16,0)),0)</f>
        <v>168369.63555502449</v>
      </c>
      <c r="BR28" s="24" cm="1">
        <f t="array" ref="BR28">IFERROR(INDEX('NOI Walk'!$H$54:$EI$54,,MATCH(Model!BR$4,'NOI Walk'!$H$16:$EI$16,0)),0)</f>
        <v>168737.43562489998</v>
      </c>
      <c r="BS28" s="24" cm="1">
        <f t="array" ref="BS28">IFERROR(INDEX('NOI Walk'!$H$54:$EI$54,,MATCH(Model!BS$4,'NOI Walk'!$H$16:$EI$16,0)),0)</f>
        <v>169106.03032824746</v>
      </c>
      <c r="BT28" s="24" cm="1">
        <f t="array" ref="BT28">IFERROR(INDEX('NOI Walk'!$H$54:$EI$54,,MATCH(Model!BT$4,'NOI Walk'!$H$16:$EI$16,0)),0)</f>
        <v>169475.42136785877</v>
      </c>
      <c r="BU28" s="24" cm="1">
        <f t="array" ref="BU28">IFERROR(INDEX('NOI Walk'!$H$54:$EI$54,,MATCH(Model!BU$4,'NOI Walk'!$H$16:$EI$16,0)),0)</f>
        <v>169845.61045015222</v>
      </c>
      <c r="BV28" s="24" cm="1">
        <f t="array" ref="BV28">IFERROR(INDEX('NOI Walk'!$H$54:$EI$54,,MATCH(Model!BV$4,'NOI Walk'!$H$16:$EI$16,0)),0)</f>
        <v>170216.59928518004</v>
      </c>
      <c r="BW28" s="24" cm="1">
        <f t="array" ref="BW28">IFERROR(INDEX('NOI Walk'!$H$54:$EI$54,,MATCH(Model!BW$4,'NOI Walk'!$H$16:$EI$16,0)),0)</f>
        <v>170588.38958663636</v>
      </c>
      <c r="BX28" s="24" cm="1">
        <f t="array" ref="BX28">IFERROR(INDEX('NOI Walk'!$H$54:$EI$54,,MATCH(Model!BX$4,'NOI Walk'!$H$16:$EI$16,0)),0)</f>
        <v>170960.98307186441</v>
      </c>
      <c r="BY28" s="24" cm="1">
        <f t="array" ref="BY28">IFERROR(INDEX('NOI Walk'!$H$54:$EI$54,,MATCH(Model!BY$4,'NOI Walk'!$H$16:$EI$16,0)),0)</f>
        <v>171334.38146186492</v>
      </c>
      <c r="BZ28" s="24" cm="1">
        <f t="array" ref="BZ28">IFERROR(INDEX('NOI Walk'!$H$54:$EI$54,,MATCH(Model!BZ$4,'NOI Walk'!$H$16:$EI$16,0)),0)</f>
        <v>171708.58648130344</v>
      </c>
      <c r="CA28" s="24" cm="1">
        <f t="array" ref="CA28">IFERROR(INDEX('NOI Walk'!$H$54:$EI$54,,MATCH(Model!CA$4,'NOI Walk'!$H$16:$EI$16,0)),0)</f>
        <v>172083.59985851802</v>
      </c>
      <c r="CB28" s="24" cm="1">
        <f t="array" ref="CB28">IFERROR(INDEX('NOI Walk'!$H$54:$EI$54,,MATCH(Model!CB$4,'NOI Walk'!$H$16:$EI$16,0)),0)</f>
        <v>172459.42332552746</v>
      </c>
      <c r="CC28" s="24" cm="1">
        <f t="array" ref="CC28">IFERROR(INDEX('NOI Walk'!$H$54:$EI$54,,MATCH(Model!CC$4,'NOI Walk'!$H$16:$EI$16,0)),0)</f>
        <v>172836.05861803866</v>
      </c>
      <c r="CD28" s="24" cm="1">
        <f t="array" ref="CD28">IFERROR(INDEX('NOI Walk'!$H$54:$EI$54,,MATCH(Model!CD$4,'NOI Walk'!$H$16:$EI$16,0)),0)</f>
        <v>173213.50747545471</v>
      </c>
      <c r="CE28" s="24" cm="1">
        <f t="array" ref="CE28">IFERROR(INDEX('NOI Walk'!$H$54:$EI$54,,MATCH(Model!CE$4,'NOI Walk'!$H$16:$EI$16,0)),0)</f>
        <v>173591.77164088254</v>
      </c>
      <c r="CF28" s="24" cm="1">
        <f t="array" ref="CF28">IFERROR(INDEX('NOI Walk'!$H$54:$EI$54,,MATCH(Model!CF$4,'NOI Walk'!$H$16:$EI$16,0)),0)</f>
        <v>173970.8528611408</v>
      </c>
      <c r="CG28" s="24" cm="1">
        <f t="array" ref="CG28">IFERROR(INDEX('NOI Walk'!$H$54:$EI$54,,MATCH(Model!CG$4,'NOI Walk'!$H$16:$EI$16,0)),0)</f>
        <v>174350.75288676808</v>
      </c>
      <c r="CH28" s="24" cm="1">
        <f t="array" ref="CH28">IFERROR(INDEX('NOI Walk'!$H$54:$EI$54,,MATCH(Model!CH$4,'NOI Walk'!$H$16:$EI$16,0)),0)</f>
        <v>174731.47347203002</v>
      </c>
      <c r="CI28" s="24" cm="1">
        <f t="array" ref="CI28">IFERROR(INDEX('NOI Walk'!$H$54:$EI$54,,MATCH(Model!CI$4,'NOI Walk'!$H$16:$EI$16,0)),0)</f>
        <v>175113.01637492809</v>
      </c>
      <c r="CJ28" s="24" cm="1">
        <f t="array" ref="CJ28">IFERROR(INDEX('NOI Walk'!$H$54:$EI$54,,MATCH(Model!CJ$4,'NOI Walk'!$H$16:$EI$16,0)),0)</f>
        <v>175495.38335720691</v>
      </c>
      <c r="CK28" s="24" cm="1">
        <f t="array" ref="CK28">IFERROR(INDEX('NOI Walk'!$H$54:$EI$54,,MATCH(Model!CK$4,'NOI Walk'!$H$16:$EI$16,0)),0)</f>
        <v>175878.57618436246</v>
      </c>
      <c r="CL28" s="24" cm="1">
        <f t="array" ref="CL28">IFERROR(INDEX('NOI Walk'!$H$54:$EI$54,,MATCH(Model!CL$4,'NOI Walk'!$H$16:$EI$16,0)),0)</f>
        <v>176262.59662564978</v>
      </c>
      <c r="CM28" s="24" cm="1">
        <f t="array" ref="CM28">IFERROR(INDEX('NOI Walk'!$H$54:$EI$54,,MATCH(Model!CM$4,'NOI Walk'!$H$16:$EI$16,0)),0)</f>
        <v>176647.44645409135</v>
      </c>
      <c r="CN28" s="24" cm="1">
        <f t="array" ref="CN28">IFERROR(INDEX('NOI Walk'!$H$54:$EI$54,,MATCH(Model!CN$4,'NOI Walk'!$H$16:$EI$16,0)),0)</f>
        <v>177033.12744648458</v>
      </c>
      <c r="CO28" s="24" cm="1">
        <f t="array" ref="CO28">IFERROR(INDEX('NOI Walk'!$H$54:$EI$54,,MATCH(Model!CO$4,'NOI Walk'!$H$16:$EI$16,0)),0)</f>
        <v>177419.64138341026</v>
      </c>
      <c r="CP28" s="24" cm="1">
        <f t="array" ref="CP28">IFERROR(INDEX('NOI Walk'!$H$54:$EI$54,,MATCH(Model!CP$4,'NOI Walk'!$H$16:$EI$16,0)),0)</f>
        <v>177806.99004924021</v>
      </c>
      <c r="CQ28" s="24" cm="1">
        <f t="array" ref="CQ28">IFERROR(INDEX('NOI Walk'!$H$54:$EI$54,,MATCH(Model!CQ$4,'NOI Walk'!$H$16:$EI$16,0)),0)</f>
        <v>178195.17523214553</v>
      </c>
      <c r="CR28" s="24" cm="1">
        <f t="array" ref="CR28">IFERROR(INDEX('NOI Walk'!$H$54:$EI$54,,MATCH(Model!CR$4,'NOI Walk'!$H$16:$EI$16,0)),0)</f>
        <v>178584.19872410467</v>
      </c>
      <c r="CS28" s="24" cm="1">
        <f t="array" ref="CS28">IFERROR(INDEX('NOI Walk'!$H$54:$EI$54,,MATCH(Model!CS$4,'NOI Walk'!$H$16:$EI$16,0)),0)</f>
        <v>178974.06232091127</v>
      </c>
      <c r="CT28" s="24" cm="1">
        <f t="array" ref="CT28">IFERROR(INDEX('NOI Walk'!$H$54:$EI$54,,MATCH(Model!CT$4,'NOI Walk'!$H$16:$EI$16,0)),0)</f>
        <v>179364.76782218256</v>
      </c>
      <c r="CU28" s="24" cm="1">
        <f t="array" ref="CU28">IFERROR(INDEX('NOI Walk'!$H$54:$EI$54,,MATCH(Model!CU$4,'NOI Walk'!$H$16:$EI$16,0)),0)</f>
        <v>179756.31703136722</v>
      </c>
      <c r="CV28" s="24" cm="1">
        <f t="array" ref="CV28">IFERROR(INDEX('NOI Walk'!$H$54:$EI$54,,MATCH(Model!CV$4,'NOI Walk'!$H$16:$EI$16,0)),0)</f>
        <v>180148.71175575367</v>
      </c>
      <c r="CW28" s="24" cm="1">
        <f t="array" ref="CW28">IFERROR(INDEX('NOI Walk'!$H$54:$EI$54,,MATCH(Model!CW$4,'NOI Walk'!$H$16:$EI$16,0)),0)</f>
        <v>180541.95380647795</v>
      </c>
      <c r="CX28" s="24" cm="1">
        <f t="array" ref="CX28">IFERROR(INDEX('NOI Walk'!$H$54:$EI$54,,MATCH(Model!CX$4,'NOI Walk'!$H$16:$EI$16,0)),0)</f>
        <v>180936.04499853213</v>
      </c>
      <c r="CY28" s="24" cm="1">
        <f t="array" ref="CY28">IFERROR(INDEX('NOI Walk'!$H$54:$EI$54,,MATCH(Model!CY$4,'NOI Walk'!$H$16:$EI$16,0)),0)</f>
        <v>181330.98715077253</v>
      </c>
      <c r="CZ28" s="24" cm="1">
        <f t="array" ref="CZ28">IFERROR(INDEX('NOI Walk'!$H$54:$EI$54,,MATCH(Model!CZ$4,'NOI Walk'!$H$16:$EI$16,0)),0)</f>
        <v>181726.78208592752</v>
      </c>
      <c r="DA28" s="24" cm="1">
        <f t="array" ref="DA28">IFERROR(INDEX('NOI Walk'!$H$54:$EI$54,,MATCH(Model!DA$4,'NOI Walk'!$H$16:$EI$16,0)),0)</f>
        <v>182123.43163060624</v>
      </c>
      <c r="DB28" s="24" cm="1">
        <f t="array" ref="DB28">IFERROR(INDEX('NOI Walk'!$H$54:$EI$54,,MATCH(Model!DB$4,'NOI Walk'!$H$16:$EI$16,0)),0)</f>
        <v>182520.93761530629</v>
      </c>
      <c r="DC28" s="24" cm="1">
        <f t="array" ref="DC28">IFERROR(INDEX('NOI Walk'!$H$54:$EI$54,,MATCH(Model!DC$4,'NOI Walk'!$H$16:$EI$16,0)),0)</f>
        <v>182919.30187442258</v>
      </c>
      <c r="DD28" s="24" cm="1">
        <f t="array" ref="DD28">IFERROR(INDEX('NOI Walk'!$H$54:$EI$54,,MATCH(Model!DD$4,'NOI Walk'!$H$16:$EI$16,0)),0)</f>
        <v>183318.52624625491</v>
      </c>
      <c r="DE28" s="24" cm="1">
        <f t="array" ref="DE28">IFERROR(INDEX('NOI Walk'!$H$54:$EI$54,,MATCH(Model!DE$4,'NOI Walk'!$H$16:$EI$16,0)),0)</f>
        <v>183718.61257301673</v>
      </c>
      <c r="DF28" s="24" cm="1">
        <f t="array" ref="DF28">IFERROR(INDEX('NOI Walk'!$H$54:$EI$54,,MATCH(Model!DF$4,'NOI Walk'!$H$16:$EI$16,0)),0)</f>
        <v>184119.56270084338</v>
      </c>
      <c r="DG28" s="24" cm="1">
        <f t="array" ref="DG28">IFERROR(INDEX('NOI Walk'!$H$54:$EI$54,,MATCH(Model!DG$4,'NOI Walk'!$H$16:$EI$16,0)),0)</f>
        <v>184521.37847980013</v>
      </c>
      <c r="DH28" s="24" cm="1">
        <f t="array" ref="DH28">IFERROR(INDEX('NOI Walk'!$H$54:$EI$54,,MATCH(Model!DH$4,'NOI Walk'!$H$16:$EI$16,0)),0)</f>
        <v>184924.06176389084</v>
      </c>
      <c r="DI28" s="24" cm="1">
        <f t="array" ref="DI28">IFERROR(INDEX('NOI Walk'!$H$54:$EI$54,,MATCH(Model!DI$4,'NOI Walk'!$H$16:$EI$16,0)),0)</f>
        <v>185327.61441106608</v>
      </c>
      <c r="DJ28" s="24" cm="1">
        <f t="array" ref="DJ28">IFERROR(INDEX('NOI Walk'!$H$54:$EI$54,,MATCH(Model!DJ$4,'NOI Walk'!$H$16:$EI$16,0)),0)</f>
        <v>185732.03828323149</v>
      </c>
      <c r="DK28" s="24" cm="1">
        <f t="array" ref="DK28">IFERROR(INDEX('NOI Walk'!$H$54:$EI$54,,MATCH(Model!DK$4,'NOI Walk'!$H$16:$EI$16,0)),0)</f>
        <v>186137.33524625644</v>
      </c>
      <c r="DL28" s="24" cm="1">
        <f t="array" ref="DL28">IFERROR(INDEX('NOI Walk'!$H$54:$EI$54,,MATCH(Model!DL$4,'NOI Walk'!$H$16:$EI$16,0)),0)</f>
        <v>186543.50716998195</v>
      </c>
      <c r="DM28" s="24" cm="1">
        <f t="array" ref="DM28">IFERROR(INDEX('NOI Walk'!$H$54:$EI$54,,MATCH(Model!DM$4,'NOI Walk'!$H$16:$EI$16,0)),0)</f>
        <v>186950.55592822965</v>
      </c>
      <c r="DN28" s="24" cm="1">
        <f t="array" ref="DN28">IFERROR(INDEX('NOI Walk'!$H$54:$EI$54,,MATCH(Model!DN$4,'NOI Walk'!$H$16:$EI$16,0)),0)</f>
        <v>187358.48339880971</v>
      </c>
      <c r="DO28" s="24" cm="1">
        <f t="array" ref="DO28">IFERROR(INDEX('NOI Walk'!$H$54:$EI$54,,MATCH(Model!DO$4,'NOI Walk'!$H$16:$EI$16,0)),0)</f>
        <v>187767.29146352981</v>
      </c>
      <c r="DP28" s="24" cm="1">
        <f t="array" ref="DP28">IFERROR(INDEX('NOI Walk'!$H$54:$EI$54,,MATCH(Model!DP$4,'NOI Walk'!$H$16:$EI$16,0)),0)</f>
        <v>188176.98200820296</v>
      </c>
      <c r="DQ28" s="24" cm="1">
        <f t="array" ref="DQ28">IFERROR(INDEX('NOI Walk'!$H$54:$EI$54,,MATCH(Model!DQ$4,'NOI Walk'!$H$16:$EI$16,0)),0)</f>
        <v>188587.55692265666</v>
      </c>
      <c r="DR28" s="24" cm="1">
        <f t="array" ref="DR28">IFERROR(INDEX('NOI Walk'!$H$54:$EI$54,,MATCH(Model!DR$4,'NOI Walk'!$H$16:$EI$16,0)),0)</f>
        <v>188999.01810074077</v>
      </c>
      <c r="DS28" s="24" cm="1">
        <f t="array" ref="DS28">IFERROR(INDEX('NOI Walk'!$H$54:$EI$54,,MATCH(Model!DS$4,'NOI Walk'!$H$16:$EI$16,0)),0)</f>
        <v>189411.36744033685</v>
      </c>
      <c r="DT28" s="24" cm="1">
        <f t="array" ref="DT28">IFERROR(INDEX('NOI Walk'!$H$54:$EI$54,,MATCH(Model!DT$4,'NOI Walk'!$H$16:$EI$16,0)),0)</f>
        <v>189824.60684336576</v>
      </c>
      <c r="DU28" s="24" cm="1">
        <f t="array" ref="DU28">IFERROR(INDEX('NOI Walk'!$H$54:$EI$54,,MATCH(Model!DU$4,'NOI Walk'!$H$16:$EI$16,0)),0)</f>
        <v>190238.73821579682</v>
      </c>
      <c r="DV28" s="24" cm="1">
        <f t="array" ref="DV28">IFERROR(INDEX('NOI Walk'!$H$54:$EI$54,,MATCH(Model!DV$4,'NOI Walk'!$H$16:$EI$16,0)),0)</f>
        <v>190653.76346765633</v>
      </c>
      <c r="DW28" s="24" cm="1">
        <f t="array" ref="DW28">IFERROR(INDEX('NOI Walk'!$H$54:$EI$54,,MATCH(Model!DW$4,'NOI Walk'!$H$16:$EI$16,0)),0)</f>
        <v>191069.68451303599</v>
      </c>
      <c r="DX28" s="24" cm="1">
        <f t="array" ref="DX28">IFERROR(INDEX('NOI Walk'!$H$54:$EI$54,,MATCH(Model!DX$4,'NOI Walk'!$H$16:$EI$16,0)),0)</f>
        <v>191486.5032701015</v>
      </c>
      <c r="DY28" s="24" cm="1">
        <f t="array" ref="DY28">IFERROR(INDEX('NOI Walk'!$H$54:$EI$54,,MATCH(Model!DY$4,'NOI Walk'!$H$16:$EI$16,0)),0)</f>
        <v>191904.22166110144</v>
      </c>
      <c r="DZ28" s="24" cm="1">
        <f t="array" ref="DZ28">IFERROR(INDEX('NOI Walk'!$H$54:$EI$54,,MATCH(Model!DZ$4,'NOI Walk'!$H$16:$EI$16,0)),0)</f>
        <v>192322.84161237584</v>
      </c>
      <c r="EA28" s="24" cm="1">
        <f t="array" ref="EA28">IFERROR(INDEX('NOI Walk'!$H$54:$EI$54,,MATCH(Model!EA$4,'NOI Walk'!$H$16:$EI$16,0)),0)</f>
        <v>192742.3650543644</v>
      </c>
      <c r="EB28" s="24" cm="1">
        <f t="array" ref="EB28">IFERROR(INDEX('NOI Walk'!$H$54:$EI$54,,MATCH(Model!EB$4,'NOI Walk'!$H$16:$EI$16,0)),0)</f>
        <v>193162.79392161599</v>
      </c>
      <c r="EC28" s="24" cm="1">
        <f t="array" ref="EC28">IFERROR(INDEX('NOI Walk'!$H$54:$EI$54,,MATCH(Model!EC$4,'NOI Walk'!$H$16:$EI$16,0)),0)</f>
        <v>193584.13015279663</v>
      </c>
      <c r="ED28" s="24" cm="1">
        <f t="array" ref="ED28">IFERROR(INDEX('NOI Walk'!$H$54:$EI$54,,MATCH(Model!ED$4,'NOI Walk'!$H$16:$EI$16,0)),0)</f>
        <v>194006.37569069862</v>
      </c>
      <c r="EE28" s="24" cm="1">
        <f t="array" ref="EE28">IFERROR(INDEX('NOI Walk'!$H$54:$EI$54,,MATCH(Model!EE$4,'NOI Walk'!$H$16:$EI$16,0)),0)</f>
        <v>194429.53248224917</v>
      </c>
      <c r="EF28" s="24" cm="1">
        <f t="array" ref="EF28">IFERROR(INDEX('NOI Walk'!$H$54:$EI$54,,MATCH(Model!EF$4,'NOI Walk'!$H$16:$EI$16,0)),0)</f>
        <v>194853.60247851908</v>
      </c>
      <c r="EG28" s="24" cm="1">
        <f t="array" ref="EG28">IFERROR(INDEX('NOI Walk'!$H$54:$EI$54,,MATCH(Model!EG$4,'NOI Walk'!$H$16:$EI$16,0)),0)</f>
        <v>195278.58763473178</v>
      </c>
      <c r="EH28" s="24" cm="1">
        <f t="array" ref="EH28">IFERROR(INDEX('NOI Walk'!$H$54:$EI$54,,MATCH(Model!EH$4,'NOI Walk'!$H$16:$EI$16,0)),0)</f>
        <v>195704.4899102716</v>
      </c>
      <c r="EI28" s="24" cm="1">
        <f t="array" ref="EI28">IFERROR(INDEX('NOI Walk'!$H$54:$EI$54,,MATCH(Model!EI$4,'NOI Walk'!$H$16:$EI$16,0)),0)</f>
        <v>196131.31126869319</v>
      </c>
      <c r="EM28" s="1" t="s">
        <v>191</v>
      </c>
    </row>
    <row r="29" spans="4:143" x14ac:dyDescent="0.45">
      <c r="D29" s="1" t="s">
        <v>144</v>
      </c>
      <c r="G29" s="24" cm="1">
        <f t="array" ref="G29">-IFERROR(INDEX('NOI Walk'!$H$59:$EI$59,,MATCH(Model!G$4,'NOI Walk'!$H$16:$EI$16,0)),0)</f>
        <v>0</v>
      </c>
      <c r="H29" s="24" cm="1">
        <f t="array" ref="H29">-IFERROR(INDEX('NOI Walk'!$H$59:$EI$59,,MATCH(Model!H$4,'NOI Walk'!$H$16:$EI$16,0)),0)</f>
        <v>-1359.3678800000007</v>
      </c>
      <c r="I29" s="24" cm="1">
        <f t="array" ref="I29">-IFERROR(INDEX('NOI Walk'!$H$59:$EI$59,,MATCH(Model!I$4,'NOI Walk'!$H$16:$EI$16,0)),0)</f>
        <v>-1309.7548486979174</v>
      </c>
      <c r="J29" s="24" cm="1">
        <f t="array" ref="J29">-IFERROR(INDEX('NOI Walk'!$H$59:$EI$59,,MATCH(Model!J$4,'NOI Walk'!$H$16:$EI$16,0)),0)</f>
        <v>-1259.9334458069798</v>
      </c>
      <c r="K29" s="24" cm="1">
        <f t="array" ref="K29">-IFERROR(INDEX('NOI Walk'!$H$59:$EI$59,,MATCH(Model!K$4,'NOI Walk'!$H$16:$EI$16,0)),0)</f>
        <v>-1209.9030246483885</v>
      </c>
      <c r="L29" s="24" cm="1">
        <f t="array" ref="L29">-IFERROR(INDEX('NOI Walk'!$H$59:$EI$59,,MATCH(Model!L$4,'NOI Walk'!$H$16:$EI$16,0)),0)</f>
        <v>-1238.4460663855475</v>
      </c>
      <c r="M29" s="24" cm="1">
        <f t="array" ref="M29">-IFERROR(INDEX('NOI Walk'!$H$59:$EI$59,,MATCH(Model!M$4,'NOI Walk'!$H$16:$EI$16,0)),0)</f>
        <v>-1282.7837047821633</v>
      </c>
      <c r="N29" s="24" cm="1">
        <f t="array" ref="N29">-IFERROR(INDEX('NOI Walk'!$H$59:$EI$59,,MATCH(Model!N$4,'NOI Walk'!$H$16:$EI$16,0)),0)</f>
        <v>-1311.5806279324054</v>
      </c>
      <c r="O29" s="24" cm="1">
        <f t="array" ref="O29">-IFERROR(INDEX('NOI Walk'!$H$59:$EI$59,,MATCH(Model!O$4,'NOI Walk'!$H$16:$EI$16,0)),0)</f>
        <v>-1340.4919937347984</v>
      </c>
      <c r="P29" s="24" cm="1">
        <f t="array" ref="P29">-IFERROR(INDEX('NOI Walk'!$H$59:$EI$59,,MATCH(Model!P$4,'NOI Walk'!$H$16:$EI$16,0)),0)</f>
        <v>-1369.5181540855972</v>
      </c>
      <c r="Q29" s="24" cm="1">
        <f t="array" ref="Q29">-IFERROR(INDEX('NOI Walk'!$H$59:$EI$59,,MATCH(Model!Q$4,'NOI Walk'!$H$16:$EI$16,0)),0)</f>
        <v>-1398.6594618506431</v>
      </c>
      <c r="R29" s="24" cm="1">
        <f t="array" ref="R29">-IFERROR(INDEX('NOI Walk'!$H$59:$EI$59,,MATCH(Model!R$4,'NOI Walk'!$H$16:$EI$16,0)),0)</f>
        <v>-1427.9162708678743</v>
      </c>
      <c r="S29" s="24" cm="1">
        <f t="array" ref="S29">-IFERROR(INDEX('NOI Walk'!$H$59:$EI$59,,MATCH(Model!S$4,'NOI Walk'!$H$16:$EI$16,0)),0)</f>
        <v>-1457.2889359498474</v>
      </c>
      <c r="T29" s="24" cm="1">
        <f t="array" ref="T29">-IFERROR(INDEX('NOI Walk'!$H$59:$EI$59,,MATCH(Model!T$4,'NOI Walk'!$H$16:$EI$16,0)),0)</f>
        <v>-1486.7778128862619</v>
      </c>
      <c r="U29" s="24" cm="1">
        <f t="array" ref="U29">-IFERROR(INDEX('NOI Walk'!$H$59:$EI$59,,MATCH(Model!U$4,'NOI Walk'!$H$16:$EI$16,0)),0)</f>
        <v>-1516.383258446491</v>
      </c>
      <c r="V29" s="24" cm="1">
        <f t="array" ref="V29">-IFERROR(INDEX('NOI Walk'!$H$59:$EI$59,,MATCH(Model!V$4,'NOI Walk'!$H$16:$EI$16,0)),0)</f>
        <v>-1546.1056303821199</v>
      </c>
      <c r="W29" s="24" cm="1">
        <f t="array" ref="W29">-IFERROR(INDEX('NOI Walk'!$H$59:$EI$59,,MATCH(Model!W$4,'NOI Walk'!$H$16:$EI$16,0)),0)</f>
        <v>-1575.9452874294902</v>
      </c>
      <c r="X29" s="24" cm="1">
        <f t="array" ref="X29">-IFERROR(INDEX('NOI Walk'!$H$59:$EI$59,,MATCH(Model!X$4,'NOI Walk'!$H$16:$EI$16,0)),0)</f>
        <v>-1605.9025893122505</v>
      </c>
      <c r="Y29" s="24" cm="1">
        <f t="array" ref="Y29">-IFERROR(INDEX('NOI Walk'!$H$59:$EI$59,,MATCH(Model!Y$4,'NOI Walk'!$H$16:$EI$16,0)),0)</f>
        <v>-1635.9778967439124</v>
      </c>
      <c r="Z29" s="24" cm="1">
        <f t="array" ref="Z29">-IFERROR(INDEX('NOI Walk'!$H$59:$EI$59,,MATCH(Model!Z$4,'NOI Walk'!$H$16:$EI$16,0)),0)</f>
        <v>-1666.1715714304144</v>
      </c>
      <c r="AA29" s="24" cm="1">
        <f t="array" ref="AA29">-IFERROR(INDEX('NOI Walk'!$H$59:$EI$59,,MATCH(Model!AA$4,'NOI Walk'!$H$16:$EI$16,0)),0)</f>
        <v>-1696.4839760726929</v>
      </c>
      <c r="AB29" s="24" cm="1">
        <f t="array" ref="AB29">-IFERROR(INDEX('NOI Walk'!$H$59:$EI$59,,MATCH(Model!AB$4,'NOI Walk'!$H$16:$EI$16,0)),0)</f>
        <v>-1726.9154743692552</v>
      </c>
      <c r="AC29" s="24" cm="1">
        <f t="array" ref="AC29">-IFERROR(INDEX('NOI Walk'!$H$59:$EI$59,,MATCH(Model!AC$4,'NOI Walk'!$H$16:$EI$16,0)),0)</f>
        <v>-1757.4664310187636</v>
      </c>
      <c r="AD29" s="24" cm="1">
        <f t="array" ref="AD29">-IFERROR(INDEX('NOI Walk'!$H$59:$EI$59,,MATCH(Model!AD$4,'NOI Walk'!$H$16:$EI$16,0)),0)</f>
        <v>-1788.1372117226251</v>
      </c>
      <c r="AE29" s="24" cm="1">
        <f t="array" ref="AE29">-IFERROR(INDEX('NOI Walk'!$H$59:$EI$59,,MATCH(Model!AE$4,'NOI Walk'!$H$16:$EI$16,0)),0)</f>
        <v>-1818.928183187586</v>
      </c>
      <c r="AF29" s="24" cm="1">
        <f t="array" ref="AF29">-IFERROR(INDEX('NOI Walk'!$H$59:$EI$59,,MATCH(Model!AF$4,'NOI Walk'!$H$16:$EI$16,0)),0)</f>
        <v>-1849.8397131283323</v>
      </c>
      <c r="AG29" s="24" cm="1">
        <f t="array" ref="AG29">-IFERROR(INDEX('NOI Walk'!$H$59:$EI$59,,MATCH(Model!AG$4,'NOI Walk'!$H$16:$EI$16,0)),0)</f>
        <v>-1880.8721702701</v>
      </c>
      <c r="AH29" s="24" cm="1">
        <f t="array" ref="AH29">-IFERROR(INDEX('NOI Walk'!$H$59:$EI$59,,MATCH(Model!AH$4,'NOI Walk'!$H$16:$EI$16,0)),0)</f>
        <v>-1912.0259243512889</v>
      </c>
      <c r="AI29" s="24" cm="1">
        <f t="array" ref="AI29">-IFERROR(INDEX('NOI Walk'!$H$59:$EI$59,,MATCH(Model!AI$4,'NOI Walk'!$H$16:$EI$16,0)),0)</f>
        <v>-1999.2541292247647</v>
      </c>
      <c r="AJ29" s="24" cm="1">
        <f t="array" ref="AJ29">-IFERROR(INDEX('NOI Walk'!$H$59:$EI$59,,MATCH(Model!AJ$4,'NOI Walk'!$H$16:$EI$16,0)),0)</f>
        <v>-2086.832507240425</v>
      </c>
      <c r="AK29" s="24" cm="1">
        <f t="array" ref="AK29">-IFERROR(INDEX('NOI Walk'!$H$59:$EI$59,,MATCH(Model!AK$4,'NOI Walk'!$H$16:$EI$16,0)),0)</f>
        <v>-2174.7621316023501</v>
      </c>
      <c r="AL29" s="24" cm="1">
        <f t="array" ref="AL29">-IFERROR(INDEX('NOI Walk'!$H$59:$EI$59,,MATCH(Model!AL$4,'NOI Walk'!$H$16:$EI$16,0)),0)</f>
        <v>-2179.2276311058763</v>
      </c>
      <c r="AM29" s="24" cm="1">
        <f t="array" ref="AM29">-IFERROR(INDEX('NOI Walk'!$H$59:$EI$59,,MATCH(Model!AM$4,'NOI Walk'!$H$16:$EI$16,0)),0)</f>
        <v>-2183.7023249751392</v>
      </c>
      <c r="AN29" s="24" cm="1">
        <f t="array" ref="AN29">-IFERROR(INDEX('NOI Walk'!$H$59:$EI$59,,MATCH(Model!AN$4,'NOI Walk'!$H$16:$EI$16,0)),0)</f>
        <v>-2188.1862321838034</v>
      </c>
      <c r="AO29" s="24" cm="1">
        <f t="array" ref="AO29">-IFERROR(INDEX('NOI Walk'!$H$59:$EI$59,,MATCH(Model!AO$4,'NOI Walk'!$H$16:$EI$16,0)),0)</f>
        <v>-2192.6793717447608</v>
      </c>
      <c r="AP29" s="24" cm="1">
        <f t="array" ref="AP29">-IFERROR(INDEX('NOI Walk'!$H$59:$EI$59,,MATCH(Model!AP$4,'NOI Walk'!$H$16:$EI$16,0)),0)</f>
        <v>-2197.1817627102096</v>
      </c>
      <c r="AQ29" s="24" cm="1">
        <f t="array" ref="AQ29">-IFERROR(INDEX('NOI Walk'!$H$59:$EI$59,,MATCH(Model!AQ$4,'NOI Walk'!$H$16:$EI$16,0)),0)</f>
        <v>-2201.693424171739</v>
      </c>
      <c r="AR29" s="24" cm="1">
        <f t="array" ref="AR29">-IFERROR(INDEX('NOI Walk'!$H$59:$EI$59,,MATCH(Model!AR$4,'NOI Walk'!$H$16:$EI$16,0)),0)</f>
        <v>-2206.2143752604061</v>
      </c>
      <c r="AS29" s="24" cm="1">
        <f t="array" ref="AS29">-IFERROR(INDEX('NOI Walk'!$H$59:$EI$59,,MATCH(Model!AS$4,'NOI Walk'!$H$16:$EI$16,0)),0)</f>
        <v>-2210.7446351468216</v>
      </c>
      <c r="AT29" s="24" cm="1">
        <f t="array" ref="AT29">-IFERROR(INDEX('NOI Walk'!$H$59:$EI$59,,MATCH(Model!AT$4,'NOI Walk'!$H$16:$EI$16,0)),0)</f>
        <v>-2215.2842230412307</v>
      </c>
      <c r="AU29" s="24" cm="1">
        <f t="array" ref="AU29">-IFERROR(INDEX('NOI Walk'!$H$59:$EI$59,,MATCH(Model!AU$4,'NOI Walk'!$H$16:$EI$16,0)),0)</f>
        <v>-2219.8331581935936</v>
      </c>
      <c r="AV29" s="24" cm="1">
        <f t="array" ref="AV29">-IFERROR(INDEX('NOI Walk'!$H$59:$EI$59,,MATCH(Model!AV$4,'NOI Walk'!$H$16:$EI$16,0)),0)</f>
        <v>-2224.3914598936699</v>
      </c>
      <c r="AW29" s="24" cm="1">
        <f t="array" ref="AW29">-IFERROR(INDEX('NOI Walk'!$H$59:$EI$59,,MATCH(Model!AW$4,'NOI Walk'!$H$16:$EI$16,0)),0)</f>
        <v>-2228.9591474711001</v>
      </c>
      <c r="AX29" s="24" cm="1">
        <f t="array" ref="AX29">-IFERROR(INDEX('NOI Walk'!$H$59:$EI$59,,MATCH(Model!AX$4,'NOI Walk'!$H$16:$EI$16,0)),0)</f>
        <v>-2233.5362402954879</v>
      </c>
      <c r="AY29" s="24" cm="1">
        <f t="array" ref="AY29">-IFERROR(INDEX('NOI Walk'!$H$59:$EI$59,,MATCH(Model!AY$4,'NOI Walk'!$H$16:$EI$16,0)),0)</f>
        <v>-2238.122757776483</v>
      </c>
      <c r="AZ29" s="24" cm="1">
        <f t="array" ref="AZ29">-IFERROR(INDEX('NOI Walk'!$H$59:$EI$59,,MATCH(Model!AZ$4,'NOI Walk'!$H$16:$EI$16,0)),0)</f>
        <v>-2242.7187193638642</v>
      </c>
      <c r="BA29" s="24" cm="1">
        <f t="array" ref="BA29">-IFERROR(INDEX('NOI Walk'!$H$59:$EI$59,,MATCH(Model!BA$4,'NOI Walk'!$H$16:$EI$16,0)),0)</f>
        <v>-2247.3241445476219</v>
      </c>
      <c r="BB29" s="24" cm="1">
        <f t="array" ref="BB29">-IFERROR(INDEX('NOI Walk'!$H$59:$EI$59,,MATCH(Model!BB$4,'NOI Walk'!$H$16:$EI$16,0)),0)</f>
        <v>-2251.9390528580439</v>
      </c>
      <c r="BC29" s="24" cm="1">
        <f t="array" ref="BC29">-IFERROR(INDEX('NOI Walk'!$H$59:$EI$59,,MATCH(Model!BC$4,'NOI Walk'!$H$16:$EI$16,0)),0)</f>
        <v>-2256.5634638657943</v>
      </c>
      <c r="BD29" s="24" cm="1">
        <f t="array" ref="BD29">-IFERROR(INDEX('NOI Walk'!$H$59:$EI$59,,MATCH(Model!BD$4,'NOI Walk'!$H$16:$EI$16,0)),0)</f>
        <v>-2261.1973971820016</v>
      </c>
      <c r="BE29" s="24" cm="1">
        <f t="array" ref="BE29">-IFERROR(INDEX('NOI Walk'!$H$59:$EI$59,,MATCH(Model!BE$4,'NOI Walk'!$H$16:$EI$16,0)),0)</f>
        <v>-2265.8408724583392</v>
      </c>
      <c r="BF29" s="24" cm="1">
        <f t="array" ref="BF29">-IFERROR(INDEX('NOI Walk'!$H$59:$EI$59,,MATCH(Model!BF$4,'NOI Walk'!$H$16:$EI$16,0)),0)</f>
        <v>-2270.4939093871117</v>
      </c>
      <c r="BG29" s="24" cm="1">
        <f t="array" ref="BG29">-IFERROR(INDEX('NOI Walk'!$H$59:$EI$59,,MATCH(Model!BG$4,'NOI Walk'!$H$16:$EI$16,0)),0)</f>
        <v>-2275.1565277013378</v>
      </c>
      <c r="BH29" s="24" cm="1">
        <f t="array" ref="BH29">-IFERROR(INDEX('NOI Walk'!$H$59:$EI$59,,MATCH(Model!BH$4,'NOI Walk'!$H$16:$EI$16,0)),0)</f>
        <v>-2279.8287471748349</v>
      </c>
      <c r="BI29" s="24" cm="1">
        <f t="array" ref="BI29">-IFERROR(INDEX('NOI Walk'!$H$59:$EI$59,,MATCH(Model!BI$4,'NOI Walk'!$H$16:$EI$16,0)),0)</f>
        <v>-2284.5105876223029</v>
      </c>
      <c r="BJ29" s="24" cm="1">
        <f t="array" ref="BJ29">-IFERROR(INDEX('NOI Walk'!$H$59:$EI$59,,MATCH(Model!BJ$4,'NOI Walk'!$H$16:$EI$16,0)),0)</f>
        <v>-2289.2020688994103</v>
      </c>
      <c r="BK29" s="24" cm="1">
        <f t="array" ref="BK29">-IFERROR(INDEX('NOI Walk'!$H$59:$EI$59,,MATCH(Model!BK$4,'NOI Walk'!$H$16:$EI$16,0)),0)</f>
        <v>-2293.9032109028776</v>
      </c>
      <c r="BL29" s="24" cm="1">
        <f t="array" ref="BL29">-IFERROR(INDEX('NOI Walk'!$H$59:$EI$59,,MATCH(Model!BL$4,'NOI Walk'!$H$16:$EI$16,0)),0)</f>
        <v>-2298.6140335705627</v>
      </c>
      <c r="BM29" s="24" cm="1">
        <f t="array" ref="BM29">-IFERROR(INDEX('NOI Walk'!$H$59:$EI$59,,MATCH(Model!BM$4,'NOI Walk'!$H$16:$EI$16,0)),0)</f>
        <v>-2303.3345568815475</v>
      </c>
      <c r="BN29" s="24" cm="1">
        <f t="array" ref="BN29">-IFERROR(INDEX('NOI Walk'!$H$59:$EI$59,,MATCH(Model!BN$4,'NOI Walk'!$H$16:$EI$16,0)),0)</f>
        <v>-2308.0648008562212</v>
      </c>
      <c r="BO29" s="24" cm="1">
        <f t="array" ref="BO29">-IFERROR(INDEX('NOI Walk'!$H$59:$EI$59,,MATCH(Model!BO$4,'NOI Walk'!$H$16:$EI$16,0)),0)</f>
        <v>-2312.8047855563655</v>
      </c>
      <c r="BP29" s="24" cm="1">
        <f t="array" ref="BP29">-IFERROR(INDEX('NOI Walk'!$H$59:$EI$59,,MATCH(Model!BP$4,'NOI Walk'!$H$16:$EI$16,0)),0)</f>
        <v>-2317.554531085244</v>
      </c>
      <c r="BQ29" s="24" cm="1">
        <f t="array" ref="BQ29">-IFERROR(INDEX('NOI Walk'!$H$59:$EI$59,,MATCH(Model!BQ$4,'NOI Walk'!$H$16:$EI$16,0)),0)</f>
        <v>-2322.3140575876837</v>
      </c>
      <c r="BR29" s="24" cm="1">
        <f t="array" ref="BR29">-IFERROR(INDEX('NOI Walk'!$H$59:$EI$59,,MATCH(Model!BR$4,'NOI Walk'!$H$16:$EI$16,0)),0)</f>
        <v>-2327.0833852501632</v>
      </c>
      <c r="BS29" s="24" cm="1">
        <f t="array" ref="BS29">-IFERROR(INDEX('NOI Walk'!$H$59:$EI$59,,MATCH(Model!BS$4,'NOI Walk'!$H$16:$EI$16,0)),0)</f>
        <v>-2331.8625343008994</v>
      </c>
      <c r="BT29" s="24" cm="1">
        <f t="array" ref="BT29">-IFERROR(INDEX('NOI Walk'!$H$59:$EI$59,,MATCH(Model!BT$4,'NOI Walk'!$H$16:$EI$16,0)),0)</f>
        <v>-2336.6515250099324</v>
      </c>
      <c r="BU29" s="24" cm="1">
        <f t="array" ref="BU29">-IFERROR(INDEX('NOI Walk'!$H$59:$EI$59,,MATCH(Model!BU$4,'NOI Walk'!$H$16:$EI$16,0)),0)</f>
        <v>-2341.4503776892138</v>
      </c>
      <c r="BV29" s="24" cm="1">
        <f t="array" ref="BV29">-IFERROR(INDEX('NOI Walk'!$H$59:$EI$59,,MATCH(Model!BV$4,'NOI Walk'!$H$16:$EI$16,0)),0)</f>
        <v>-2346.2591126926914</v>
      </c>
      <c r="BW29" s="24" cm="1">
        <f t="array" ref="BW29">-IFERROR(INDEX('NOI Walk'!$H$59:$EI$59,,MATCH(Model!BW$4,'NOI Walk'!$H$16:$EI$16,0)),0)</f>
        <v>-2351.0777504163993</v>
      </c>
      <c r="BX29" s="24" cm="1">
        <f t="array" ref="BX29">-IFERROR(INDEX('NOI Walk'!$H$59:$EI$59,,MATCH(Model!BX$4,'NOI Walk'!$H$16:$EI$16,0)),0)</f>
        <v>-2355.90631129854</v>
      </c>
      <c r="BY29" s="24" cm="1">
        <f t="array" ref="BY29">-IFERROR(INDEX('NOI Walk'!$H$59:$EI$59,,MATCH(Model!BY$4,'NOI Walk'!$H$16:$EI$16,0)),0)</f>
        <v>-2360.7448158195775</v>
      </c>
      <c r="BZ29" s="24" cm="1">
        <f t="array" ref="BZ29">-IFERROR(INDEX('NOI Walk'!$H$59:$EI$59,,MATCH(Model!BZ$4,'NOI Walk'!$H$16:$EI$16,0)),0)</f>
        <v>-2365.5932845023221</v>
      </c>
      <c r="CA29" s="24" cm="1">
        <f t="array" ref="CA29">-IFERROR(INDEX('NOI Walk'!$H$59:$EI$59,,MATCH(Model!CA$4,'NOI Walk'!$H$16:$EI$16,0)),0)</f>
        <v>-2370.4517379120166</v>
      </c>
      <c r="CB29" s="24" cm="1">
        <f t="array" ref="CB29">-IFERROR(INDEX('NOI Walk'!$H$59:$EI$59,,MATCH(Model!CB$4,'NOI Walk'!$H$16:$EI$16,0)),0)</f>
        <v>-2375.3201966564257</v>
      </c>
      <c r="CC29" s="24" cm="1">
        <f t="array" ref="CC29">-IFERROR(INDEX('NOI Walk'!$H$59:$EI$59,,MATCH(Model!CC$4,'NOI Walk'!$H$16:$EI$16,0)),0)</f>
        <v>-2380.1986813859248</v>
      </c>
      <c r="CD29" s="24" cm="1">
        <f t="array" ref="CD29">-IFERROR(INDEX('NOI Walk'!$H$59:$EI$59,,MATCH(Model!CD$4,'NOI Walk'!$H$16:$EI$16,0)),0)</f>
        <v>-2385.0872127935886</v>
      </c>
      <c r="CE29" s="24" cm="1">
        <f t="array" ref="CE29">-IFERROR(INDEX('NOI Walk'!$H$59:$EI$59,,MATCH(Model!CE$4,'NOI Walk'!$H$16:$EI$16,0)),0)</f>
        <v>-2389.9858116152759</v>
      </c>
      <c r="CF29" s="24" cm="1">
        <f t="array" ref="CF29">-IFERROR(INDEX('NOI Walk'!$H$59:$EI$59,,MATCH(Model!CF$4,'NOI Walk'!$H$16:$EI$16,0)),0)</f>
        <v>-2394.8944986297224</v>
      </c>
      <c r="CG29" s="24" cm="1">
        <f t="array" ref="CG29">-IFERROR(INDEX('NOI Walk'!$H$59:$EI$59,,MATCH(Model!CG$4,'NOI Walk'!$H$16:$EI$16,0)),0)</f>
        <v>-2399.8132946586279</v>
      </c>
      <c r="CH29" s="24" cm="1">
        <f t="array" ref="CH29">-IFERROR(INDEX('NOI Walk'!$H$59:$EI$59,,MATCH(Model!CH$4,'NOI Walk'!$H$16:$EI$16,0)),0)</f>
        <v>-2404.7422205667426</v>
      </c>
      <c r="CI29" s="24" cm="1">
        <f t="array" ref="CI29">-IFERROR(INDEX('NOI Walk'!$H$59:$EI$59,,MATCH(Model!CI$4,'NOI Walk'!$H$16:$EI$16,0)),0)</f>
        <v>-2409.6812972619628</v>
      </c>
      <c r="CJ29" s="24" cm="1">
        <f t="array" ref="CJ29">-IFERROR(INDEX('NOI Walk'!$H$59:$EI$59,,MATCH(Model!CJ$4,'NOI Walk'!$H$16:$EI$16,0)),0)</f>
        <v>-2414.6305456954124</v>
      </c>
      <c r="CK29" s="24" cm="1">
        <f t="array" ref="CK29">-IFERROR(INDEX('NOI Walk'!$H$59:$EI$59,,MATCH(Model!CK$4,'NOI Walk'!$H$16:$EI$16,0)),0)</f>
        <v>-2419.5899868615393</v>
      </c>
      <c r="CL29" s="24" cm="1">
        <f t="array" ref="CL29">-IFERROR(INDEX('NOI Walk'!$H$59:$EI$59,,MATCH(Model!CL$4,'NOI Walk'!$H$16:$EI$16,0)),0)</f>
        <v>-2424.5596417981992</v>
      </c>
      <c r="CM29" s="24" cm="1">
        <f t="array" ref="CM29">-IFERROR(INDEX('NOI Walk'!$H$59:$EI$59,,MATCH(Model!CM$4,'NOI Walk'!$H$16:$EI$16,0)),0)</f>
        <v>-2429.5395315867509</v>
      </c>
      <c r="CN29" s="24" cm="1">
        <f t="array" ref="CN29">-IFERROR(INDEX('NOI Walk'!$H$59:$EI$59,,MATCH(Model!CN$4,'NOI Walk'!$H$16:$EI$16,0)),0)</f>
        <v>-2434.5296773521422</v>
      </c>
      <c r="CO29" s="24" cm="1">
        <f t="array" ref="CO29">-IFERROR(INDEX('NOI Walk'!$H$59:$EI$59,,MATCH(Model!CO$4,'NOI Walk'!$H$16:$EI$16,0)),0)</f>
        <v>-2439.5301002630026</v>
      </c>
      <c r="CP29" s="24" cm="1">
        <f t="array" ref="CP29">-IFERROR(INDEX('NOI Walk'!$H$59:$EI$59,,MATCH(Model!CP$4,'NOI Walk'!$H$16:$EI$16,0)),0)</f>
        <v>-2444.5408215317325</v>
      </c>
      <c r="CQ29" s="24" cm="1">
        <f t="array" ref="CQ29">-IFERROR(INDEX('NOI Walk'!$H$59:$EI$59,,MATCH(Model!CQ$4,'NOI Walk'!$H$16:$EI$16,0)),0)</f>
        <v>-2449.5618624145941</v>
      </c>
      <c r="CR29" s="24" cm="1">
        <f t="array" ref="CR29">-IFERROR(INDEX('NOI Walk'!$H$59:$EI$59,,MATCH(Model!CR$4,'NOI Walk'!$H$16:$EI$16,0)),0)</f>
        <v>-2454.5932442118024</v>
      </c>
      <c r="CS29" s="24" cm="1">
        <f t="array" ref="CS29">-IFERROR(INDEX('NOI Walk'!$H$59:$EI$59,,MATCH(Model!CS$4,'NOI Walk'!$H$16:$EI$16,0)),0)</f>
        <v>-2459.6349882676172</v>
      </c>
      <c r="CT29" s="24" cm="1">
        <f t="array" ref="CT29">-IFERROR(INDEX('NOI Walk'!$H$59:$EI$59,,MATCH(Model!CT$4,'NOI Walk'!$H$16:$EI$16,0)),0)</f>
        <v>-2464.6871159704319</v>
      </c>
      <c r="CU29" s="24" cm="1">
        <f t="array" ref="CU29">-IFERROR(INDEX('NOI Walk'!$H$59:$EI$59,,MATCH(Model!CU$4,'NOI Walk'!$H$16:$EI$16,0)),0)</f>
        <v>-2469.7496487528679</v>
      </c>
      <c r="CV29" s="24" cm="1">
        <f t="array" ref="CV29">-IFERROR(INDEX('NOI Walk'!$H$59:$EI$59,,MATCH(Model!CV$4,'NOI Walk'!$H$16:$EI$16,0)),0)</f>
        <v>-2474.822608091863</v>
      </c>
      <c r="CW29" s="24" cm="1">
        <f t="array" ref="CW29">-IFERROR(INDEX('NOI Walk'!$H$59:$EI$59,,MATCH(Model!CW$4,'NOI Walk'!$H$16:$EI$16,0)),0)</f>
        <v>-2479.906015508765</v>
      </c>
      <c r="CX29" s="24" cm="1">
        <f t="array" ref="CX29">-IFERROR(INDEX('NOI Walk'!$H$59:$EI$59,,MATCH(Model!CX$4,'NOI Walk'!$H$16:$EI$16,0)),0)</f>
        <v>-2484.9998925694249</v>
      </c>
      <c r="CY29" s="24" cm="1">
        <f t="array" ref="CY29">-IFERROR(INDEX('NOI Walk'!$H$59:$EI$59,,MATCH(Model!CY$4,'NOI Walk'!$H$16:$EI$16,0)),0)</f>
        <v>-2490.1042608842868</v>
      </c>
      <c r="CZ29" s="24" cm="1">
        <f t="array" ref="CZ29">-IFERROR(INDEX('NOI Walk'!$H$59:$EI$59,,MATCH(Model!CZ$4,'NOI Walk'!$H$16:$EI$16,0)),0)</f>
        <v>-2495.219142108479</v>
      </c>
      <c r="DA29" s="24" cm="1">
        <f t="array" ref="DA29">-IFERROR(INDEX('NOI Walk'!$H$59:$EI$59,,MATCH(Model!DA$4,'NOI Walk'!$H$16:$EI$16,0)),0)</f>
        <v>-2500.3445579419126</v>
      </c>
      <c r="DB29" s="24" cm="1">
        <f t="array" ref="DB29">-IFERROR(INDEX('NOI Walk'!$H$59:$EI$59,,MATCH(Model!DB$4,'NOI Walk'!$H$16:$EI$16,0)),0)</f>
        <v>-2505.4805301293663</v>
      </c>
      <c r="DC29" s="24" cm="1">
        <f t="array" ref="DC29">-IFERROR(INDEX('NOI Walk'!$H$59:$EI$59,,MATCH(Model!DC$4,'NOI Walk'!$H$16:$EI$16,0)),0)</f>
        <v>-2510.6270804605865</v>
      </c>
      <c r="DD29" s="24" cm="1">
        <f t="array" ref="DD29">-IFERROR(INDEX('NOI Walk'!$H$59:$EI$59,,MATCH(Model!DD$4,'NOI Walk'!$H$16:$EI$16,0)),0)</f>
        <v>-2515.7842307703741</v>
      </c>
      <c r="DE29" s="24" cm="1">
        <f t="array" ref="DE29">-IFERROR(INDEX('NOI Walk'!$H$59:$EI$59,,MATCH(Model!DE$4,'NOI Walk'!$H$16:$EI$16,0)),0)</f>
        <v>-2520.9520029386831</v>
      </c>
      <c r="DF29" s="24" cm="1">
        <f t="array" ref="DF29">-IFERROR(INDEX('NOI Walk'!$H$59:$EI$59,,MATCH(Model!DF$4,'NOI Walk'!$H$16:$EI$16,0)),0)</f>
        <v>-2526.1304188907111</v>
      </c>
      <c r="DG29" s="24" cm="1">
        <f t="array" ref="DG29">-IFERROR(INDEX('NOI Walk'!$H$59:$EI$59,,MATCH(Model!DG$4,'NOI Walk'!$H$16:$EI$16,0)),0)</f>
        <v>-2531.3195005969933</v>
      </c>
      <c r="DH29" s="24" cm="1">
        <f t="array" ref="DH29">-IFERROR(INDEX('NOI Walk'!$H$59:$EI$59,,MATCH(Model!DH$4,'NOI Walk'!$H$16:$EI$16,0)),0)</f>
        <v>-2536.519270073497</v>
      </c>
      <c r="DI29" s="24" cm="1">
        <f t="array" ref="DI29">-IFERROR(INDEX('NOI Walk'!$H$59:$EI$59,,MATCH(Model!DI$4,'NOI Walk'!$H$16:$EI$16,0)),0)</f>
        <v>-2541.7297493817164</v>
      </c>
      <c r="DJ29" s="24" cm="1">
        <f t="array" ref="DJ29">-IFERROR(INDEX('NOI Walk'!$H$59:$EI$59,,MATCH(Model!DJ$4,'NOI Walk'!$H$16:$EI$16,0)),0)</f>
        <v>-2546.9509606287647</v>
      </c>
      <c r="DK29" s="24" cm="1">
        <f t="array" ref="DK29">-IFERROR(INDEX('NOI Walk'!$H$59:$EI$59,,MATCH(Model!DK$4,'NOI Walk'!$H$16:$EI$16,0)),0)</f>
        <v>-2552.182925967471</v>
      </c>
      <c r="DL29" s="24" cm="1">
        <f t="array" ref="DL29">-IFERROR(INDEX('NOI Walk'!$H$59:$EI$59,,MATCH(Model!DL$4,'NOI Walk'!$H$16:$EI$16,0)),0)</f>
        <v>-2557.425667596473</v>
      </c>
      <c r="DM29" s="24" cm="1">
        <f t="array" ref="DM29">-IFERROR(INDEX('NOI Walk'!$H$59:$EI$59,,MATCH(Model!DM$4,'NOI Walk'!$H$16:$EI$16,0)),0)</f>
        <v>-2562.6792077603131</v>
      </c>
      <c r="DN29" s="24" cm="1">
        <f t="array" ref="DN29">-IFERROR(INDEX('NOI Walk'!$H$59:$EI$59,,MATCH(Model!DN$4,'NOI Walk'!$H$16:$EI$16,0)),0)</f>
        <v>-2567.9435687495325</v>
      </c>
      <c r="DO29" s="24" cm="1">
        <f t="array" ref="DO29">-IFERROR(INDEX('NOI Walk'!$H$59:$EI$59,,MATCH(Model!DO$4,'NOI Walk'!$H$16:$EI$16,0)),0)</f>
        <v>-2573.2187729007687</v>
      </c>
      <c r="DP29" s="24" cm="1">
        <f t="array" ref="DP29">-IFERROR(INDEX('NOI Walk'!$H$59:$EI$59,,MATCH(Model!DP$4,'NOI Walk'!$H$16:$EI$16,0)),0)</f>
        <v>-2578.5048425968471</v>
      </c>
      <c r="DQ29" s="24" cm="1">
        <f t="array" ref="DQ29">-IFERROR(INDEX('NOI Walk'!$H$59:$EI$59,,MATCH(Model!DQ$4,'NOI Walk'!$H$16:$EI$16,0)),0)</f>
        <v>-2583.8018002668796</v>
      </c>
      <c r="DR29" s="24" cm="1">
        <f t="array" ref="DR29">-IFERROR(INDEX('NOI Walk'!$H$59:$EI$59,,MATCH(Model!DR$4,'NOI Walk'!$H$16:$EI$16,0)),0)</f>
        <v>-2589.1096683863593</v>
      </c>
      <c r="DS29" s="24" cm="1">
        <f t="array" ref="DS29">-IFERROR(INDEX('NOI Walk'!$H$59:$EI$59,,MATCH(Model!DS$4,'NOI Walk'!$H$16:$EI$16,0)),0)</f>
        <v>-2594.4284694772591</v>
      </c>
      <c r="DT29" s="24" cm="1">
        <f t="array" ref="DT29">-IFERROR(INDEX('NOI Walk'!$H$59:$EI$59,,MATCH(Model!DT$4,'NOI Walk'!$H$16:$EI$16,0)),0)</f>
        <v>-2599.7582261081234</v>
      </c>
      <c r="DU29" s="24" cm="1">
        <f t="array" ref="DU29">-IFERROR(INDEX('NOI Walk'!$H$59:$EI$59,,MATCH(Model!DU$4,'NOI Walk'!$H$16:$EI$16,0)),0)</f>
        <v>-2605.0989608941677</v>
      </c>
      <c r="DV29" s="24" cm="1">
        <f t="array" ref="DV29">-IFERROR(INDEX('NOI Walk'!$H$59:$EI$59,,MATCH(Model!DV$4,'NOI Walk'!$H$16:$EI$16,0)),0)</f>
        <v>-2610.4506964973748</v>
      </c>
      <c r="DW29" s="24" cm="1">
        <f t="array" ref="DW29">-IFERROR(INDEX('NOI Walk'!$H$59:$EI$59,,MATCH(Model!DW$4,'NOI Walk'!$H$16:$EI$16,0)),0)</f>
        <v>-2615.8134556265909</v>
      </c>
      <c r="DX29" s="24" cm="1">
        <f t="array" ref="DX29">-IFERROR(INDEX('NOI Walk'!$H$59:$EI$59,,MATCH(Model!DX$4,'NOI Walk'!$H$16:$EI$16,0)),0)</f>
        <v>-2621.1872610376226</v>
      </c>
      <c r="DY29" s="24" cm="1">
        <f t="array" ref="DY29">-IFERROR(INDEX('NOI Walk'!$H$59:$EI$59,,MATCH(Model!DY$4,'NOI Walk'!$H$16:$EI$16,0)),0)</f>
        <v>-2626.5721355333362</v>
      </c>
      <c r="DZ29" s="24" cm="1">
        <f t="array" ref="DZ29">-IFERROR(INDEX('NOI Walk'!$H$59:$EI$59,,MATCH(Model!DZ$4,'NOI Walk'!$H$16:$EI$16,0)),0)</f>
        <v>-2631.9681019637533</v>
      </c>
      <c r="EA29" s="24" cm="1">
        <f t="array" ref="EA29">-IFERROR(INDEX('NOI Walk'!$H$59:$EI$59,,MATCH(Model!EA$4,'NOI Walk'!$H$16:$EI$16,0)),0)</f>
        <v>-2637.3751832261455</v>
      </c>
      <c r="EB29" s="24" cm="1">
        <f t="array" ref="EB29">-IFERROR(INDEX('NOI Walk'!$H$59:$EI$59,,MATCH(Model!EB$4,'NOI Walk'!$H$16:$EI$16,0)),0)</f>
        <v>-2642.7934022651411</v>
      </c>
      <c r="EC29" s="24" cm="1">
        <f t="array" ref="EC29">-IFERROR(INDEX('NOI Walk'!$H$59:$EI$59,,MATCH(Model!EC$4,'NOI Walk'!$H$16:$EI$16,0)),0)</f>
        <v>-2648.2227820728126</v>
      </c>
      <c r="ED29" s="24" cm="1">
        <f t="array" ref="ED29">-IFERROR(INDEX('NOI Walk'!$H$59:$EI$59,,MATCH(Model!ED$4,'NOI Walk'!$H$16:$EI$16,0)),0)</f>
        <v>-2653.663345688783</v>
      </c>
      <c r="EE29" s="24" cm="1">
        <f t="array" ref="EE29">-IFERROR(INDEX('NOI Walk'!$H$59:$EI$59,,MATCH(Model!EE$4,'NOI Walk'!$H$16:$EI$16,0)),0)</f>
        <v>-2659.1151162003198</v>
      </c>
      <c r="EF29" s="24" cm="1">
        <f t="array" ref="EF29">-IFERROR(INDEX('NOI Walk'!$H$59:$EI$59,,MATCH(Model!EF$4,'NOI Walk'!$H$16:$EI$16,0)),0)</f>
        <v>-2664.5781167424352</v>
      </c>
      <c r="EG29" s="24" cm="1">
        <f t="array" ref="EG29">-IFERROR(INDEX('NOI Walk'!$H$59:$EI$59,,MATCH(Model!EG$4,'NOI Walk'!$H$16:$EI$16,0)),0)</f>
        <v>-2670.0523704979873</v>
      </c>
      <c r="EH29" s="24" cm="1">
        <f t="array" ref="EH29">-IFERROR(INDEX('NOI Walk'!$H$59:$EI$59,,MATCH(Model!EH$4,'NOI Walk'!$H$16:$EI$16,0)),0)</f>
        <v>-2675.5379006977719</v>
      </c>
      <c r="EI29" s="24" cm="1">
        <f t="array" ref="EI29">-IFERROR(INDEX('NOI Walk'!$H$59:$EI$59,,MATCH(Model!EI$4,'NOI Walk'!$H$16:$EI$16,0)),0)</f>
        <v>-2681.0347306206304</v>
      </c>
      <c r="EM29" s="1" t="s">
        <v>191</v>
      </c>
    </row>
    <row r="30" spans="4:143" s="8" customFormat="1" x14ac:dyDescent="0.45">
      <c r="D30" s="4" t="s">
        <v>145</v>
      </c>
      <c r="E30" s="4"/>
      <c r="F30" s="4"/>
      <c r="G30" s="26">
        <f>SUM(G28:G29)</f>
        <v>0</v>
      </c>
      <c r="H30" s="26">
        <f t="shared" ref="H30:BS30" si="309">SUM(H28:H29)</f>
        <v>79100.127035555604</v>
      </c>
      <c r="I30" s="26">
        <f t="shared" si="309"/>
        <v>74527.753252831259</v>
      </c>
      <c r="J30" s="26">
        <f t="shared" si="309"/>
        <v>69936.153497177365</v>
      </c>
      <c r="K30" s="26">
        <f t="shared" si="309"/>
        <v>65325.267750657804</v>
      </c>
      <c r="L30" s="26">
        <f t="shared" si="309"/>
        <v>67980.690719732447</v>
      </c>
      <c r="M30" s="26">
        <f t="shared" si="309"/>
        <v>72152.253786385409</v>
      </c>
      <c r="N30" s="26">
        <f t="shared" si="309"/>
        <v>74831.766772354153</v>
      </c>
      <c r="O30" s="26">
        <f t="shared" si="309"/>
        <v>77522.124600201962</v>
      </c>
      <c r="P30" s="26">
        <f t="shared" si="309"/>
        <v>80223.360815881388</v>
      </c>
      <c r="Q30" s="26">
        <f t="shared" si="309"/>
        <v>82935.509058031879</v>
      </c>
      <c r="R30" s="26">
        <f t="shared" si="309"/>
        <v>85658.603058220076</v>
      </c>
      <c r="S30" s="26">
        <f t="shared" si="309"/>
        <v>88392.676641180995</v>
      </c>
      <c r="T30" s="26">
        <f t="shared" si="309"/>
        <v>91137.763725060096</v>
      </c>
      <c r="U30" s="26">
        <f t="shared" si="309"/>
        <v>93893.898321655404</v>
      </c>
      <c r="V30" s="26">
        <f t="shared" si="309"/>
        <v>96661.114536660389</v>
      </c>
      <c r="W30" s="26">
        <f t="shared" si="309"/>
        <v>99439.446569907901</v>
      </c>
      <c r="X30" s="26">
        <f t="shared" si="309"/>
        <v>102228.92871561403</v>
      </c>
      <c r="Y30" s="26">
        <f t="shared" si="309"/>
        <v>105029.59536262296</v>
      </c>
      <c r="Z30" s="26">
        <f t="shared" si="309"/>
        <v>107841.48099465251</v>
      </c>
      <c r="AA30" s="26">
        <f t="shared" si="309"/>
        <v>110664.62019054012</v>
      </c>
      <c r="AB30" s="26">
        <f t="shared" si="309"/>
        <v>113499.04762448938</v>
      </c>
      <c r="AC30" s="26">
        <f t="shared" si="309"/>
        <v>116344.79806631725</v>
      </c>
      <c r="AD30" s="26">
        <f t="shared" si="309"/>
        <v>119201.90638170214</v>
      </c>
      <c r="AE30" s="26">
        <f t="shared" si="309"/>
        <v>122070.40753243225</v>
      </c>
      <c r="AF30" s="26">
        <f t="shared" si="309"/>
        <v>124950.33657665459</v>
      </c>
      <c r="AG30" s="26">
        <f t="shared" si="309"/>
        <v>127841.72866912484</v>
      </c>
      <c r="AH30" s="26">
        <f t="shared" si="309"/>
        <v>130744.61906145765</v>
      </c>
      <c r="AI30" s="26">
        <f t="shared" si="309"/>
        <v>138742.14891381297</v>
      </c>
      <c r="AJ30" s="26">
        <f t="shared" si="309"/>
        <v>146772.18748918211</v>
      </c>
      <c r="AK30" s="26">
        <f t="shared" si="309"/>
        <v>154834.83516765526</v>
      </c>
      <c r="AL30" s="26">
        <f t="shared" si="309"/>
        <v>155173.61923755013</v>
      </c>
      <c r="AM30" s="26">
        <f t="shared" si="309"/>
        <v>155513.13612675169</v>
      </c>
      <c r="AN30" s="26">
        <f t="shared" si="309"/>
        <v>155853.38740699869</v>
      </c>
      <c r="AO30" s="26">
        <f t="shared" si="309"/>
        <v>156194.37465337949</v>
      </c>
      <c r="AP30" s="26">
        <f t="shared" si="309"/>
        <v>156536.09944433902</v>
      </c>
      <c r="AQ30" s="26">
        <f t="shared" si="309"/>
        <v>156878.56336168613</v>
      </c>
      <c r="AR30" s="26">
        <f t="shared" si="309"/>
        <v>157221.76799060017</v>
      </c>
      <c r="AS30" s="26">
        <f t="shared" si="309"/>
        <v>157565.71491963876</v>
      </c>
      <c r="AT30" s="26">
        <f t="shared" si="309"/>
        <v>157910.40574074458</v>
      </c>
      <c r="AU30" s="26">
        <f t="shared" si="309"/>
        <v>158255.84204925271</v>
      </c>
      <c r="AV30" s="26">
        <f t="shared" si="309"/>
        <v>158602.02544389782</v>
      </c>
      <c r="AW30" s="26">
        <f t="shared" si="309"/>
        <v>158948.95752682129</v>
      </c>
      <c r="AX30" s="26">
        <f t="shared" si="309"/>
        <v>159296.6399035785</v>
      </c>
      <c r="AY30" s="26">
        <f t="shared" si="309"/>
        <v>159645.07418314603</v>
      </c>
      <c r="AZ30" s="26">
        <f t="shared" si="309"/>
        <v>159994.26197792901</v>
      </c>
      <c r="BA30" s="26">
        <f t="shared" si="309"/>
        <v>160344.20490376803</v>
      </c>
      <c r="BB30" s="26">
        <f t="shared" si="309"/>
        <v>160694.90457994718</v>
      </c>
      <c r="BC30" s="26">
        <f t="shared" si="309"/>
        <v>161046.36262920051</v>
      </c>
      <c r="BD30" s="26">
        <f t="shared" si="309"/>
        <v>161398.58067771993</v>
      </c>
      <c r="BE30" s="26">
        <f t="shared" si="309"/>
        <v>161751.56035516207</v>
      </c>
      <c r="BF30" s="26">
        <f t="shared" si="309"/>
        <v>162105.30329465613</v>
      </c>
      <c r="BG30" s="26">
        <f t="shared" si="309"/>
        <v>162459.81113281101</v>
      </c>
      <c r="BH30" s="26">
        <f t="shared" si="309"/>
        <v>162815.0855097225</v>
      </c>
      <c r="BI30" s="26">
        <f t="shared" si="309"/>
        <v>163171.12806898102</v>
      </c>
      <c r="BJ30" s="26">
        <f t="shared" si="309"/>
        <v>163527.94045767869</v>
      </c>
      <c r="BK30" s="26">
        <f t="shared" si="309"/>
        <v>163885.52432641713</v>
      </c>
      <c r="BL30" s="26">
        <f t="shared" si="309"/>
        <v>164243.88132931446</v>
      </c>
      <c r="BM30" s="26">
        <f t="shared" si="309"/>
        <v>164603.01312401326</v>
      </c>
      <c r="BN30" s="26">
        <f t="shared" si="309"/>
        <v>164962.92137168755</v>
      </c>
      <c r="BO30" s="26">
        <f t="shared" si="309"/>
        <v>165323.60773705054</v>
      </c>
      <c r="BP30" s="26">
        <f t="shared" si="309"/>
        <v>165685.07388836227</v>
      </c>
      <c r="BQ30" s="26">
        <f t="shared" si="309"/>
        <v>166047.32149743682</v>
      </c>
      <c r="BR30" s="26">
        <f t="shared" si="309"/>
        <v>166410.35223964983</v>
      </c>
      <c r="BS30" s="26">
        <f t="shared" si="309"/>
        <v>166774.16779394657</v>
      </c>
      <c r="BT30" s="26">
        <f t="shared" ref="BT30:CV30" si="310">SUM(BT28:BT29)</f>
        <v>167138.76984284885</v>
      </c>
      <c r="BU30" s="26">
        <f t="shared" si="310"/>
        <v>167504.16007246301</v>
      </c>
      <c r="BV30" s="26">
        <f t="shared" si="310"/>
        <v>167870.34017248734</v>
      </c>
      <c r="BW30" s="26">
        <f t="shared" si="310"/>
        <v>168237.31183621997</v>
      </c>
      <c r="BX30" s="26">
        <f t="shared" si="310"/>
        <v>168605.07676056586</v>
      </c>
      <c r="BY30" s="26">
        <f t="shared" si="310"/>
        <v>168973.63664604534</v>
      </c>
      <c r="BZ30" s="26">
        <f t="shared" si="310"/>
        <v>169342.99319680111</v>
      </c>
      <c r="CA30" s="26">
        <f t="shared" si="310"/>
        <v>169713.148120606</v>
      </c>
      <c r="CB30" s="26">
        <f t="shared" si="310"/>
        <v>170084.10312887104</v>
      </c>
      <c r="CC30" s="26">
        <f t="shared" si="310"/>
        <v>170455.85993665273</v>
      </c>
      <c r="CD30" s="26">
        <f t="shared" si="310"/>
        <v>170828.42026266112</v>
      </c>
      <c r="CE30" s="26">
        <f t="shared" si="310"/>
        <v>171201.78582926726</v>
      </c>
      <c r="CF30" s="26">
        <f t="shared" si="310"/>
        <v>171575.95836251107</v>
      </c>
      <c r="CG30" s="26">
        <f t="shared" si="310"/>
        <v>171950.93959210944</v>
      </c>
      <c r="CH30" s="26">
        <f t="shared" si="310"/>
        <v>172326.73125146326</v>
      </c>
      <c r="CI30" s="26">
        <f t="shared" si="310"/>
        <v>172703.33507766612</v>
      </c>
      <c r="CJ30" s="26">
        <f t="shared" si="310"/>
        <v>173080.75281151151</v>
      </c>
      <c r="CK30" s="26">
        <f t="shared" si="310"/>
        <v>173458.98619750093</v>
      </c>
      <c r="CL30" s="26">
        <f t="shared" si="310"/>
        <v>173838.03698385158</v>
      </c>
      <c r="CM30" s="26">
        <f t="shared" si="310"/>
        <v>174217.9069225046</v>
      </c>
      <c r="CN30" s="26">
        <f t="shared" si="310"/>
        <v>174598.59776913244</v>
      </c>
      <c r="CO30" s="26">
        <f t="shared" si="310"/>
        <v>174980.11128314724</v>
      </c>
      <c r="CP30" s="26">
        <f t="shared" si="310"/>
        <v>175362.44922770848</v>
      </c>
      <c r="CQ30" s="26">
        <f t="shared" si="310"/>
        <v>175745.61336973094</v>
      </c>
      <c r="CR30" s="26">
        <f t="shared" si="310"/>
        <v>176129.60547989287</v>
      </c>
      <c r="CS30" s="26">
        <f t="shared" si="310"/>
        <v>176514.42733264365</v>
      </c>
      <c r="CT30" s="26">
        <f t="shared" si="310"/>
        <v>176900.08070621212</v>
      </c>
      <c r="CU30" s="26">
        <f t="shared" si="310"/>
        <v>177286.56738261436</v>
      </c>
      <c r="CV30" s="26">
        <f t="shared" si="310"/>
        <v>177673.8891476618</v>
      </c>
      <c r="CW30" s="26">
        <f t="shared" ref="CW30:EI30" si="311">SUM(CW28:CW29)</f>
        <v>178062.04779096917</v>
      </c>
      <c r="CX30" s="26">
        <f t="shared" si="311"/>
        <v>178451.04510596269</v>
      </c>
      <c r="CY30" s="26">
        <f t="shared" si="311"/>
        <v>178840.88288988825</v>
      </c>
      <c r="CZ30" s="26">
        <f t="shared" si="311"/>
        <v>179231.56294381904</v>
      </c>
      <c r="DA30" s="26">
        <f t="shared" si="311"/>
        <v>179623.08707266432</v>
      </c>
      <c r="DB30" s="26">
        <f t="shared" si="311"/>
        <v>180015.45708517692</v>
      </c>
      <c r="DC30" s="26">
        <f t="shared" si="311"/>
        <v>180408.67479396201</v>
      </c>
      <c r="DD30" s="26">
        <f t="shared" si="311"/>
        <v>180802.74201548455</v>
      </c>
      <c r="DE30" s="26">
        <f t="shared" si="311"/>
        <v>181197.66057007803</v>
      </c>
      <c r="DF30" s="26">
        <f t="shared" si="311"/>
        <v>181593.43228195267</v>
      </c>
      <c r="DG30" s="26">
        <f t="shared" si="311"/>
        <v>181990.05897920314</v>
      </c>
      <c r="DH30" s="26">
        <f t="shared" si="311"/>
        <v>182387.54249381734</v>
      </c>
      <c r="DI30" s="26">
        <f t="shared" si="311"/>
        <v>182785.88466168437</v>
      </c>
      <c r="DJ30" s="26">
        <f t="shared" si="311"/>
        <v>183185.08732260272</v>
      </c>
      <c r="DK30" s="26">
        <f t="shared" si="311"/>
        <v>183585.15232028897</v>
      </c>
      <c r="DL30" s="26">
        <f t="shared" si="311"/>
        <v>183986.08150238547</v>
      </c>
      <c r="DM30" s="26">
        <f t="shared" si="311"/>
        <v>184387.87672046933</v>
      </c>
      <c r="DN30" s="26">
        <f t="shared" si="311"/>
        <v>184790.53983006018</v>
      </c>
      <c r="DO30" s="26">
        <f t="shared" si="311"/>
        <v>185194.07269062905</v>
      </c>
      <c r="DP30" s="26">
        <f t="shared" si="311"/>
        <v>185598.47716560611</v>
      </c>
      <c r="DQ30" s="26">
        <f t="shared" si="311"/>
        <v>186003.75512238979</v>
      </c>
      <c r="DR30" s="26">
        <f t="shared" si="311"/>
        <v>186409.90843235439</v>
      </c>
      <c r="DS30" s="26">
        <f t="shared" si="311"/>
        <v>186816.9389708596</v>
      </c>
      <c r="DT30" s="26">
        <f t="shared" si="311"/>
        <v>187224.84861725764</v>
      </c>
      <c r="DU30" s="26">
        <f t="shared" si="311"/>
        <v>187633.63925490266</v>
      </c>
      <c r="DV30" s="26">
        <f t="shared" si="311"/>
        <v>188043.31277115896</v>
      </c>
      <c r="DW30" s="26">
        <f t="shared" si="311"/>
        <v>188453.87105740939</v>
      </c>
      <c r="DX30" s="26">
        <f t="shared" si="311"/>
        <v>188865.31600906388</v>
      </c>
      <c r="DY30" s="26">
        <f t="shared" si="311"/>
        <v>189277.64952556812</v>
      </c>
      <c r="DZ30" s="26">
        <f t="shared" si="311"/>
        <v>189690.87351041209</v>
      </c>
      <c r="EA30" s="26">
        <f t="shared" si="311"/>
        <v>190104.98987113827</v>
      </c>
      <c r="EB30" s="26">
        <f t="shared" si="311"/>
        <v>190520.00051935084</v>
      </c>
      <c r="EC30" s="26">
        <f t="shared" si="311"/>
        <v>190935.90737072381</v>
      </c>
      <c r="ED30" s="26">
        <f t="shared" si="311"/>
        <v>191352.71234500984</v>
      </c>
      <c r="EE30" s="26">
        <f t="shared" si="311"/>
        <v>191770.41736604884</v>
      </c>
      <c r="EF30" s="26">
        <f t="shared" si="311"/>
        <v>192189.02436177665</v>
      </c>
      <c r="EG30" s="26">
        <f t="shared" si="311"/>
        <v>192608.5352642338</v>
      </c>
      <c r="EH30" s="26">
        <f t="shared" si="311"/>
        <v>193028.95200957384</v>
      </c>
      <c r="EI30" s="26">
        <f t="shared" si="311"/>
        <v>193450.27653807256</v>
      </c>
      <c r="EM30" s="1" t="s">
        <v>191</v>
      </c>
    </row>
    <row r="31" spans="4:143" x14ac:dyDescent="0.45"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M31" s="1" t="s">
        <v>191</v>
      </c>
    </row>
    <row r="32" spans="4:143" s="8" customFormat="1" x14ac:dyDescent="0.45">
      <c r="D32" s="140" t="s">
        <v>31</v>
      </c>
      <c r="E32" s="141"/>
      <c r="F32" s="206"/>
      <c r="G32" s="142">
        <f>IF(G4&gt;Assumptions!$E$174,0,SUM(G30,G26,G10,G22,G18))</f>
        <v>-16901390.834998686</v>
      </c>
      <c r="H32" s="142">
        <f>IF(H4&gt;Assumptions!$E$174,0,SUM(H30,H26,H10,H22,H18))</f>
        <v>79100.127035555604</v>
      </c>
      <c r="I32" s="142">
        <f>IF(I4&gt;Assumptions!$E$174,0,SUM(I30,I26,I10,I22,I18))</f>
        <v>-23124.420660212214</v>
      </c>
      <c r="J32" s="142">
        <f>IF(J4&gt;Assumptions!$E$174,0,SUM(J30,J26,J10,J22,J18))</f>
        <v>-27716.020415866107</v>
      </c>
      <c r="K32" s="142">
        <f>IF(K4&gt;Assumptions!$E$174,0,SUM(K30,K26,K10,K22,K18))</f>
        <v>-32326.906162385669</v>
      </c>
      <c r="L32" s="142">
        <f>IF(L4&gt;Assumptions!$E$174,0,SUM(L30,L26,L10,L22,L18))</f>
        <v>-77171.483193311011</v>
      </c>
      <c r="M32" s="142">
        <f>IF(M4&gt;Assumptions!$E$174,0,SUM(M30,M26,M10,M22,M18))</f>
        <v>-62999.920126658049</v>
      </c>
      <c r="N32" s="142">
        <f>IF(N4&gt;Assumptions!$E$174,0,SUM(N30,N26,N10,N22,N18))</f>
        <v>-22820.40714068932</v>
      </c>
      <c r="O32" s="142">
        <f>IF(O4&gt;Assumptions!$E$174,0,SUM(O30,O26,O10,O22,O18))</f>
        <v>-20130.049312841511</v>
      </c>
      <c r="P32" s="142">
        <f>IF(P4&gt;Assumptions!$E$174,0,SUM(P30,P26,P10,P22,P18))</f>
        <v>-17428.813097162085</v>
      </c>
      <c r="Q32" s="142">
        <f>IF(Q4&gt;Assumptions!$E$174,0,SUM(Q30,Q26,Q10,Q22,Q18))</f>
        <v>-19716.664855011593</v>
      </c>
      <c r="R32" s="142">
        <f>IF(R4&gt;Assumptions!$E$174,0,SUM(R30,R26,R10,R22,R18))</f>
        <v>-11993.570854823396</v>
      </c>
      <c r="S32" s="142">
        <f>IF(S4&gt;Assumptions!$E$174,0,SUM(S30,S26,S10,S22,S18))</f>
        <v>-8259.4972718624776</v>
      </c>
      <c r="T32" s="142">
        <f>IF(T4&gt;Assumptions!$E$174,0,SUM(T30,T26,T10,T22,T18))</f>
        <v>-5514.4101879833761</v>
      </c>
      <c r="U32" s="142">
        <f>IF(U4&gt;Assumptions!$E$174,0,SUM(U30,U26,U10,U22,U18))</f>
        <v>-2758.2755913880683</v>
      </c>
      <c r="V32" s="142">
        <f>IF(V4&gt;Assumptions!$E$174,0,SUM(V30,V26,V10,V22,V18))</f>
        <v>8.9406236169161275</v>
      </c>
      <c r="W32" s="142">
        <f>IF(W4&gt;Assumptions!$E$174,0,SUM(W30,W26,W10,W22,W18))</f>
        <v>2787.2726568644284</v>
      </c>
      <c r="X32" s="142">
        <f>IF(X4&gt;Assumptions!$E$174,0,SUM(X30,X26,X10,X22,X18))</f>
        <v>5576.7548025705619</v>
      </c>
      <c r="Y32" s="142">
        <f>IF(Y4&gt;Assumptions!$E$174,0,SUM(Y30,Y26,Y10,Y22,Y18))</f>
        <v>8377.4214495794877</v>
      </c>
      <c r="Z32" s="142">
        <f>IF(Z4&gt;Assumptions!$E$174,0,SUM(Z30,Z26,Z10,Z22,Z18))</f>
        <v>11189.307081609033</v>
      </c>
      <c r="AA32" s="142">
        <f>IF(AA4&gt;Assumptions!$E$174,0,SUM(AA30,AA26,AA10,AA22,AA18))</f>
        <v>14012.446277496652</v>
      </c>
      <c r="AB32" s="142">
        <f>IF(AB4&gt;Assumptions!$E$174,0,SUM(AB30,AB26,AB10,AB22,AB18))</f>
        <v>16846.873711445907</v>
      </c>
      <c r="AC32" s="142">
        <f>IF(AC4&gt;Assumptions!$E$174,0,SUM(AC30,AC26,AC10,AC22,AC18))</f>
        <v>19692.624153273777</v>
      </c>
      <c r="AD32" s="142">
        <f>IF(AD4&gt;Assumptions!$E$174,0,SUM(AD30,AD26,AD10,AD22,AD18))</f>
        <v>22549.732468658665</v>
      </c>
      <c r="AE32" s="142">
        <f>IF(AE4&gt;Assumptions!$E$174,0,SUM(AE30,AE26,AE10,AE22,AE18))</f>
        <v>-208881.76638061123</v>
      </c>
      <c r="AF32" s="142">
        <f>IF(AF4&gt;Assumptions!$E$174,0,SUM(AF30,AF26,AF10,AF22,AF18))</f>
        <v>124950.33657665459</v>
      </c>
      <c r="AG32" s="142">
        <f>IF(AG4&gt;Assumptions!$E$174,0,SUM(AG30,AG26,AG10,AG22,AG18))</f>
        <v>127841.72866912484</v>
      </c>
      <c r="AH32" s="142">
        <f>IF(AH4&gt;Assumptions!$E$174,0,SUM(AH30,AH26,AH10,AH22,AH18))</f>
        <v>130744.61906145765</v>
      </c>
      <c r="AI32" s="142">
        <f>IF(AI4&gt;Assumptions!$E$174,0,SUM(AI30,AI26,AI10,AI22,AI18))</f>
        <v>138742.14891381297</v>
      </c>
      <c r="AJ32" s="142">
        <f>IF(AJ4&gt;Assumptions!$E$174,0,SUM(AJ30,AJ26,AJ10,AJ22,AJ18))</f>
        <v>146772.18748918211</v>
      </c>
      <c r="AK32" s="142">
        <f>IF(AK4&gt;Assumptions!$E$174,0,SUM(AK30,AK26,AK10,AK22,AK18))</f>
        <v>154834.83516765526</v>
      </c>
      <c r="AL32" s="142">
        <f>IF(AL4&gt;Assumptions!$E$174,0,SUM(AL30,AL26,AL10,AL22,AL18))</f>
        <v>155173.61923755013</v>
      </c>
      <c r="AM32" s="142">
        <f>IF(AM4&gt;Assumptions!$E$174,0,SUM(AM30,AM26,AM10,AM22,AM18))</f>
        <v>155513.13612675169</v>
      </c>
      <c r="AN32" s="142">
        <f>IF(AN4&gt;Assumptions!$E$174,0,SUM(AN30,AN26,AN10,AN22,AN18))</f>
        <v>155853.38740699869</v>
      </c>
      <c r="AO32" s="142">
        <f>IF(AO4&gt;Assumptions!$E$174,0,SUM(AO30,AO26,AO10,AO22,AO18))</f>
        <v>156194.37465337949</v>
      </c>
      <c r="AP32" s="142">
        <f>IF(AP4&gt;Assumptions!$E$174,0,SUM(AP30,AP26,AP10,AP22,AP18))</f>
        <v>156536.09944433902</v>
      </c>
      <c r="AQ32" s="142">
        <f>IF(AQ4&gt;Assumptions!$E$174,0,SUM(AQ30,AQ26,AQ10,AQ22,AQ18))</f>
        <v>156878.56336168613</v>
      </c>
      <c r="AR32" s="142">
        <f>IF(AR4&gt;Assumptions!$E$174,0,SUM(AR30,AR26,AR10,AR22,AR18))</f>
        <v>157221.76799060017</v>
      </c>
      <c r="AS32" s="142">
        <f>IF(AS4&gt;Assumptions!$E$174,0,SUM(AS30,AS26,AS10,AS22,AS18))</f>
        <v>157565.71491963876</v>
      </c>
      <c r="AT32" s="142">
        <f>IF(AT4&gt;Assumptions!$E$174,0,SUM(AT30,AT26,AT10,AT22,AT18))</f>
        <v>157910.40574074458</v>
      </c>
      <c r="AU32" s="142">
        <f>IF(AU4&gt;Assumptions!$E$174,0,SUM(AU30,AU26,AU10,AU22,AU18))</f>
        <v>158255.84204925271</v>
      </c>
      <c r="AV32" s="142">
        <f>IF(AV4&gt;Assumptions!$E$174,0,SUM(AV30,AV26,AV10,AV22,AV18))</f>
        <v>158602.02544389782</v>
      </c>
      <c r="AW32" s="142">
        <f>IF(AW4&gt;Assumptions!$E$174,0,SUM(AW30,AW26,AW10,AW22,AW18))</f>
        <v>158948.95752682129</v>
      </c>
      <c r="AX32" s="142">
        <f>IF(AX4&gt;Assumptions!$E$174,0,SUM(AX30,AX26,AX10,AX22,AX18))</f>
        <v>159296.6399035785</v>
      </c>
      <c r="AY32" s="142">
        <f>IF(AY4&gt;Assumptions!$E$174,0,SUM(AY30,AY26,AY10,AY22,AY18))</f>
        <v>159645.07418314603</v>
      </c>
      <c r="AZ32" s="142">
        <f>IF(AZ4&gt;Assumptions!$E$174,0,SUM(AZ30,AZ26,AZ10,AZ22,AZ18))</f>
        <v>159994.26197792901</v>
      </c>
      <c r="BA32" s="142">
        <f>IF(BA4&gt;Assumptions!$E$174,0,SUM(BA30,BA26,BA10,BA22,BA18))</f>
        <v>160344.20490376803</v>
      </c>
      <c r="BB32" s="142">
        <f>IF(BB4&gt;Assumptions!$E$174,0,SUM(BB30,BB26,BB10,BB22,BB18))</f>
        <v>160694.90457994718</v>
      </c>
      <c r="BC32" s="142">
        <f>IF(BC4&gt;Assumptions!$E$174,0,SUM(BC30,BC26,BC10,BC22,BC18))</f>
        <v>161046.36262920051</v>
      </c>
      <c r="BD32" s="142">
        <f>IF(BD4&gt;Assumptions!$E$174,0,SUM(BD30,BD26,BD10,BD22,BD18))</f>
        <v>161398.58067771993</v>
      </c>
      <c r="BE32" s="142">
        <f>IF(BE4&gt;Assumptions!$E$174,0,SUM(BE30,BE26,BE10,BE22,BE18))</f>
        <v>161751.56035516207</v>
      </c>
      <c r="BF32" s="142">
        <f>IF(BF4&gt;Assumptions!$E$174,0,SUM(BF30,BF26,BF10,BF22,BF18))</f>
        <v>162105.30329465613</v>
      </c>
      <c r="BG32" s="142">
        <f>IF(BG4&gt;Assumptions!$E$174,0,SUM(BG30,BG26,BG10,BG22,BG18))</f>
        <v>162459.81113281101</v>
      </c>
      <c r="BH32" s="142">
        <f>IF(BH4&gt;Assumptions!$E$174,0,SUM(BH30,BH26,BH10,BH22,BH18))</f>
        <v>162815.0855097225</v>
      </c>
      <c r="BI32" s="142">
        <f>IF(BI4&gt;Assumptions!$E$174,0,SUM(BI30,BI26,BI10,BI22,BI18))</f>
        <v>163171.12806898102</v>
      </c>
      <c r="BJ32" s="142">
        <f>IF(BJ4&gt;Assumptions!$E$174,0,SUM(BJ30,BJ26,BJ10,BJ22,BJ18))</f>
        <v>163527.94045767869</v>
      </c>
      <c r="BK32" s="142">
        <f>IF(BK4&gt;Assumptions!$E$174,0,SUM(BK30,BK26,BK10,BK22,BK18))</f>
        <v>163885.52432641713</v>
      </c>
      <c r="BL32" s="142">
        <f>IF(BL4&gt;Assumptions!$E$174,0,SUM(BL30,BL26,BL10,BL22,BL18))</f>
        <v>164243.88132931446</v>
      </c>
      <c r="BM32" s="142">
        <f>IF(BM4&gt;Assumptions!$E$174,0,SUM(BM30,BM26,BM10,BM22,BM18))</f>
        <v>164603.01312401326</v>
      </c>
      <c r="BN32" s="142">
        <f>IF(BN4&gt;Assumptions!$E$174,0,SUM(BN30,BN26,BN10,BN22,BN18))</f>
        <v>164962.92137168755</v>
      </c>
      <c r="BO32" s="142">
        <f>IF(BO4&gt;Assumptions!$E$174,0,SUM(BO30,BO26,BO10,BO22,BO18))</f>
        <v>33163360.711585846</v>
      </c>
      <c r="BP32" s="142">
        <f>IF(BP4&gt;Assumptions!$E$174,0,SUM(BP30,BP26,BP10,BP22,BP18))</f>
        <v>0</v>
      </c>
      <c r="BQ32" s="142">
        <f>IF(BQ4&gt;Assumptions!$E$174,0,SUM(BQ30,BQ26,BQ10,BQ22,BQ18))</f>
        <v>0</v>
      </c>
      <c r="BR32" s="142">
        <f>IF(BR4&gt;Assumptions!$E$174,0,SUM(BR30,BR26,BR10,BR22,BR18))</f>
        <v>0</v>
      </c>
      <c r="BS32" s="142">
        <f>IF(BS4&gt;Assumptions!$E$174,0,SUM(BS30,BS26,BS10,BS22,BS18))</f>
        <v>0</v>
      </c>
      <c r="BT32" s="142">
        <f>IF(BT4&gt;Assumptions!$E$174,0,SUM(BT30,BT26,BT10,BT22,BT18))</f>
        <v>0</v>
      </c>
      <c r="BU32" s="142">
        <f>IF(BU4&gt;Assumptions!$E$174,0,SUM(BU30,BU26,BU10,BU22,BU18))</f>
        <v>0</v>
      </c>
      <c r="BV32" s="142">
        <f>IF(BV4&gt;Assumptions!$E$174,0,SUM(BV30,BV26,BV10,BV22,BV18))</f>
        <v>0</v>
      </c>
      <c r="BW32" s="142">
        <f>IF(BW4&gt;Assumptions!$E$174,0,SUM(BW30,BW26,BW10,BW22,BW18))</f>
        <v>0</v>
      </c>
      <c r="BX32" s="142">
        <f>IF(BX4&gt;Assumptions!$E$174,0,SUM(BX30,BX26,BX10,BX22,BX18))</f>
        <v>0</v>
      </c>
      <c r="BY32" s="142">
        <f>IF(BY4&gt;Assumptions!$E$174,0,SUM(BY30,BY26,BY10,BY22,BY18))</f>
        <v>0</v>
      </c>
      <c r="BZ32" s="142">
        <f>IF(BZ4&gt;Assumptions!$E$174,0,SUM(BZ30,BZ26,BZ10,BZ22,BZ18))</f>
        <v>0</v>
      </c>
      <c r="CA32" s="142">
        <f>IF(CA4&gt;Assumptions!$E$174,0,SUM(CA30,CA26,CA10,CA22,CA18))</f>
        <v>0</v>
      </c>
      <c r="CB32" s="142">
        <f>IF(CB4&gt;Assumptions!$E$174,0,SUM(CB30,CB26,CB10,CB22,CB18))</f>
        <v>0</v>
      </c>
      <c r="CC32" s="142">
        <f>IF(CC4&gt;Assumptions!$E$174,0,SUM(CC30,CC26,CC10,CC22,CC18))</f>
        <v>0</v>
      </c>
      <c r="CD32" s="142">
        <f>IF(CD4&gt;Assumptions!$E$174,0,SUM(CD30,CD26,CD10,CD22,CD18))</f>
        <v>0</v>
      </c>
      <c r="CE32" s="142">
        <f>IF(CE4&gt;Assumptions!$E$174,0,SUM(CE30,CE26,CE10,CE22,CE18))</f>
        <v>0</v>
      </c>
      <c r="CF32" s="142">
        <f>IF(CF4&gt;Assumptions!$E$174,0,SUM(CF30,CF26,CF10,CF22,CF18))</f>
        <v>0</v>
      </c>
      <c r="CG32" s="142">
        <f>IF(CG4&gt;Assumptions!$E$174,0,SUM(CG30,CG26,CG10,CG22,CG18))</f>
        <v>0</v>
      </c>
      <c r="CH32" s="142">
        <f>IF(CH4&gt;Assumptions!$E$174,0,SUM(CH30,CH26,CH10,CH22,CH18))</f>
        <v>0</v>
      </c>
      <c r="CI32" s="142">
        <f>IF(CI4&gt;Assumptions!$E$174,0,SUM(CI30,CI26,CI10,CI22,CI18))</f>
        <v>0</v>
      </c>
      <c r="CJ32" s="142">
        <f>IF(CJ4&gt;Assumptions!$E$174,0,SUM(CJ30,CJ26,CJ10,CJ22,CJ18))</f>
        <v>0</v>
      </c>
      <c r="CK32" s="142">
        <f>IF(CK4&gt;Assumptions!$E$174,0,SUM(CK30,CK26,CK10,CK22,CK18))</f>
        <v>0</v>
      </c>
      <c r="CL32" s="142">
        <f>IF(CL4&gt;Assumptions!$E$174,0,SUM(CL30,CL26,CL10,CL22,CL18))</f>
        <v>0</v>
      </c>
      <c r="CM32" s="142">
        <f>IF(CM4&gt;Assumptions!$E$174,0,SUM(CM30,CM26,CM10,CM22,CM18))</f>
        <v>0</v>
      </c>
      <c r="CN32" s="142">
        <f>IF(CN4&gt;Assumptions!$E$174,0,SUM(CN30,CN26,CN10,CN22,CN18))</f>
        <v>0</v>
      </c>
      <c r="CO32" s="142">
        <f>IF(CO4&gt;Assumptions!$E$174,0,SUM(CO30,CO26,CO10,CO22,CO18))</f>
        <v>0</v>
      </c>
      <c r="CP32" s="142">
        <f>IF(CP4&gt;Assumptions!$E$174,0,SUM(CP30,CP26,CP10,CP22,CP18))</f>
        <v>0</v>
      </c>
      <c r="CQ32" s="142">
        <f>IF(CQ4&gt;Assumptions!$E$174,0,SUM(CQ30,CQ26,CQ10,CQ22,CQ18))</f>
        <v>0</v>
      </c>
      <c r="CR32" s="142">
        <f>IF(CR4&gt;Assumptions!$E$174,0,SUM(CR30,CR26,CR10,CR22,CR18))</f>
        <v>0</v>
      </c>
      <c r="CS32" s="142">
        <f>IF(CS4&gt;Assumptions!$E$174,0,SUM(CS30,CS26,CS10,CS22,CS18))</f>
        <v>0</v>
      </c>
      <c r="CT32" s="142">
        <f>IF(CT4&gt;Assumptions!$E$174,0,SUM(CT30,CT26,CT10,CT22,CT18))</f>
        <v>0</v>
      </c>
      <c r="CU32" s="142">
        <f>IF(CU4&gt;Assumptions!$E$174,0,SUM(CU30,CU26,CU10,CU22,CU18))</f>
        <v>0</v>
      </c>
      <c r="CV32" s="142">
        <f>IF(CV4&gt;Assumptions!$E$174,0,SUM(CV30,CV26,CV10,CV22,CV18))</f>
        <v>0</v>
      </c>
      <c r="CW32" s="142">
        <f>IF(CW4&gt;Assumptions!$E$174,0,SUM(CW30,CW26,CW10,CW22,CW18))</f>
        <v>0</v>
      </c>
      <c r="CX32" s="142">
        <f>IF(CX4&gt;Assumptions!$E$174,0,SUM(CX30,CX26,CX10,CX22,CX18))</f>
        <v>0</v>
      </c>
      <c r="CY32" s="142">
        <f>IF(CY4&gt;Assumptions!$E$174,0,SUM(CY30,CY26,CY10,CY22,CY18))</f>
        <v>0</v>
      </c>
      <c r="CZ32" s="142">
        <f>IF(CZ4&gt;Assumptions!$E$174,0,SUM(CZ30,CZ26,CZ10,CZ22,CZ18))</f>
        <v>0</v>
      </c>
      <c r="DA32" s="142">
        <f>IF(DA4&gt;Assumptions!$E$174,0,SUM(DA30,DA26,DA10,DA22,DA18))</f>
        <v>0</v>
      </c>
      <c r="DB32" s="142">
        <f>IF(DB4&gt;Assumptions!$E$174,0,SUM(DB30,DB26,DB10,DB22,DB18))</f>
        <v>0</v>
      </c>
      <c r="DC32" s="142">
        <f>IF(DC4&gt;Assumptions!$E$174,0,SUM(DC30,DC26,DC10,DC22,DC18))</f>
        <v>0</v>
      </c>
      <c r="DD32" s="142">
        <f>IF(DD4&gt;Assumptions!$E$174,0,SUM(DD30,DD26,DD10,DD22,DD18))</f>
        <v>0</v>
      </c>
      <c r="DE32" s="142">
        <f>IF(DE4&gt;Assumptions!$E$174,0,SUM(DE30,DE26,DE10,DE22,DE18))</f>
        <v>0</v>
      </c>
      <c r="DF32" s="142">
        <f>IF(DF4&gt;Assumptions!$E$174,0,SUM(DF30,DF26,DF10,DF22,DF18))</f>
        <v>0</v>
      </c>
      <c r="DG32" s="142">
        <f>IF(DG4&gt;Assumptions!$E$174,0,SUM(DG30,DG26,DG10,DG22,DG18))</f>
        <v>0</v>
      </c>
      <c r="DH32" s="142">
        <f>IF(DH4&gt;Assumptions!$E$174,0,SUM(DH30,DH26,DH10,DH22,DH18))</f>
        <v>0</v>
      </c>
      <c r="DI32" s="142">
        <f>IF(DI4&gt;Assumptions!$E$174,0,SUM(DI30,DI26,DI10,DI22,DI18))</f>
        <v>0</v>
      </c>
      <c r="DJ32" s="142">
        <f>IF(DJ4&gt;Assumptions!$E$174,0,SUM(DJ30,DJ26,DJ10,DJ22,DJ18))</f>
        <v>0</v>
      </c>
      <c r="DK32" s="142">
        <f>IF(DK4&gt;Assumptions!$E$174,0,SUM(DK30,DK26,DK10,DK22,DK18))</f>
        <v>0</v>
      </c>
      <c r="DL32" s="142">
        <f>IF(DL4&gt;Assumptions!$E$174,0,SUM(DL30,DL26,DL10,DL22,DL18))</f>
        <v>0</v>
      </c>
      <c r="DM32" s="142">
        <f>IF(DM4&gt;Assumptions!$E$174,0,SUM(DM30,DM26,DM10,DM22,DM18))</f>
        <v>0</v>
      </c>
      <c r="DN32" s="142">
        <f>IF(DN4&gt;Assumptions!$E$174,0,SUM(DN30,DN26,DN10,DN22,DN18))</f>
        <v>0</v>
      </c>
      <c r="DO32" s="142">
        <f>IF(DO4&gt;Assumptions!$E$174,0,SUM(DO30,DO26,DO10,DO22,DO18))</f>
        <v>0</v>
      </c>
      <c r="DP32" s="142">
        <f>IF(DP4&gt;Assumptions!$E$174,0,SUM(DP30,DP26,DP10,DP22,DP18))</f>
        <v>0</v>
      </c>
      <c r="DQ32" s="142">
        <f>IF(DQ4&gt;Assumptions!$E$174,0,SUM(DQ30,DQ26,DQ10,DQ22,DQ18))</f>
        <v>0</v>
      </c>
      <c r="DR32" s="142">
        <f>IF(DR4&gt;Assumptions!$E$174,0,SUM(DR30,DR26,DR10,DR22,DR18))</f>
        <v>0</v>
      </c>
      <c r="DS32" s="142">
        <f>IF(DS4&gt;Assumptions!$E$174,0,SUM(DS30,DS26,DS10,DS22,DS18))</f>
        <v>0</v>
      </c>
      <c r="DT32" s="142">
        <f>IF(DT4&gt;Assumptions!$E$174,0,SUM(DT30,DT26,DT10,DT22,DT18))</f>
        <v>0</v>
      </c>
      <c r="DU32" s="142">
        <f>IF(DU4&gt;Assumptions!$E$174,0,SUM(DU30,DU26,DU10,DU22,DU18))</f>
        <v>0</v>
      </c>
      <c r="DV32" s="142">
        <f>IF(DV4&gt;Assumptions!$E$174,0,SUM(DV30,DV26,DV10,DV22,DV18))</f>
        <v>0</v>
      </c>
      <c r="DW32" s="142">
        <f>IF(DW4&gt;Assumptions!$E$174,0,SUM(DW30,DW26,DW10,DW22,DW18))</f>
        <v>0</v>
      </c>
      <c r="DX32" s="142">
        <f>IF(DX4&gt;Assumptions!$E$174,0,SUM(DX30,DX26,DX10,DX22,DX18))</f>
        <v>0</v>
      </c>
      <c r="DY32" s="142">
        <f>IF(DY4&gt;Assumptions!$E$174,0,SUM(DY30,DY26,DY10,DY22,DY18))</f>
        <v>0</v>
      </c>
      <c r="DZ32" s="142">
        <f>IF(DZ4&gt;Assumptions!$E$174,0,SUM(DZ30,DZ26,DZ10,DZ22,DZ18))</f>
        <v>0</v>
      </c>
      <c r="EA32" s="142">
        <f>IF(EA4&gt;Assumptions!$E$174,0,SUM(EA30,EA26,EA10,EA22,EA18))</f>
        <v>0</v>
      </c>
      <c r="EB32" s="142">
        <f>IF(EB4&gt;Assumptions!$E$174,0,SUM(EB30,EB26,EB10,EB22,EB18))</f>
        <v>0</v>
      </c>
      <c r="EC32" s="142">
        <f>IF(EC4&gt;Assumptions!$E$174,0,SUM(EC30,EC26,EC10,EC22,EC18))</f>
        <v>0</v>
      </c>
      <c r="ED32" s="142">
        <f>IF(ED4&gt;Assumptions!$E$174,0,SUM(ED30,ED26,ED10,ED22,ED18))</f>
        <v>0</v>
      </c>
      <c r="EE32" s="142">
        <f>IF(EE4&gt;Assumptions!$E$174,0,SUM(EE30,EE26,EE10,EE22,EE18))</f>
        <v>0</v>
      </c>
      <c r="EF32" s="142">
        <f>IF(EF4&gt;Assumptions!$E$174,0,SUM(EF30,EF26,EF10,EF22,EF18))</f>
        <v>0</v>
      </c>
      <c r="EG32" s="142">
        <f>IF(EG4&gt;Assumptions!$E$174,0,SUM(EG30,EG26,EG10,EG22,EG18))</f>
        <v>0</v>
      </c>
      <c r="EH32" s="142">
        <f>IF(EH4&gt;Assumptions!$E$174,0,SUM(EH30,EH26,EH10,EH22,EH18))</f>
        <v>0</v>
      </c>
      <c r="EI32" s="142">
        <f>IF(EI4&gt;Assumptions!$E$174,0,SUM(EI30,EI26,EI10,EI22,EI18))</f>
        <v>0</v>
      </c>
      <c r="EM32" s="1" t="s">
        <v>191</v>
      </c>
    </row>
    <row r="33" spans="2:143" x14ac:dyDescent="0.45">
      <c r="D33" s="137" t="s">
        <v>153</v>
      </c>
      <c r="F33" s="138">
        <f>SUM(G33:EI33)</f>
        <v>-19458690.834998675</v>
      </c>
      <c r="G33" s="24">
        <f t="shared" ref="G33:AL33" si="312">+MIN(G10,0)</f>
        <v>-16901390.834998686</v>
      </c>
      <c r="H33" s="24">
        <f t="shared" si="312"/>
        <v>0</v>
      </c>
      <c r="I33" s="24">
        <f t="shared" si="312"/>
        <v>-97652.173913043473</v>
      </c>
      <c r="J33" s="24">
        <f t="shared" si="312"/>
        <v>-97652.173913043473</v>
      </c>
      <c r="K33" s="24">
        <f t="shared" si="312"/>
        <v>-97652.173913043473</v>
      </c>
      <c r="L33" s="24">
        <f t="shared" si="312"/>
        <v>-145152.17391304346</v>
      </c>
      <c r="M33" s="24">
        <f t="shared" si="312"/>
        <v>-135152.17391304346</v>
      </c>
      <c r="N33" s="24">
        <f t="shared" si="312"/>
        <v>-97652.173913043473</v>
      </c>
      <c r="O33" s="24">
        <f t="shared" si="312"/>
        <v>-97652.173913043473</v>
      </c>
      <c r="P33" s="24">
        <f t="shared" si="312"/>
        <v>-97652.173913043473</v>
      </c>
      <c r="Q33" s="24">
        <f t="shared" si="312"/>
        <v>-102652.17391304347</v>
      </c>
      <c r="R33" s="24">
        <f t="shared" si="312"/>
        <v>-97652.173913043473</v>
      </c>
      <c r="S33" s="24">
        <f t="shared" si="312"/>
        <v>-96652.173913043473</v>
      </c>
      <c r="T33" s="24">
        <f t="shared" si="312"/>
        <v>-96652.173913043473</v>
      </c>
      <c r="U33" s="24">
        <f t="shared" si="312"/>
        <v>-96652.173913043473</v>
      </c>
      <c r="V33" s="24">
        <f t="shared" si="312"/>
        <v>-96652.173913043473</v>
      </c>
      <c r="W33" s="24">
        <f t="shared" si="312"/>
        <v>-96652.173913043473</v>
      </c>
      <c r="X33" s="24">
        <f t="shared" si="312"/>
        <v>-96652.173913043473</v>
      </c>
      <c r="Y33" s="24">
        <f t="shared" si="312"/>
        <v>-96652.173913043473</v>
      </c>
      <c r="Z33" s="24">
        <f t="shared" si="312"/>
        <v>-96652.173913043473</v>
      </c>
      <c r="AA33" s="24">
        <f t="shared" si="312"/>
        <v>-96652.173913043473</v>
      </c>
      <c r="AB33" s="24">
        <f t="shared" si="312"/>
        <v>-96652.173913043473</v>
      </c>
      <c r="AC33" s="24">
        <f t="shared" si="312"/>
        <v>-96652.173913043473</v>
      </c>
      <c r="AD33" s="24">
        <f t="shared" si="312"/>
        <v>-96652.173913043473</v>
      </c>
      <c r="AE33" s="24">
        <f t="shared" si="312"/>
        <v>-330952.17391304346</v>
      </c>
      <c r="AF33" s="24">
        <f t="shared" si="312"/>
        <v>0</v>
      </c>
      <c r="AG33" s="24">
        <f t="shared" si="312"/>
        <v>0</v>
      </c>
      <c r="AH33" s="24">
        <f t="shared" si="312"/>
        <v>0</v>
      </c>
      <c r="AI33" s="24">
        <f t="shared" si="312"/>
        <v>0</v>
      </c>
      <c r="AJ33" s="24">
        <f t="shared" si="312"/>
        <v>0</v>
      </c>
      <c r="AK33" s="24">
        <f t="shared" si="312"/>
        <v>0</v>
      </c>
      <c r="AL33" s="24">
        <f t="shared" si="312"/>
        <v>0</v>
      </c>
      <c r="AM33" s="24">
        <f t="shared" ref="AM33:BR33" si="313">+MIN(AM10,0)</f>
        <v>0</v>
      </c>
      <c r="AN33" s="24">
        <f t="shared" si="313"/>
        <v>0</v>
      </c>
      <c r="AO33" s="24">
        <f t="shared" si="313"/>
        <v>0</v>
      </c>
      <c r="AP33" s="24">
        <f t="shared" si="313"/>
        <v>0</v>
      </c>
      <c r="AQ33" s="24">
        <f t="shared" si="313"/>
        <v>0</v>
      </c>
      <c r="AR33" s="24">
        <f t="shared" si="313"/>
        <v>0</v>
      </c>
      <c r="AS33" s="24">
        <f t="shared" si="313"/>
        <v>0</v>
      </c>
      <c r="AT33" s="24">
        <f t="shared" si="313"/>
        <v>0</v>
      </c>
      <c r="AU33" s="24">
        <f t="shared" si="313"/>
        <v>0</v>
      </c>
      <c r="AV33" s="24">
        <f t="shared" si="313"/>
        <v>0</v>
      </c>
      <c r="AW33" s="24">
        <f t="shared" si="313"/>
        <v>0</v>
      </c>
      <c r="AX33" s="24">
        <f t="shared" si="313"/>
        <v>0</v>
      </c>
      <c r="AY33" s="24">
        <f t="shared" si="313"/>
        <v>0</v>
      </c>
      <c r="AZ33" s="24">
        <f t="shared" si="313"/>
        <v>0</v>
      </c>
      <c r="BA33" s="24">
        <f t="shared" si="313"/>
        <v>0</v>
      </c>
      <c r="BB33" s="24">
        <f t="shared" si="313"/>
        <v>0</v>
      </c>
      <c r="BC33" s="24">
        <f t="shared" si="313"/>
        <v>0</v>
      </c>
      <c r="BD33" s="24">
        <f t="shared" si="313"/>
        <v>0</v>
      </c>
      <c r="BE33" s="24">
        <f t="shared" si="313"/>
        <v>0</v>
      </c>
      <c r="BF33" s="24">
        <f t="shared" si="313"/>
        <v>0</v>
      </c>
      <c r="BG33" s="24">
        <f t="shared" si="313"/>
        <v>0</v>
      </c>
      <c r="BH33" s="24">
        <f t="shared" si="313"/>
        <v>0</v>
      </c>
      <c r="BI33" s="24">
        <f t="shared" si="313"/>
        <v>0</v>
      </c>
      <c r="BJ33" s="24">
        <f t="shared" si="313"/>
        <v>0</v>
      </c>
      <c r="BK33" s="24">
        <f t="shared" si="313"/>
        <v>0</v>
      </c>
      <c r="BL33" s="24">
        <f t="shared" si="313"/>
        <v>0</v>
      </c>
      <c r="BM33" s="24">
        <f t="shared" si="313"/>
        <v>0</v>
      </c>
      <c r="BN33" s="24">
        <f t="shared" si="313"/>
        <v>0</v>
      </c>
      <c r="BO33" s="24">
        <f t="shared" si="313"/>
        <v>0</v>
      </c>
      <c r="BP33" s="24">
        <f t="shared" si="313"/>
        <v>0</v>
      </c>
      <c r="BQ33" s="24">
        <f t="shared" si="313"/>
        <v>0</v>
      </c>
      <c r="BR33" s="24">
        <f t="shared" si="313"/>
        <v>0</v>
      </c>
      <c r="BS33" s="24">
        <f t="shared" ref="BS33:CV33" si="314">+MIN(BS10,0)</f>
        <v>0</v>
      </c>
      <c r="BT33" s="24">
        <f t="shared" si="314"/>
        <v>0</v>
      </c>
      <c r="BU33" s="24">
        <f t="shared" si="314"/>
        <v>0</v>
      </c>
      <c r="BV33" s="24">
        <f t="shared" si="314"/>
        <v>0</v>
      </c>
      <c r="BW33" s="24">
        <f t="shared" si="314"/>
        <v>0</v>
      </c>
      <c r="BX33" s="24">
        <f t="shared" si="314"/>
        <v>0</v>
      </c>
      <c r="BY33" s="24">
        <f t="shared" si="314"/>
        <v>0</v>
      </c>
      <c r="BZ33" s="24">
        <f t="shared" si="314"/>
        <v>0</v>
      </c>
      <c r="CA33" s="24">
        <f t="shared" si="314"/>
        <v>0</v>
      </c>
      <c r="CB33" s="24">
        <f t="shared" si="314"/>
        <v>0</v>
      </c>
      <c r="CC33" s="24">
        <f t="shared" si="314"/>
        <v>0</v>
      </c>
      <c r="CD33" s="24">
        <f t="shared" si="314"/>
        <v>0</v>
      </c>
      <c r="CE33" s="24">
        <f t="shared" si="314"/>
        <v>0</v>
      </c>
      <c r="CF33" s="24">
        <f t="shared" si="314"/>
        <v>0</v>
      </c>
      <c r="CG33" s="24">
        <f t="shared" si="314"/>
        <v>0</v>
      </c>
      <c r="CH33" s="24">
        <f t="shared" si="314"/>
        <v>0</v>
      </c>
      <c r="CI33" s="24">
        <f t="shared" si="314"/>
        <v>0</v>
      </c>
      <c r="CJ33" s="24">
        <f t="shared" si="314"/>
        <v>0</v>
      </c>
      <c r="CK33" s="24">
        <f t="shared" si="314"/>
        <v>0</v>
      </c>
      <c r="CL33" s="24">
        <f t="shared" si="314"/>
        <v>0</v>
      </c>
      <c r="CM33" s="24">
        <f t="shared" si="314"/>
        <v>0</v>
      </c>
      <c r="CN33" s="24">
        <f t="shared" si="314"/>
        <v>0</v>
      </c>
      <c r="CO33" s="24">
        <f t="shared" si="314"/>
        <v>0</v>
      </c>
      <c r="CP33" s="24">
        <f t="shared" si="314"/>
        <v>0</v>
      </c>
      <c r="CQ33" s="24">
        <f t="shared" si="314"/>
        <v>0</v>
      </c>
      <c r="CR33" s="24">
        <f t="shared" si="314"/>
        <v>0</v>
      </c>
      <c r="CS33" s="24">
        <f t="shared" si="314"/>
        <v>0</v>
      </c>
      <c r="CT33" s="24">
        <f t="shared" si="314"/>
        <v>0</v>
      </c>
      <c r="CU33" s="24">
        <f t="shared" si="314"/>
        <v>0</v>
      </c>
      <c r="CV33" s="24">
        <f t="shared" si="314"/>
        <v>0</v>
      </c>
      <c r="CW33" s="24">
        <f t="shared" ref="CW33:EI33" si="315">+MIN(CW10,0)</f>
        <v>0</v>
      </c>
      <c r="CX33" s="24">
        <f t="shared" si="315"/>
        <v>0</v>
      </c>
      <c r="CY33" s="24">
        <f t="shared" si="315"/>
        <v>0</v>
      </c>
      <c r="CZ33" s="24">
        <f t="shared" si="315"/>
        <v>0</v>
      </c>
      <c r="DA33" s="24">
        <f t="shared" si="315"/>
        <v>0</v>
      </c>
      <c r="DB33" s="24">
        <f t="shared" si="315"/>
        <v>0</v>
      </c>
      <c r="DC33" s="24">
        <f t="shared" si="315"/>
        <v>0</v>
      </c>
      <c r="DD33" s="24">
        <f t="shared" si="315"/>
        <v>0</v>
      </c>
      <c r="DE33" s="24">
        <f t="shared" si="315"/>
        <v>0</v>
      </c>
      <c r="DF33" s="24">
        <f t="shared" si="315"/>
        <v>0</v>
      </c>
      <c r="DG33" s="24">
        <f t="shared" si="315"/>
        <v>0</v>
      </c>
      <c r="DH33" s="24">
        <f t="shared" si="315"/>
        <v>0</v>
      </c>
      <c r="DI33" s="24">
        <f t="shared" si="315"/>
        <v>0</v>
      </c>
      <c r="DJ33" s="24">
        <f t="shared" si="315"/>
        <v>0</v>
      </c>
      <c r="DK33" s="24">
        <f t="shared" si="315"/>
        <v>0</v>
      </c>
      <c r="DL33" s="24">
        <f t="shared" si="315"/>
        <v>0</v>
      </c>
      <c r="DM33" s="24">
        <f t="shared" si="315"/>
        <v>0</v>
      </c>
      <c r="DN33" s="24">
        <f t="shared" si="315"/>
        <v>0</v>
      </c>
      <c r="DO33" s="24">
        <f t="shared" si="315"/>
        <v>0</v>
      </c>
      <c r="DP33" s="24">
        <f t="shared" si="315"/>
        <v>0</v>
      </c>
      <c r="DQ33" s="24">
        <f t="shared" si="315"/>
        <v>0</v>
      </c>
      <c r="DR33" s="24">
        <f t="shared" si="315"/>
        <v>0</v>
      </c>
      <c r="DS33" s="24">
        <f t="shared" si="315"/>
        <v>0</v>
      </c>
      <c r="DT33" s="24">
        <f t="shared" si="315"/>
        <v>0</v>
      </c>
      <c r="DU33" s="24">
        <f t="shared" si="315"/>
        <v>0</v>
      </c>
      <c r="DV33" s="24">
        <f t="shared" si="315"/>
        <v>0</v>
      </c>
      <c r="DW33" s="24">
        <f t="shared" si="315"/>
        <v>0</v>
      </c>
      <c r="DX33" s="24">
        <f t="shared" si="315"/>
        <v>0</v>
      </c>
      <c r="DY33" s="24">
        <f t="shared" si="315"/>
        <v>0</v>
      </c>
      <c r="DZ33" s="24">
        <f t="shared" si="315"/>
        <v>0</v>
      </c>
      <c r="EA33" s="24">
        <f t="shared" si="315"/>
        <v>0</v>
      </c>
      <c r="EB33" s="24">
        <f t="shared" si="315"/>
        <v>0</v>
      </c>
      <c r="EC33" s="24">
        <f t="shared" si="315"/>
        <v>0</v>
      </c>
      <c r="ED33" s="24">
        <f t="shared" si="315"/>
        <v>0</v>
      </c>
      <c r="EE33" s="24">
        <f t="shared" si="315"/>
        <v>0</v>
      </c>
      <c r="EF33" s="24">
        <f t="shared" si="315"/>
        <v>0</v>
      </c>
      <c r="EG33" s="24">
        <f t="shared" si="315"/>
        <v>0</v>
      </c>
      <c r="EH33" s="24">
        <f t="shared" si="315"/>
        <v>0</v>
      </c>
      <c r="EI33" s="24">
        <f t="shared" si="315"/>
        <v>0</v>
      </c>
      <c r="EM33" s="1" t="s">
        <v>191</v>
      </c>
    </row>
    <row r="34" spans="2:143" x14ac:dyDescent="0.45">
      <c r="D34" s="137" t="s">
        <v>154</v>
      </c>
      <c r="F34" s="138">
        <f ca="1">+SUM(G32:OFFSET(G32,,Assumptions!$E$174))</f>
        <v>21365755.119202316</v>
      </c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M34" s="1" t="s">
        <v>191</v>
      </c>
    </row>
    <row r="35" spans="2:143" x14ac:dyDescent="0.45">
      <c r="D35" s="137" t="s">
        <v>155</v>
      </c>
      <c r="F35" s="165">
        <f>XIRR(G32:EI32,$G$2:$EI$2)</f>
        <v>0.18511292338371277</v>
      </c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53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M35" s="1" t="s">
        <v>191</v>
      </c>
    </row>
    <row r="36" spans="2:143" x14ac:dyDescent="0.45">
      <c r="D36" s="139" t="s">
        <v>156</v>
      </c>
      <c r="E36" s="2"/>
      <c r="F36" s="166">
        <f ca="1">-(F34-G33)/G33</f>
        <v>2.2641418287871913</v>
      </c>
      <c r="H36" s="24"/>
      <c r="I36" s="24"/>
      <c r="J36" s="24"/>
      <c r="K36" s="24"/>
      <c r="L36" s="24"/>
      <c r="M36" s="24"/>
      <c r="N36" s="24"/>
      <c r="O36" s="24"/>
      <c r="P36" s="24"/>
      <c r="Q36" s="53"/>
      <c r="R36" s="53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M36" s="1" t="s">
        <v>191</v>
      </c>
    </row>
    <row r="37" spans="2:143" x14ac:dyDescent="0.45"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4"/>
      <c r="EI37" s="24"/>
      <c r="EM37" s="1" t="s">
        <v>191</v>
      </c>
    </row>
    <row r="38" spans="2:143" x14ac:dyDescent="0.45">
      <c r="D38" s="1" t="s">
        <v>266</v>
      </c>
      <c r="G38" s="24">
        <f>-G5-G9</f>
        <v>-15020000</v>
      </c>
      <c r="H38" s="24">
        <f t="shared" ref="H38:S38" si="316">-H5-H9</f>
        <v>0</v>
      </c>
      <c r="I38" s="24">
        <f t="shared" si="316"/>
        <v>-97652.173913043473</v>
      </c>
      <c r="J38" s="24">
        <f t="shared" si="316"/>
        <v>-97652.173913043473</v>
      </c>
      <c r="K38" s="24">
        <f t="shared" si="316"/>
        <v>-97652.173913043473</v>
      </c>
      <c r="L38" s="24">
        <f t="shared" si="316"/>
        <v>-145152.17391304346</v>
      </c>
      <c r="M38" s="24">
        <f t="shared" si="316"/>
        <v>-135152.17391304346</v>
      </c>
      <c r="N38" s="24">
        <f t="shared" si="316"/>
        <v>-97652.173913043473</v>
      </c>
      <c r="O38" s="24">
        <f t="shared" si="316"/>
        <v>-97652.173913043473</v>
      </c>
      <c r="P38" s="24">
        <f t="shared" si="316"/>
        <v>-97652.173913043473</v>
      </c>
      <c r="Q38" s="24">
        <f t="shared" si="316"/>
        <v>-102652.17391304347</v>
      </c>
      <c r="R38" s="24">
        <f t="shared" si="316"/>
        <v>-97652.173913043473</v>
      </c>
      <c r="S38" s="24">
        <f t="shared" si="316"/>
        <v>-96652.173913043473</v>
      </c>
      <c r="T38" s="24">
        <f t="shared" ref="T38:AL38" si="317">+T33</f>
        <v>-96652.173913043473</v>
      </c>
      <c r="U38" s="24">
        <f t="shared" si="317"/>
        <v>-96652.173913043473</v>
      </c>
      <c r="V38" s="24">
        <f t="shared" si="317"/>
        <v>-96652.173913043473</v>
      </c>
      <c r="W38" s="24">
        <f t="shared" si="317"/>
        <v>-96652.173913043473</v>
      </c>
      <c r="X38" s="24">
        <f t="shared" si="317"/>
        <v>-96652.173913043473</v>
      </c>
      <c r="Y38" s="24">
        <f t="shared" si="317"/>
        <v>-96652.173913043473</v>
      </c>
      <c r="Z38" s="24">
        <f t="shared" si="317"/>
        <v>-96652.173913043473</v>
      </c>
      <c r="AA38" s="24">
        <f t="shared" si="317"/>
        <v>-96652.173913043473</v>
      </c>
      <c r="AB38" s="24">
        <f t="shared" si="317"/>
        <v>-96652.173913043473</v>
      </c>
      <c r="AC38" s="24">
        <f t="shared" si="317"/>
        <v>-96652.173913043473</v>
      </c>
      <c r="AD38" s="24">
        <f t="shared" si="317"/>
        <v>-96652.173913043473</v>
      </c>
      <c r="AE38" s="24">
        <f t="shared" si="317"/>
        <v>-330952.17391304346</v>
      </c>
      <c r="AF38" s="24">
        <f t="shared" si="317"/>
        <v>0</v>
      </c>
      <c r="AG38" s="24">
        <f t="shared" si="317"/>
        <v>0</v>
      </c>
      <c r="AH38" s="24">
        <f t="shared" si="317"/>
        <v>0</v>
      </c>
      <c r="AI38" s="24">
        <f t="shared" si="317"/>
        <v>0</v>
      </c>
      <c r="AJ38" s="24">
        <f t="shared" si="317"/>
        <v>0</v>
      </c>
      <c r="AK38" s="24">
        <f t="shared" si="317"/>
        <v>0</v>
      </c>
      <c r="AL38" s="24">
        <f t="shared" si="317"/>
        <v>0</v>
      </c>
      <c r="AM38" s="24">
        <f t="shared" ref="AM38:BR38" si="318">+AM33</f>
        <v>0</v>
      </c>
      <c r="AN38" s="24">
        <f t="shared" si="318"/>
        <v>0</v>
      </c>
      <c r="AO38" s="24">
        <f t="shared" si="318"/>
        <v>0</v>
      </c>
      <c r="AP38" s="24">
        <f t="shared" si="318"/>
        <v>0</v>
      </c>
      <c r="AQ38" s="24">
        <f t="shared" si="318"/>
        <v>0</v>
      </c>
      <c r="AR38" s="24">
        <f t="shared" si="318"/>
        <v>0</v>
      </c>
      <c r="AS38" s="24">
        <f t="shared" si="318"/>
        <v>0</v>
      </c>
      <c r="AT38" s="24">
        <f t="shared" si="318"/>
        <v>0</v>
      </c>
      <c r="AU38" s="24">
        <f t="shared" si="318"/>
        <v>0</v>
      </c>
      <c r="AV38" s="24">
        <f t="shared" si="318"/>
        <v>0</v>
      </c>
      <c r="AW38" s="24">
        <f t="shared" si="318"/>
        <v>0</v>
      </c>
      <c r="AX38" s="24">
        <f t="shared" si="318"/>
        <v>0</v>
      </c>
      <c r="AY38" s="24">
        <f t="shared" si="318"/>
        <v>0</v>
      </c>
      <c r="AZ38" s="24">
        <f t="shared" si="318"/>
        <v>0</v>
      </c>
      <c r="BA38" s="24">
        <f t="shared" si="318"/>
        <v>0</v>
      </c>
      <c r="BB38" s="24">
        <f t="shared" si="318"/>
        <v>0</v>
      </c>
      <c r="BC38" s="24">
        <f t="shared" si="318"/>
        <v>0</v>
      </c>
      <c r="BD38" s="24">
        <f t="shared" si="318"/>
        <v>0</v>
      </c>
      <c r="BE38" s="24">
        <f t="shared" si="318"/>
        <v>0</v>
      </c>
      <c r="BF38" s="24">
        <f t="shared" si="318"/>
        <v>0</v>
      </c>
      <c r="BG38" s="24">
        <f t="shared" si="318"/>
        <v>0</v>
      </c>
      <c r="BH38" s="24">
        <f t="shared" si="318"/>
        <v>0</v>
      </c>
      <c r="BI38" s="24">
        <f t="shared" si="318"/>
        <v>0</v>
      </c>
      <c r="BJ38" s="24">
        <f t="shared" si="318"/>
        <v>0</v>
      </c>
      <c r="BK38" s="24">
        <f t="shared" si="318"/>
        <v>0</v>
      </c>
      <c r="BL38" s="24">
        <f t="shared" si="318"/>
        <v>0</v>
      </c>
      <c r="BM38" s="24">
        <f t="shared" si="318"/>
        <v>0</v>
      </c>
      <c r="BN38" s="24">
        <f t="shared" si="318"/>
        <v>0</v>
      </c>
      <c r="BO38" s="24">
        <f t="shared" si="318"/>
        <v>0</v>
      </c>
      <c r="BP38" s="24">
        <f t="shared" si="318"/>
        <v>0</v>
      </c>
      <c r="BQ38" s="24">
        <f t="shared" si="318"/>
        <v>0</v>
      </c>
      <c r="BR38" s="24">
        <f t="shared" si="318"/>
        <v>0</v>
      </c>
      <c r="BS38" s="24">
        <f t="shared" ref="BS38:CV38" si="319">+BS33</f>
        <v>0</v>
      </c>
      <c r="BT38" s="24">
        <f t="shared" si="319"/>
        <v>0</v>
      </c>
      <c r="BU38" s="24">
        <f t="shared" si="319"/>
        <v>0</v>
      </c>
      <c r="BV38" s="24">
        <f t="shared" si="319"/>
        <v>0</v>
      </c>
      <c r="BW38" s="24">
        <f t="shared" si="319"/>
        <v>0</v>
      </c>
      <c r="BX38" s="24">
        <f t="shared" si="319"/>
        <v>0</v>
      </c>
      <c r="BY38" s="24">
        <f t="shared" si="319"/>
        <v>0</v>
      </c>
      <c r="BZ38" s="24">
        <f t="shared" si="319"/>
        <v>0</v>
      </c>
      <c r="CA38" s="24">
        <f t="shared" si="319"/>
        <v>0</v>
      </c>
      <c r="CB38" s="24">
        <f t="shared" si="319"/>
        <v>0</v>
      </c>
      <c r="CC38" s="24">
        <f t="shared" si="319"/>
        <v>0</v>
      </c>
      <c r="CD38" s="24">
        <f t="shared" si="319"/>
        <v>0</v>
      </c>
      <c r="CE38" s="24">
        <f t="shared" si="319"/>
        <v>0</v>
      </c>
      <c r="CF38" s="24">
        <f t="shared" si="319"/>
        <v>0</v>
      </c>
      <c r="CG38" s="24">
        <f t="shared" si="319"/>
        <v>0</v>
      </c>
      <c r="CH38" s="24">
        <f t="shared" si="319"/>
        <v>0</v>
      </c>
      <c r="CI38" s="24">
        <f t="shared" si="319"/>
        <v>0</v>
      </c>
      <c r="CJ38" s="24">
        <f t="shared" si="319"/>
        <v>0</v>
      </c>
      <c r="CK38" s="24">
        <f t="shared" si="319"/>
        <v>0</v>
      </c>
      <c r="CL38" s="24">
        <f t="shared" si="319"/>
        <v>0</v>
      </c>
      <c r="CM38" s="24">
        <f t="shared" si="319"/>
        <v>0</v>
      </c>
      <c r="CN38" s="24">
        <f t="shared" si="319"/>
        <v>0</v>
      </c>
      <c r="CO38" s="24">
        <f t="shared" si="319"/>
        <v>0</v>
      </c>
      <c r="CP38" s="24">
        <f t="shared" si="319"/>
        <v>0</v>
      </c>
      <c r="CQ38" s="24">
        <f t="shared" si="319"/>
        <v>0</v>
      </c>
      <c r="CR38" s="24">
        <f t="shared" si="319"/>
        <v>0</v>
      </c>
      <c r="CS38" s="24">
        <f t="shared" si="319"/>
        <v>0</v>
      </c>
      <c r="CT38" s="24">
        <f t="shared" si="319"/>
        <v>0</v>
      </c>
      <c r="CU38" s="24">
        <f t="shared" si="319"/>
        <v>0</v>
      </c>
      <c r="CV38" s="24">
        <f t="shared" si="319"/>
        <v>0</v>
      </c>
      <c r="CW38" s="24">
        <f t="shared" ref="CW38:EI38" si="320">+CW33</f>
        <v>0</v>
      </c>
      <c r="CX38" s="24">
        <f t="shared" si="320"/>
        <v>0</v>
      </c>
      <c r="CY38" s="24">
        <f t="shared" si="320"/>
        <v>0</v>
      </c>
      <c r="CZ38" s="24">
        <f t="shared" si="320"/>
        <v>0</v>
      </c>
      <c r="DA38" s="24">
        <f t="shared" si="320"/>
        <v>0</v>
      </c>
      <c r="DB38" s="24">
        <f t="shared" si="320"/>
        <v>0</v>
      </c>
      <c r="DC38" s="24">
        <f t="shared" si="320"/>
        <v>0</v>
      </c>
      <c r="DD38" s="24">
        <f t="shared" si="320"/>
        <v>0</v>
      </c>
      <c r="DE38" s="24">
        <f t="shared" si="320"/>
        <v>0</v>
      </c>
      <c r="DF38" s="24">
        <f t="shared" si="320"/>
        <v>0</v>
      </c>
      <c r="DG38" s="24">
        <f t="shared" si="320"/>
        <v>0</v>
      </c>
      <c r="DH38" s="24">
        <f t="shared" si="320"/>
        <v>0</v>
      </c>
      <c r="DI38" s="24">
        <f t="shared" si="320"/>
        <v>0</v>
      </c>
      <c r="DJ38" s="24">
        <f t="shared" si="320"/>
        <v>0</v>
      </c>
      <c r="DK38" s="24">
        <f t="shared" si="320"/>
        <v>0</v>
      </c>
      <c r="DL38" s="24">
        <f t="shared" si="320"/>
        <v>0</v>
      </c>
      <c r="DM38" s="24">
        <f t="shared" si="320"/>
        <v>0</v>
      </c>
      <c r="DN38" s="24">
        <f t="shared" si="320"/>
        <v>0</v>
      </c>
      <c r="DO38" s="24">
        <f t="shared" si="320"/>
        <v>0</v>
      </c>
      <c r="DP38" s="24">
        <f t="shared" si="320"/>
        <v>0</v>
      </c>
      <c r="DQ38" s="24">
        <f t="shared" si="320"/>
        <v>0</v>
      </c>
      <c r="DR38" s="24">
        <f t="shared" si="320"/>
        <v>0</v>
      </c>
      <c r="DS38" s="24">
        <f t="shared" si="320"/>
        <v>0</v>
      </c>
      <c r="DT38" s="24">
        <f t="shared" si="320"/>
        <v>0</v>
      </c>
      <c r="DU38" s="24">
        <f t="shared" si="320"/>
        <v>0</v>
      </c>
      <c r="DV38" s="24">
        <f t="shared" si="320"/>
        <v>0</v>
      </c>
      <c r="DW38" s="24">
        <f t="shared" si="320"/>
        <v>0</v>
      </c>
      <c r="DX38" s="24">
        <f t="shared" si="320"/>
        <v>0</v>
      </c>
      <c r="DY38" s="24">
        <f t="shared" si="320"/>
        <v>0</v>
      </c>
      <c r="DZ38" s="24">
        <f t="shared" si="320"/>
        <v>0</v>
      </c>
      <c r="EA38" s="24">
        <f t="shared" si="320"/>
        <v>0</v>
      </c>
      <c r="EB38" s="24">
        <f t="shared" si="320"/>
        <v>0</v>
      </c>
      <c r="EC38" s="24">
        <f t="shared" si="320"/>
        <v>0</v>
      </c>
      <c r="ED38" s="24">
        <f t="shared" si="320"/>
        <v>0</v>
      </c>
      <c r="EE38" s="24">
        <f t="shared" si="320"/>
        <v>0</v>
      </c>
      <c r="EF38" s="24">
        <f t="shared" si="320"/>
        <v>0</v>
      </c>
      <c r="EG38" s="24">
        <f t="shared" si="320"/>
        <v>0</v>
      </c>
      <c r="EH38" s="24">
        <f t="shared" si="320"/>
        <v>0</v>
      </c>
      <c r="EI38" s="24">
        <f t="shared" si="320"/>
        <v>0</v>
      </c>
      <c r="EM38" s="1" t="s">
        <v>191</v>
      </c>
    </row>
    <row r="39" spans="2:143" x14ac:dyDescent="0.45">
      <c r="D39" s="1" t="s">
        <v>267</v>
      </c>
      <c r="G39" s="24">
        <f>+G33-G38</f>
        <v>-1881390.8349986859</v>
      </c>
      <c r="H39" s="24">
        <f t="shared" ref="H39:BS39" si="321">+H33-H38</f>
        <v>0</v>
      </c>
      <c r="I39" s="24">
        <f t="shared" si="321"/>
        <v>0</v>
      </c>
      <c r="J39" s="24">
        <f t="shared" si="321"/>
        <v>0</v>
      </c>
      <c r="K39" s="24">
        <f t="shared" si="321"/>
        <v>0</v>
      </c>
      <c r="L39" s="24">
        <f t="shared" si="321"/>
        <v>0</v>
      </c>
      <c r="M39" s="24">
        <f t="shared" si="321"/>
        <v>0</v>
      </c>
      <c r="N39" s="24">
        <f t="shared" si="321"/>
        <v>0</v>
      </c>
      <c r="O39" s="24">
        <f t="shared" si="321"/>
        <v>0</v>
      </c>
      <c r="P39" s="24">
        <f t="shared" si="321"/>
        <v>0</v>
      </c>
      <c r="Q39" s="24">
        <f t="shared" si="321"/>
        <v>0</v>
      </c>
      <c r="R39" s="24">
        <f t="shared" si="321"/>
        <v>0</v>
      </c>
      <c r="S39" s="24">
        <f t="shared" si="321"/>
        <v>0</v>
      </c>
      <c r="T39" s="24">
        <f t="shared" si="321"/>
        <v>0</v>
      </c>
      <c r="U39" s="24">
        <f t="shared" si="321"/>
        <v>0</v>
      </c>
      <c r="V39" s="24">
        <f t="shared" si="321"/>
        <v>0</v>
      </c>
      <c r="W39" s="24">
        <f t="shared" si="321"/>
        <v>0</v>
      </c>
      <c r="X39" s="24">
        <f t="shared" si="321"/>
        <v>0</v>
      </c>
      <c r="Y39" s="24">
        <f t="shared" si="321"/>
        <v>0</v>
      </c>
      <c r="Z39" s="24">
        <f t="shared" si="321"/>
        <v>0</v>
      </c>
      <c r="AA39" s="24">
        <f t="shared" si="321"/>
        <v>0</v>
      </c>
      <c r="AB39" s="24">
        <f t="shared" si="321"/>
        <v>0</v>
      </c>
      <c r="AC39" s="24">
        <f t="shared" si="321"/>
        <v>0</v>
      </c>
      <c r="AD39" s="24">
        <f t="shared" si="321"/>
        <v>0</v>
      </c>
      <c r="AE39" s="24">
        <f t="shared" si="321"/>
        <v>0</v>
      </c>
      <c r="AF39" s="24">
        <f t="shared" si="321"/>
        <v>0</v>
      </c>
      <c r="AG39" s="24">
        <f t="shared" si="321"/>
        <v>0</v>
      </c>
      <c r="AH39" s="24">
        <f t="shared" si="321"/>
        <v>0</v>
      </c>
      <c r="AI39" s="24">
        <f t="shared" si="321"/>
        <v>0</v>
      </c>
      <c r="AJ39" s="24">
        <f t="shared" si="321"/>
        <v>0</v>
      </c>
      <c r="AK39" s="24">
        <f t="shared" si="321"/>
        <v>0</v>
      </c>
      <c r="AL39" s="24">
        <f t="shared" si="321"/>
        <v>0</v>
      </c>
      <c r="AM39" s="24">
        <f t="shared" si="321"/>
        <v>0</v>
      </c>
      <c r="AN39" s="24">
        <f t="shared" si="321"/>
        <v>0</v>
      </c>
      <c r="AO39" s="24">
        <f t="shared" si="321"/>
        <v>0</v>
      </c>
      <c r="AP39" s="24">
        <f t="shared" si="321"/>
        <v>0</v>
      </c>
      <c r="AQ39" s="24">
        <f t="shared" si="321"/>
        <v>0</v>
      </c>
      <c r="AR39" s="24">
        <f t="shared" si="321"/>
        <v>0</v>
      </c>
      <c r="AS39" s="24">
        <f t="shared" si="321"/>
        <v>0</v>
      </c>
      <c r="AT39" s="24">
        <f t="shared" si="321"/>
        <v>0</v>
      </c>
      <c r="AU39" s="24">
        <f t="shared" si="321"/>
        <v>0</v>
      </c>
      <c r="AV39" s="24">
        <f t="shared" si="321"/>
        <v>0</v>
      </c>
      <c r="AW39" s="24">
        <f t="shared" si="321"/>
        <v>0</v>
      </c>
      <c r="AX39" s="24">
        <f t="shared" si="321"/>
        <v>0</v>
      </c>
      <c r="AY39" s="24">
        <f t="shared" si="321"/>
        <v>0</v>
      </c>
      <c r="AZ39" s="24">
        <f t="shared" si="321"/>
        <v>0</v>
      </c>
      <c r="BA39" s="24">
        <f t="shared" si="321"/>
        <v>0</v>
      </c>
      <c r="BB39" s="24">
        <f t="shared" si="321"/>
        <v>0</v>
      </c>
      <c r="BC39" s="24">
        <f t="shared" si="321"/>
        <v>0</v>
      </c>
      <c r="BD39" s="24">
        <f t="shared" si="321"/>
        <v>0</v>
      </c>
      <c r="BE39" s="24">
        <f t="shared" si="321"/>
        <v>0</v>
      </c>
      <c r="BF39" s="24">
        <f t="shared" si="321"/>
        <v>0</v>
      </c>
      <c r="BG39" s="24">
        <f t="shared" si="321"/>
        <v>0</v>
      </c>
      <c r="BH39" s="24">
        <f t="shared" si="321"/>
        <v>0</v>
      </c>
      <c r="BI39" s="24">
        <f t="shared" si="321"/>
        <v>0</v>
      </c>
      <c r="BJ39" s="24">
        <f t="shared" si="321"/>
        <v>0</v>
      </c>
      <c r="BK39" s="24">
        <f t="shared" si="321"/>
        <v>0</v>
      </c>
      <c r="BL39" s="24">
        <f t="shared" si="321"/>
        <v>0</v>
      </c>
      <c r="BM39" s="24">
        <f t="shared" si="321"/>
        <v>0</v>
      </c>
      <c r="BN39" s="24">
        <f t="shared" si="321"/>
        <v>0</v>
      </c>
      <c r="BO39" s="24">
        <f t="shared" si="321"/>
        <v>0</v>
      </c>
      <c r="BP39" s="24">
        <f t="shared" si="321"/>
        <v>0</v>
      </c>
      <c r="BQ39" s="24">
        <f t="shared" si="321"/>
        <v>0</v>
      </c>
      <c r="BR39" s="24">
        <f t="shared" si="321"/>
        <v>0</v>
      </c>
      <c r="BS39" s="24">
        <f t="shared" si="321"/>
        <v>0</v>
      </c>
      <c r="BT39" s="24">
        <f t="shared" ref="BT39:CV39" si="322">+BT33-BT38</f>
        <v>0</v>
      </c>
      <c r="BU39" s="24">
        <f t="shared" si="322"/>
        <v>0</v>
      </c>
      <c r="BV39" s="24">
        <f t="shared" si="322"/>
        <v>0</v>
      </c>
      <c r="BW39" s="24">
        <f t="shared" si="322"/>
        <v>0</v>
      </c>
      <c r="BX39" s="24">
        <f t="shared" si="322"/>
        <v>0</v>
      </c>
      <c r="BY39" s="24">
        <f t="shared" si="322"/>
        <v>0</v>
      </c>
      <c r="BZ39" s="24">
        <f t="shared" si="322"/>
        <v>0</v>
      </c>
      <c r="CA39" s="24">
        <f t="shared" si="322"/>
        <v>0</v>
      </c>
      <c r="CB39" s="24">
        <f t="shared" si="322"/>
        <v>0</v>
      </c>
      <c r="CC39" s="24">
        <f t="shared" si="322"/>
        <v>0</v>
      </c>
      <c r="CD39" s="24">
        <f t="shared" si="322"/>
        <v>0</v>
      </c>
      <c r="CE39" s="24">
        <f t="shared" si="322"/>
        <v>0</v>
      </c>
      <c r="CF39" s="24">
        <f t="shared" si="322"/>
        <v>0</v>
      </c>
      <c r="CG39" s="24">
        <f t="shared" si="322"/>
        <v>0</v>
      </c>
      <c r="CH39" s="24">
        <f t="shared" si="322"/>
        <v>0</v>
      </c>
      <c r="CI39" s="24">
        <f t="shared" si="322"/>
        <v>0</v>
      </c>
      <c r="CJ39" s="24">
        <f t="shared" si="322"/>
        <v>0</v>
      </c>
      <c r="CK39" s="24">
        <f t="shared" si="322"/>
        <v>0</v>
      </c>
      <c r="CL39" s="24">
        <f t="shared" si="322"/>
        <v>0</v>
      </c>
      <c r="CM39" s="24">
        <f t="shared" si="322"/>
        <v>0</v>
      </c>
      <c r="CN39" s="24">
        <f t="shared" si="322"/>
        <v>0</v>
      </c>
      <c r="CO39" s="24">
        <f t="shared" si="322"/>
        <v>0</v>
      </c>
      <c r="CP39" s="24">
        <f t="shared" si="322"/>
        <v>0</v>
      </c>
      <c r="CQ39" s="24">
        <f t="shared" si="322"/>
        <v>0</v>
      </c>
      <c r="CR39" s="24">
        <f t="shared" si="322"/>
        <v>0</v>
      </c>
      <c r="CS39" s="24">
        <f t="shared" si="322"/>
        <v>0</v>
      </c>
      <c r="CT39" s="24">
        <f t="shared" si="322"/>
        <v>0</v>
      </c>
      <c r="CU39" s="24">
        <f t="shared" si="322"/>
        <v>0</v>
      </c>
      <c r="CV39" s="24">
        <f t="shared" si="322"/>
        <v>0</v>
      </c>
      <c r="CW39" s="24">
        <f t="shared" ref="CW39:EI39" si="323">+CW33-CW38</f>
        <v>0</v>
      </c>
      <c r="CX39" s="24">
        <f t="shared" si="323"/>
        <v>0</v>
      </c>
      <c r="CY39" s="24">
        <f t="shared" si="323"/>
        <v>0</v>
      </c>
      <c r="CZ39" s="24">
        <f t="shared" si="323"/>
        <v>0</v>
      </c>
      <c r="DA39" s="24">
        <f t="shared" si="323"/>
        <v>0</v>
      </c>
      <c r="DB39" s="24">
        <f t="shared" si="323"/>
        <v>0</v>
      </c>
      <c r="DC39" s="24">
        <f t="shared" si="323"/>
        <v>0</v>
      </c>
      <c r="DD39" s="24">
        <f t="shared" si="323"/>
        <v>0</v>
      </c>
      <c r="DE39" s="24">
        <f t="shared" si="323"/>
        <v>0</v>
      </c>
      <c r="DF39" s="24">
        <f t="shared" si="323"/>
        <v>0</v>
      </c>
      <c r="DG39" s="24">
        <f t="shared" si="323"/>
        <v>0</v>
      </c>
      <c r="DH39" s="24">
        <f t="shared" si="323"/>
        <v>0</v>
      </c>
      <c r="DI39" s="24">
        <f t="shared" si="323"/>
        <v>0</v>
      </c>
      <c r="DJ39" s="24">
        <f t="shared" si="323"/>
        <v>0</v>
      </c>
      <c r="DK39" s="24">
        <f t="shared" si="323"/>
        <v>0</v>
      </c>
      <c r="DL39" s="24">
        <f t="shared" si="323"/>
        <v>0</v>
      </c>
      <c r="DM39" s="24">
        <f t="shared" si="323"/>
        <v>0</v>
      </c>
      <c r="DN39" s="24">
        <f t="shared" si="323"/>
        <v>0</v>
      </c>
      <c r="DO39" s="24">
        <f t="shared" si="323"/>
        <v>0</v>
      </c>
      <c r="DP39" s="24">
        <f t="shared" si="323"/>
        <v>0</v>
      </c>
      <c r="DQ39" s="24">
        <f t="shared" si="323"/>
        <v>0</v>
      </c>
      <c r="DR39" s="24">
        <f t="shared" si="323"/>
        <v>0</v>
      </c>
      <c r="DS39" s="24">
        <f t="shared" si="323"/>
        <v>0</v>
      </c>
      <c r="DT39" s="24">
        <f t="shared" si="323"/>
        <v>0</v>
      </c>
      <c r="DU39" s="24">
        <f t="shared" si="323"/>
        <v>0</v>
      </c>
      <c r="DV39" s="24">
        <f t="shared" si="323"/>
        <v>0</v>
      </c>
      <c r="DW39" s="24">
        <f t="shared" si="323"/>
        <v>0</v>
      </c>
      <c r="DX39" s="24">
        <f t="shared" si="323"/>
        <v>0</v>
      </c>
      <c r="DY39" s="24">
        <f t="shared" si="323"/>
        <v>0</v>
      </c>
      <c r="DZ39" s="24">
        <f t="shared" si="323"/>
        <v>0</v>
      </c>
      <c r="EA39" s="24">
        <f t="shared" si="323"/>
        <v>0</v>
      </c>
      <c r="EB39" s="24">
        <f t="shared" si="323"/>
        <v>0</v>
      </c>
      <c r="EC39" s="24">
        <f t="shared" si="323"/>
        <v>0</v>
      </c>
      <c r="ED39" s="24">
        <f t="shared" si="323"/>
        <v>0</v>
      </c>
      <c r="EE39" s="24">
        <f t="shared" si="323"/>
        <v>0</v>
      </c>
      <c r="EF39" s="24">
        <f t="shared" si="323"/>
        <v>0</v>
      </c>
      <c r="EG39" s="24">
        <f t="shared" si="323"/>
        <v>0</v>
      </c>
      <c r="EH39" s="24">
        <f t="shared" si="323"/>
        <v>0</v>
      </c>
      <c r="EI39" s="24">
        <f t="shared" si="323"/>
        <v>0</v>
      </c>
      <c r="EM39" s="1" t="s">
        <v>191</v>
      </c>
    </row>
    <row r="40" spans="2:143" x14ac:dyDescent="0.45">
      <c r="D40" s="1" t="s">
        <v>293</v>
      </c>
      <c r="G40" s="24">
        <f t="shared" ref="G40:AL40" si="324">+G58</f>
        <v>0</v>
      </c>
      <c r="H40" s="24">
        <f t="shared" si="324"/>
        <v>0</v>
      </c>
      <c r="I40" s="24">
        <f t="shared" si="324"/>
        <v>0</v>
      </c>
      <c r="J40" s="24">
        <f t="shared" si="324"/>
        <v>0</v>
      </c>
      <c r="K40" s="24">
        <f t="shared" si="324"/>
        <v>0</v>
      </c>
      <c r="L40" s="24">
        <f t="shared" si="324"/>
        <v>0</v>
      </c>
      <c r="M40" s="24">
        <f t="shared" si="324"/>
        <v>0</v>
      </c>
      <c r="N40" s="24">
        <f t="shared" si="324"/>
        <v>0</v>
      </c>
      <c r="O40" s="24">
        <f t="shared" si="324"/>
        <v>0</v>
      </c>
      <c r="P40" s="24">
        <f t="shared" si="324"/>
        <v>0</v>
      </c>
      <c r="Q40" s="24">
        <f t="shared" si="324"/>
        <v>0</v>
      </c>
      <c r="R40" s="24">
        <f t="shared" si="324"/>
        <v>0</v>
      </c>
      <c r="S40" s="24">
        <f t="shared" si="324"/>
        <v>0</v>
      </c>
      <c r="T40" s="24">
        <f t="shared" si="324"/>
        <v>0</v>
      </c>
      <c r="U40" s="24">
        <f t="shared" si="324"/>
        <v>0</v>
      </c>
      <c r="V40" s="24">
        <f t="shared" si="324"/>
        <v>0</v>
      </c>
      <c r="W40" s="24">
        <f t="shared" si="324"/>
        <v>0</v>
      </c>
      <c r="X40" s="24">
        <f t="shared" si="324"/>
        <v>0</v>
      </c>
      <c r="Y40" s="24">
        <f t="shared" si="324"/>
        <v>0</v>
      </c>
      <c r="Z40" s="24">
        <f t="shared" si="324"/>
        <v>0</v>
      </c>
      <c r="AA40" s="24">
        <f t="shared" si="324"/>
        <v>0</v>
      </c>
      <c r="AB40" s="24">
        <f t="shared" si="324"/>
        <v>0</v>
      </c>
      <c r="AC40" s="24">
        <f t="shared" si="324"/>
        <v>0</v>
      </c>
      <c r="AD40" s="24">
        <f t="shared" si="324"/>
        <v>0</v>
      </c>
      <c r="AE40" s="24">
        <f t="shared" si="324"/>
        <v>0</v>
      </c>
      <c r="AF40" s="24">
        <f t="shared" si="324"/>
        <v>0</v>
      </c>
      <c r="AG40" s="24">
        <f t="shared" si="324"/>
        <v>0</v>
      </c>
      <c r="AH40" s="24">
        <f t="shared" si="324"/>
        <v>0</v>
      </c>
      <c r="AI40" s="24">
        <f t="shared" si="324"/>
        <v>0</v>
      </c>
      <c r="AJ40" s="24">
        <f t="shared" si="324"/>
        <v>0</v>
      </c>
      <c r="AK40" s="24">
        <f t="shared" si="324"/>
        <v>0</v>
      </c>
      <c r="AL40" s="24">
        <f t="shared" si="324"/>
        <v>0</v>
      </c>
      <c r="AM40" s="24">
        <f t="shared" ref="AM40:BR40" si="325">+AM58</f>
        <v>0</v>
      </c>
      <c r="AN40" s="24">
        <f t="shared" si="325"/>
        <v>20471620.410406712</v>
      </c>
      <c r="AO40" s="24">
        <f t="shared" si="325"/>
        <v>0</v>
      </c>
      <c r="AP40" s="24">
        <f t="shared" si="325"/>
        <v>0</v>
      </c>
      <c r="AQ40" s="24">
        <f t="shared" si="325"/>
        <v>0</v>
      </c>
      <c r="AR40" s="24">
        <f t="shared" si="325"/>
        <v>0</v>
      </c>
      <c r="AS40" s="24">
        <f t="shared" si="325"/>
        <v>0</v>
      </c>
      <c r="AT40" s="24">
        <f t="shared" si="325"/>
        <v>0</v>
      </c>
      <c r="AU40" s="24">
        <f t="shared" si="325"/>
        <v>0</v>
      </c>
      <c r="AV40" s="24">
        <f t="shared" si="325"/>
        <v>0</v>
      </c>
      <c r="AW40" s="24">
        <f t="shared" si="325"/>
        <v>0</v>
      </c>
      <c r="AX40" s="24">
        <f t="shared" si="325"/>
        <v>0</v>
      </c>
      <c r="AY40" s="24">
        <f t="shared" si="325"/>
        <v>0</v>
      </c>
      <c r="AZ40" s="24">
        <f t="shared" si="325"/>
        <v>0</v>
      </c>
      <c r="BA40" s="24">
        <f t="shared" si="325"/>
        <v>0</v>
      </c>
      <c r="BB40" s="24">
        <f t="shared" si="325"/>
        <v>0</v>
      </c>
      <c r="BC40" s="24">
        <f t="shared" si="325"/>
        <v>0</v>
      </c>
      <c r="BD40" s="24">
        <f t="shared" si="325"/>
        <v>0</v>
      </c>
      <c r="BE40" s="24">
        <f t="shared" si="325"/>
        <v>0</v>
      </c>
      <c r="BF40" s="24">
        <f t="shared" si="325"/>
        <v>0</v>
      </c>
      <c r="BG40" s="24">
        <f t="shared" si="325"/>
        <v>0</v>
      </c>
      <c r="BH40" s="24">
        <f t="shared" si="325"/>
        <v>0</v>
      </c>
      <c r="BI40" s="24">
        <f t="shared" si="325"/>
        <v>0</v>
      </c>
      <c r="BJ40" s="24">
        <f t="shared" si="325"/>
        <v>0</v>
      </c>
      <c r="BK40" s="24">
        <f t="shared" si="325"/>
        <v>0</v>
      </c>
      <c r="BL40" s="24">
        <f t="shared" si="325"/>
        <v>0</v>
      </c>
      <c r="BM40" s="24">
        <f t="shared" si="325"/>
        <v>0</v>
      </c>
      <c r="BN40" s="24">
        <f t="shared" si="325"/>
        <v>0</v>
      </c>
      <c r="BO40" s="24">
        <f>IF(AND(Assumptions!$G$34="No",Model!BO4=Assumptions!$E$174),BO32,BO58)</f>
        <v>0</v>
      </c>
      <c r="BP40" s="24">
        <f t="shared" si="325"/>
        <v>0</v>
      </c>
      <c r="BQ40" s="24">
        <f t="shared" si="325"/>
        <v>0</v>
      </c>
      <c r="BR40" s="24">
        <f t="shared" si="325"/>
        <v>0</v>
      </c>
      <c r="BS40" s="24">
        <f t="shared" ref="BS40:CV40" si="326">+BS58</f>
        <v>0</v>
      </c>
      <c r="BT40" s="24">
        <f t="shared" si="326"/>
        <v>0</v>
      </c>
      <c r="BU40" s="24">
        <f t="shared" si="326"/>
        <v>0</v>
      </c>
      <c r="BV40" s="24">
        <f t="shared" si="326"/>
        <v>0</v>
      </c>
      <c r="BW40" s="24">
        <f t="shared" si="326"/>
        <v>0</v>
      </c>
      <c r="BX40" s="24">
        <f t="shared" si="326"/>
        <v>0</v>
      </c>
      <c r="BY40" s="24">
        <f t="shared" si="326"/>
        <v>0</v>
      </c>
      <c r="BZ40" s="24">
        <f t="shared" si="326"/>
        <v>0</v>
      </c>
      <c r="CA40" s="24">
        <f t="shared" si="326"/>
        <v>0</v>
      </c>
      <c r="CB40" s="24">
        <f t="shared" si="326"/>
        <v>0</v>
      </c>
      <c r="CC40" s="24">
        <f t="shared" si="326"/>
        <v>0</v>
      </c>
      <c r="CD40" s="24">
        <f t="shared" si="326"/>
        <v>0</v>
      </c>
      <c r="CE40" s="24">
        <f t="shared" si="326"/>
        <v>0</v>
      </c>
      <c r="CF40" s="24">
        <f t="shared" si="326"/>
        <v>0</v>
      </c>
      <c r="CG40" s="24">
        <f t="shared" si="326"/>
        <v>0</v>
      </c>
      <c r="CH40" s="24">
        <f t="shared" si="326"/>
        <v>0</v>
      </c>
      <c r="CI40" s="24">
        <f t="shared" si="326"/>
        <v>0</v>
      </c>
      <c r="CJ40" s="24">
        <f t="shared" si="326"/>
        <v>0</v>
      </c>
      <c r="CK40" s="24">
        <f t="shared" si="326"/>
        <v>0</v>
      </c>
      <c r="CL40" s="24">
        <f t="shared" si="326"/>
        <v>0</v>
      </c>
      <c r="CM40" s="24">
        <f t="shared" si="326"/>
        <v>0</v>
      </c>
      <c r="CN40" s="24">
        <f t="shared" si="326"/>
        <v>0</v>
      </c>
      <c r="CO40" s="24">
        <f t="shared" si="326"/>
        <v>0</v>
      </c>
      <c r="CP40" s="24">
        <f t="shared" si="326"/>
        <v>0</v>
      </c>
      <c r="CQ40" s="24">
        <f t="shared" si="326"/>
        <v>0</v>
      </c>
      <c r="CR40" s="24">
        <f t="shared" si="326"/>
        <v>0</v>
      </c>
      <c r="CS40" s="24">
        <f t="shared" si="326"/>
        <v>0</v>
      </c>
      <c r="CT40" s="24">
        <f t="shared" si="326"/>
        <v>0</v>
      </c>
      <c r="CU40" s="24">
        <f t="shared" si="326"/>
        <v>0</v>
      </c>
      <c r="CV40" s="24">
        <f t="shared" si="326"/>
        <v>0</v>
      </c>
      <c r="CW40" s="24">
        <f t="shared" ref="CW40:EI40" si="327">+CW58</f>
        <v>0</v>
      </c>
      <c r="CX40" s="24">
        <f t="shared" si="327"/>
        <v>0</v>
      </c>
      <c r="CY40" s="24">
        <f t="shared" si="327"/>
        <v>0</v>
      </c>
      <c r="CZ40" s="24">
        <f t="shared" si="327"/>
        <v>0</v>
      </c>
      <c r="DA40" s="24">
        <f t="shared" si="327"/>
        <v>0</v>
      </c>
      <c r="DB40" s="24">
        <f t="shared" si="327"/>
        <v>0</v>
      </c>
      <c r="DC40" s="24">
        <f t="shared" si="327"/>
        <v>0</v>
      </c>
      <c r="DD40" s="24">
        <f t="shared" si="327"/>
        <v>0</v>
      </c>
      <c r="DE40" s="24">
        <f t="shared" si="327"/>
        <v>0</v>
      </c>
      <c r="DF40" s="24">
        <f t="shared" si="327"/>
        <v>0</v>
      </c>
      <c r="DG40" s="24">
        <f t="shared" si="327"/>
        <v>0</v>
      </c>
      <c r="DH40" s="24">
        <f t="shared" si="327"/>
        <v>0</v>
      </c>
      <c r="DI40" s="24">
        <f t="shared" si="327"/>
        <v>0</v>
      </c>
      <c r="DJ40" s="24">
        <f t="shared" si="327"/>
        <v>0</v>
      </c>
      <c r="DK40" s="24">
        <f t="shared" si="327"/>
        <v>0</v>
      </c>
      <c r="DL40" s="24">
        <f t="shared" si="327"/>
        <v>0</v>
      </c>
      <c r="DM40" s="24">
        <f t="shared" si="327"/>
        <v>0</v>
      </c>
      <c r="DN40" s="24">
        <f t="shared" si="327"/>
        <v>0</v>
      </c>
      <c r="DO40" s="24">
        <f t="shared" si="327"/>
        <v>0</v>
      </c>
      <c r="DP40" s="24">
        <f t="shared" si="327"/>
        <v>0</v>
      </c>
      <c r="DQ40" s="24">
        <f t="shared" si="327"/>
        <v>0</v>
      </c>
      <c r="DR40" s="24">
        <f t="shared" si="327"/>
        <v>0</v>
      </c>
      <c r="DS40" s="24">
        <f t="shared" si="327"/>
        <v>0</v>
      </c>
      <c r="DT40" s="24">
        <f t="shared" si="327"/>
        <v>0</v>
      </c>
      <c r="DU40" s="24">
        <f t="shared" si="327"/>
        <v>0</v>
      </c>
      <c r="DV40" s="24">
        <f t="shared" si="327"/>
        <v>0</v>
      </c>
      <c r="DW40" s="24">
        <f t="shared" si="327"/>
        <v>0</v>
      </c>
      <c r="DX40" s="24">
        <f t="shared" si="327"/>
        <v>0</v>
      </c>
      <c r="DY40" s="24">
        <f t="shared" si="327"/>
        <v>0</v>
      </c>
      <c r="DZ40" s="24">
        <f t="shared" si="327"/>
        <v>0</v>
      </c>
      <c r="EA40" s="24">
        <f t="shared" si="327"/>
        <v>0</v>
      </c>
      <c r="EB40" s="24">
        <f t="shared" si="327"/>
        <v>0</v>
      </c>
      <c r="EC40" s="24">
        <f t="shared" si="327"/>
        <v>0</v>
      </c>
      <c r="ED40" s="24">
        <f t="shared" si="327"/>
        <v>0</v>
      </c>
      <c r="EE40" s="24">
        <f t="shared" si="327"/>
        <v>0</v>
      </c>
      <c r="EF40" s="24">
        <f t="shared" si="327"/>
        <v>0</v>
      </c>
      <c r="EG40" s="24">
        <f t="shared" si="327"/>
        <v>0</v>
      </c>
      <c r="EH40" s="24">
        <f t="shared" si="327"/>
        <v>0</v>
      </c>
      <c r="EI40" s="24">
        <f t="shared" si="327"/>
        <v>0</v>
      </c>
      <c r="EM40" s="1" t="s">
        <v>191</v>
      </c>
    </row>
    <row r="41" spans="2:143" x14ac:dyDescent="0.45"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M41" s="1" t="s">
        <v>191</v>
      </c>
    </row>
    <row r="42" spans="2:143" x14ac:dyDescent="0.45">
      <c r="B42" s="6">
        <f>+Assumptions!G31</f>
        <v>11250000</v>
      </c>
      <c r="D42" s="8" t="s">
        <v>430</v>
      </c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M42" s="1" t="s">
        <v>191</v>
      </c>
    </row>
    <row r="43" spans="2:143" x14ac:dyDescent="0.45">
      <c r="D43" s="1" t="s">
        <v>36</v>
      </c>
      <c r="G43" s="24"/>
      <c r="H43" s="24">
        <f>+G47</f>
        <v>11250000</v>
      </c>
      <c r="I43" s="24">
        <f t="shared" ref="I43:S43" si="328">+H47</f>
        <v>11245023.19836501</v>
      </c>
      <c r="J43" s="24">
        <f t="shared" si="328"/>
        <v>11240004.923383063</v>
      </c>
      <c r="K43" s="24">
        <f t="shared" si="328"/>
        <v>11234944.829442931</v>
      </c>
      <c r="L43" s="24">
        <f t="shared" si="328"/>
        <v>11229842.5680533</v>
      </c>
      <c r="M43" s="24">
        <f t="shared" si="328"/>
        <v>11224697.787818754</v>
      </c>
      <c r="N43" s="24">
        <f t="shared" si="328"/>
        <v>11219510.134415587</v>
      </c>
      <c r="O43" s="24">
        <f t="shared" si="328"/>
        <v>11214279.250567393</v>
      </c>
      <c r="P43" s="24">
        <f t="shared" si="328"/>
        <v>11209004.776020465</v>
      </c>
      <c r="Q43" s="24">
        <f t="shared" si="328"/>
        <v>11203686.347518979</v>
      </c>
      <c r="R43" s="24">
        <f t="shared" si="328"/>
        <v>11198323.59877998</v>
      </c>
      <c r="S43" s="24">
        <f t="shared" si="328"/>
        <v>11192916.160468157</v>
      </c>
      <c r="T43" s="24">
        <f t="shared" ref="T43:BT43" si="329">+S47</f>
        <v>11187463.660170402</v>
      </c>
      <c r="U43" s="24">
        <f t="shared" si="329"/>
        <v>11181965.722370166</v>
      </c>
      <c r="V43" s="24">
        <f t="shared" si="329"/>
        <v>11176421.968421595</v>
      </c>
      <c r="W43" s="24">
        <f t="shared" si="329"/>
        <v>11170832.016523452</v>
      </c>
      <c r="X43" s="24">
        <f t="shared" ref="X43" si="330">+W47</f>
        <v>11165195.481692825</v>
      </c>
      <c r="Y43" s="24">
        <f t="shared" ref="Y43" si="331">+X47</f>
        <v>11159511.975738607</v>
      </c>
      <c r="Z43" s="24">
        <f t="shared" ref="Z43" si="332">+Y47</f>
        <v>11153781.107234772</v>
      </c>
      <c r="AA43" s="24">
        <f t="shared" ref="AA43" si="333">+Z47</f>
        <v>11148002.481493406</v>
      </c>
      <c r="AB43" s="24">
        <f t="shared" ref="AB43" si="334">+AA47</f>
        <v>11142175.700537527</v>
      </c>
      <c r="AC43" s="24">
        <f t="shared" ref="AC43" si="335">+AB47</f>
        <v>11136300.363073682</v>
      </c>
      <c r="AD43" s="24">
        <f t="shared" ref="AD43" si="336">+AC47</f>
        <v>11130376.064464306</v>
      </c>
      <c r="AE43" s="24">
        <f t="shared" ref="AE43" si="337">+AD47</f>
        <v>11124402.396699853</v>
      </c>
      <c r="AF43" s="24">
        <f t="shared" ref="AF43" si="338">+AE47</f>
        <v>11118378.948370695</v>
      </c>
      <c r="AG43" s="24">
        <f t="shared" ref="AG43" si="339">+AF47</f>
        <v>11112305.304638794</v>
      </c>
      <c r="AH43" s="24">
        <f t="shared" ref="AH43" si="340">+AG47</f>
        <v>11106181.047209127</v>
      </c>
      <c r="AI43" s="24">
        <f t="shared" ref="AI43" si="341">+AH47</f>
        <v>11100005.754300879</v>
      </c>
      <c r="AJ43" s="24">
        <f t="shared" ref="AJ43" si="342">+AI47</f>
        <v>11093779.000618396</v>
      </c>
      <c r="AK43" s="24">
        <f t="shared" ref="AK43" si="343">+AJ47</f>
        <v>11087500.357321894</v>
      </c>
      <c r="AL43" s="24">
        <f t="shared" ref="AL43" si="344">+AK47</f>
        <v>11081169.39199792</v>
      </c>
      <c r="AM43" s="24">
        <f t="shared" ref="AM43" si="345">+AL47</f>
        <v>11074785.668629579</v>
      </c>
      <c r="AN43" s="24">
        <f t="shared" ref="AN43" si="346">+AM47</f>
        <v>11068348.747566503</v>
      </c>
      <c r="AO43" s="24">
        <f t="shared" ref="AO43" si="347">+AN47</f>
        <v>0</v>
      </c>
      <c r="AP43" s="24">
        <f t="shared" ref="AP43" si="348">+AO47</f>
        <v>0</v>
      </c>
      <c r="AQ43" s="24">
        <f t="shared" ref="AQ43" si="349">+AP47</f>
        <v>0</v>
      </c>
      <c r="AR43" s="24">
        <f t="shared" ref="AR43" si="350">+AQ47</f>
        <v>0</v>
      </c>
      <c r="AS43" s="24">
        <f t="shared" ref="AS43" si="351">+AR47</f>
        <v>0</v>
      </c>
      <c r="AT43" s="24">
        <f t="shared" ref="AT43" si="352">+AS47</f>
        <v>0</v>
      </c>
      <c r="AU43" s="24">
        <f t="shared" ref="AU43" si="353">+AT47</f>
        <v>0</v>
      </c>
      <c r="AV43" s="24">
        <f t="shared" ref="AV43" si="354">+AU47</f>
        <v>0</v>
      </c>
      <c r="AW43" s="24">
        <f t="shared" ref="AW43" si="355">+AV47</f>
        <v>0</v>
      </c>
      <c r="AX43" s="24">
        <f t="shared" ref="AX43" si="356">+AW47</f>
        <v>0</v>
      </c>
      <c r="AY43" s="24">
        <f t="shared" ref="AY43" si="357">+AX47</f>
        <v>0</v>
      </c>
      <c r="AZ43" s="24">
        <f t="shared" ref="AZ43" si="358">+AY47</f>
        <v>0</v>
      </c>
      <c r="BA43" s="24">
        <f t="shared" ref="BA43" si="359">+AZ47</f>
        <v>0</v>
      </c>
      <c r="BB43" s="24">
        <f t="shared" ref="BB43" si="360">+BA47</f>
        <v>0</v>
      </c>
      <c r="BC43" s="24">
        <f t="shared" ref="BC43" si="361">+BB47</f>
        <v>0</v>
      </c>
      <c r="BD43" s="24">
        <f t="shared" ref="BD43" si="362">+BC47</f>
        <v>0</v>
      </c>
      <c r="BE43" s="24">
        <f t="shared" ref="BE43" si="363">+BD47</f>
        <v>0</v>
      </c>
      <c r="BF43" s="24">
        <f t="shared" ref="BF43" si="364">+BE47</f>
        <v>0</v>
      </c>
      <c r="BG43" s="24">
        <f t="shared" ref="BG43" si="365">+BF47</f>
        <v>0</v>
      </c>
      <c r="BH43" s="24">
        <f t="shared" ref="BH43" si="366">+BG47</f>
        <v>0</v>
      </c>
      <c r="BI43" s="24">
        <f t="shared" ref="BI43" si="367">+BH47</f>
        <v>0</v>
      </c>
      <c r="BJ43" s="24">
        <f t="shared" ref="BJ43" si="368">+BI47</f>
        <v>0</v>
      </c>
      <c r="BK43" s="24">
        <f t="shared" ref="BK43" si="369">+BJ47</f>
        <v>0</v>
      </c>
      <c r="BL43" s="24">
        <f t="shared" ref="BL43" si="370">+BK47</f>
        <v>0</v>
      </c>
      <c r="BM43" s="24">
        <f t="shared" ref="BM43" si="371">+BL47</f>
        <v>0</v>
      </c>
      <c r="BN43" s="24">
        <f t="shared" si="329"/>
        <v>0</v>
      </c>
      <c r="BO43" s="24">
        <f t="shared" si="329"/>
        <v>0</v>
      </c>
      <c r="BP43" s="24">
        <f t="shared" si="329"/>
        <v>0</v>
      </c>
      <c r="BQ43" s="24">
        <f t="shared" si="329"/>
        <v>0</v>
      </c>
      <c r="BR43" s="24">
        <f t="shared" si="329"/>
        <v>0</v>
      </c>
      <c r="BS43" s="24">
        <f t="shared" si="329"/>
        <v>0</v>
      </c>
      <c r="BT43" s="24">
        <f t="shared" si="329"/>
        <v>0</v>
      </c>
      <c r="BU43" s="24">
        <f t="shared" ref="BU43:CV43" si="372">+BT47</f>
        <v>0</v>
      </c>
      <c r="BV43" s="24">
        <f t="shared" si="372"/>
        <v>0</v>
      </c>
      <c r="BW43" s="24">
        <f t="shared" si="372"/>
        <v>0</v>
      </c>
      <c r="BX43" s="24">
        <f t="shared" si="372"/>
        <v>0</v>
      </c>
      <c r="BY43" s="24">
        <f t="shared" si="372"/>
        <v>0</v>
      </c>
      <c r="BZ43" s="24">
        <f t="shared" si="372"/>
        <v>0</v>
      </c>
      <c r="CA43" s="24">
        <f t="shared" si="372"/>
        <v>0</v>
      </c>
      <c r="CB43" s="24">
        <f t="shared" si="372"/>
        <v>0</v>
      </c>
      <c r="CC43" s="24">
        <f t="shared" si="372"/>
        <v>0</v>
      </c>
      <c r="CD43" s="24">
        <f t="shared" si="372"/>
        <v>0</v>
      </c>
      <c r="CE43" s="24">
        <f t="shared" si="372"/>
        <v>0</v>
      </c>
      <c r="CF43" s="24">
        <f t="shared" si="372"/>
        <v>0</v>
      </c>
      <c r="CG43" s="24">
        <f t="shared" si="372"/>
        <v>0</v>
      </c>
      <c r="CH43" s="24">
        <f t="shared" si="372"/>
        <v>0</v>
      </c>
      <c r="CI43" s="24">
        <f t="shared" si="372"/>
        <v>0</v>
      </c>
      <c r="CJ43" s="24">
        <f t="shared" si="372"/>
        <v>0</v>
      </c>
      <c r="CK43" s="24">
        <f t="shared" si="372"/>
        <v>0</v>
      </c>
      <c r="CL43" s="24">
        <f t="shared" si="372"/>
        <v>0</v>
      </c>
      <c r="CM43" s="24">
        <f t="shared" si="372"/>
        <v>0</v>
      </c>
      <c r="CN43" s="24">
        <f t="shared" si="372"/>
        <v>0</v>
      </c>
      <c r="CO43" s="24">
        <f t="shared" si="372"/>
        <v>0</v>
      </c>
      <c r="CP43" s="24">
        <f t="shared" si="372"/>
        <v>0</v>
      </c>
      <c r="CQ43" s="24">
        <f t="shared" si="372"/>
        <v>0</v>
      </c>
      <c r="CR43" s="24">
        <f t="shared" si="372"/>
        <v>0</v>
      </c>
      <c r="CS43" s="24">
        <f t="shared" si="372"/>
        <v>0</v>
      </c>
      <c r="CT43" s="24">
        <f t="shared" si="372"/>
        <v>0</v>
      </c>
      <c r="CU43" s="24">
        <f t="shared" si="372"/>
        <v>0</v>
      </c>
      <c r="CV43" s="24">
        <f t="shared" si="372"/>
        <v>0</v>
      </c>
      <c r="CW43" s="24">
        <f t="shared" ref="CW43" si="373">+CV47</f>
        <v>0</v>
      </c>
      <c r="CX43" s="24">
        <f t="shared" ref="CX43" si="374">+CW47</f>
        <v>0</v>
      </c>
      <c r="CY43" s="24">
        <f t="shared" ref="CY43" si="375">+CX47</f>
        <v>0</v>
      </c>
      <c r="CZ43" s="24">
        <f t="shared" ref="CZ43" si="376">+CY47</f>
        <v>0</v>
      </c>
      <c r="DA43" s="24">
        <f t="shared" ref="DA43" si="377">+CZ47</f>
        <v>0</v>
      </c>
      <c r="DB43" s="24">
        <f t="shared" ref="DB43" si="378">+DA47</f>
        <v>0</v>
      </c>
      <c r="DC43" s="24">
        <f t="shared" ref="DC43" si="379">+DB47</f>
        <v>0</v>
      </c>
      <c r="DD43" s="24">
        <f t="shared" ref="DD43" si="380">+DC47</f>
        <v>0</v>
      </c>
      <c r="DE43" s="24">
        <f t="shared" ref="DE43" si="381">+DD47</f>
        <v>0</v>
      </c>
      <c r="DF43" s="24">
        <f t="shared" ref="DF43" si="382">+DE47</f>
        <v>0</v>
      </c>
      <c r="DG43" s="24">
        <f t="shared" ref="DG43" si="383">+DF47</f>
        <v>0</v>
      </c>
      <c r="DH43" s="24">
        <f t="shared" ref="DH43" si="384">+DG47</f>
        <v>0</v>
      </c>
      <c r="DI43" s="24">
        <f t="shared" ref="DI43" si="385">+DH47</f>
        <v>0</v>
      </c>
      <c r="DJ43" s="24">
        <f t="shared" ref="DJ43" si="386">+DI47</f>
        <v>0</v>
      </c>
      <c r="DK43" s="24">
        <f t="shared" ref="DK43" si="387">+DJ47</f>
        <v>0</v>
      </c>
      <c r="DL43" s="24">
        <f t="shared" ref="DL43" si="388">+DK47</f>
        <v>0</v>
      </c>
      <c r="DM43" s="24">
        <f t="shared" ref="DM43" si="389">+DL47</f>
        <v>0</v>
      </c>
      <c r="DN43" s="24">
        <f t="shared" ref="DN43" si="390">+DM47</f>
        <v>0</v>
      </c>
      <c r="DO43" s="24">
        <f t="shared" ref="DO43" si="391">+DN47</f>
        <v>0</v>
      </c>
      <c r="DP43" s="24">
        <f t="shared" ref="DP43" si="392">+DO47</f>
        <v>0</v>
      </c>
      <c r="DQ43" s="24">
        <f t="shared" ref="DQ43" si="393">+DP47</f>
        <v>0</v>
      </c>
      <c r="DR43" s="24">
        <f t="shared" ref="DR43" si="394">+DQ47</f>
        <v>0</v>
      </c>
      <c r="DS43" s="24">
        <f t="shared" ref="DS43" si="395">+DR47</f>
        <v>0</v>
      </c>
      <c r="DT43" s="24">
        <f t="shared" ref="DT43" si="396">+DS47</f>
        <v>0</v>
      </c>
      <c r="DU43" s="24">
        <f t="shared" ref="DU43" si="397">+DT47</f>
        <v>0</v>
      </c>
      <c r="DV43" s="24">
        <f t="shared" ref="DV43" si="398">+DU47</f>
        <v>0</v>
      </c>
      <c r="DW43" s="24">
        <f t="shared" ref="DW43" si="399">+DV47</f>
        <v>0</v>
      </c>
      <c r="DX43" s="24">
        <f t="shared" ref="DX43" si="400">+DW47</f>
        <v>0</v>
      </c>
      <c r="DY43" s="24">
        <f t="shared" ref="DY43" si="401">+DX47</f>
        <v>0</v>
      </c>
      <c r="DZ43" s="24">
        <f t="shared" ref="DZ43" si="402">+DY47</f>
        <v>0</v>
      </c>
      <c r="EA43" s="24">
        <f t="shared" ref="EA43" si="403">+DZ47</f>
        <v>0</v>
      </c>
      <c r="EB43" s="24">
        <f t="shared" ref="EB43" si="404">+EA47</f>
        <v>0</v>
      </c>
      <c r="EC43" s="24">
        <f t="shared" ref="EC43" si="405">+EB47</f>
        <v>0</v>
      </c>
      <c r="ED43" s="24">
        <f t="shared" ref="ED43" si="406">+EC47</f>
        <v>0</v>
      </c>
      <c r="EE43" s="24">
        <f t="shared" ref="EE43" si="407">+ED47</f>
        <v>0</v>
      </c>
      <c r="EF43" s="24">
        <f t="shared" ref="EF43" si="408">+EE47</f>
        <v>0</v>
      </c>
      <c r="EG43" s="24">
        <f t="shared" ref="EG43" si="409">+EF47</f>
        <v>0</v>
      </c>
      <c r="EH43" s="24">
        <f t="shared" ref="EH43" si="410">+EG47</f>
        <v>0</v>
      </c>
      <c r="EI43" s="24">
        <f t="shared" ref="EI43" si="411">+EH47</f>
        <v>0</v>
      </c>
      <c r="EM43" s="1" t="s">
        <v>191</v>
      </c>
    </row>
    <row r="44" spans="2:143" x14ac:dyDescent="0.45">
      <c r="D44" s="1" t="s">
        <v>37</v>
      </c>
      <c r="G44" s="24">
        <f>IF(G4=Assumptions!$G$24,Assumptions!$R$30,MIN(G5*Assumptions!$G$29+G9*Assumptions!$G$30,Assumptions!$G$31-G43))</f>
        <v>11250000</v>
      </c>
      <c r="H44" s="24">
        <f>IF(H4=Assumptions!$G$24,Assumptions!$R$30,MIN(H5*Assumptions!$G$29+H9*Assumptions!$G$30,Assumptions!$G$31-H43))</f>
        <v>0</v>
      </c>
      <c r="I44" s="24">
        <f>IF(I4=Assumptions!$G$24,Assumptions!$R$30,MIN(I5*Assumptions!$G$29+I9*Assumptions!$G$30,Assumptions!$G$31-I43))</f>
        <v>0</v>
      </c>
      <c r="J44" s="24">
        <f>IF(J4=Assumptions!$G$24,Assumptions!$R$30,MIN(J5*Assumptions!$G$29+J9*Assumptions!$G$30,Assumptions!$G$31-J43))</f>
        <v>0</v>
      </c>
      <c r="K44" s="24">
        <f>IF(K4=Assumptions!$G$24,Assumptions!$R$30,MIN(K5*Assumptions!$G$29+K9*Assumptions!$G$30,Assumptions!$G$31-K43))</f>
        <v>0</v>
      </c>
      <c r="L44" s="24">
        <f>IF(L4=Assumptions!$G$24,Assumptions!$R$30,MIN(L5*Assumptions!$G$29+L9*Assumptions!$G$30,Assumptions!$G$31-L43))</f>
        <v>0</v>
      </c>
      <c r="M44" s="24">
        <f>IF(M4=Assumptions!$G$24,Assumptions!$R$30,MIN(M5*Assumptions!$G$29+M9*Assumptions!$G$30,Assumptions!$G$31-M43))</f>
        <v>0</v>
      </c>
      <c r="N44" s="24">
        <f>IF(N4=Assumptions!$G$24,Assumptions!$R$30,MIN(N5*Assumptions!$G$29+N9*Assumptions!$G$30,Assumptions!$G$31-N43))</f>
        <v>0</v>
      </c>
      <c r="O44" s="24">
        <f>IF(O4=Assumptions!$G$24,Assumptions!$R$30,MIN(O5*Assumptions!$G$29+O9*Assumptions!$G$30,Assumptions!$G$31-O43))</f>
        <v>0</v>
      </c>
      <c r="P44" s="24">
        <f>IF(P4=Assumptions!$G$24,Assumptions!$R$30,MIN(P5*Assumptions!$G$29+P9*Assumptions!$G$30,Assumptions!$G$31-P43))</f>
        <v>0</v>
      </c>
      <c r="Q44" s="24">
        <f>IF(Q4=Assumptions!$G$24,Assumptions!$R$30,MIN(Q5*Assumptions!$G$29+Q9*Assumptions!$G$30,Assumptions!$G$31-Q43))</f>
        <v>0</v>
      </c>
      <c r="R44" s="24">
        <f>IF(R4=Assumptions!$G$24,Assumptions!$R$30,MIN(R5*Assumptions!$G$29+R9*Assumptions!$G$30,Assumptions!$G$31-R43))</f>
        <v>0</v>
      </c>
      <c r="S44" s="24">
        <f>IF(S4=Assumptions!$G$24,Assumptions!$R$30,MIN(S5*Assumptions!$G$29+S9*Assumptions!$G$30,Assumptions!$G$31-S43))</f>
        <v>0</v>
      </c>
      <c r="T44" s="24">
        <f>IF(T4=Assumptions!$G$24,Assumptions!$R$30,MIN(T5*Assumptions!$G$29+T9*Assumptions!$G$30,Assumptions!$G$31-T43))</f>
        <v>0</v>
      </c>
      <c r="U44" s="24">
        <f>IF(U4=Assumptions!$G$24,Assumptions!$R$30,MIN(U5*Assumptions!$G$29+U9*Assumptions!$G$30,Assumptions!$G$31-U43))</f>
        <v>0</v>
      </c>
      <c r="V44" s="24">
        <f>IF(V4=Assumptions!$G$24,Assumptions!$R$30,MIN(V5*Assumptions!$G$29+V9*Assumptions!$G$30,Assumptions!$G$31-V43))</f>
        <v>0</v>
      </c>
      <c r="W44" s="24">
        <f>IF(W4=Assumptions!$G$24,Assumptions!$R$30,MIN(W5*Assumptions!$G$29+W9*Assumptions!$G$30,Assumptions!$G$31-W43))</f>
        <v>0</v>
      </c>
      <c r="X44" s="24">
        <f>IF(X4=Assumptions!$G$24,Assumptions!$R$30,MIN(X5*Assumptions!$G$29+X9*Assumptions!$G$30,Assumptions!$G$31-X43))</f>
        <v>0</v>
      </c>
      <c r="Y44" s="24">
        <f>IF(Y4=Assumptions!$G$24,Assumptions!$R$30,MIN(Y5*Assumptions!$G$29+Y9*Assumptions!$G$30,Assumptions!$G$31-Y43))</f>
        <v>0</v>
      </c>
      <c r="Z44" s="24">
        <f>IF(Z4=Assumptions!$G$24,Assumptions!$R$30,MIN(Z5*Assumptions!$G$29+Z9*Assumptions!$G$30,Assumptions!$G$31-Z43))</f>
        <v>0</v>
      </c>
      <c r="AA44" s="24">
        <f>IF(AA4=Assumptions!$G$24,Assumptions!$R$30,MIN(AA5*Assumptions!$G$29+AA9*Assumptions!$G$30,Assumptions!$G$31-AA43))</f>
        <v>0</v>
      </c>
      <c r="AB44" s="24">
        <f>IF(AB4=Assumptions!$G$24,Assumptions!$R$30,MIN(AB5*Assumptions!$G$29+AB9*Assumptions!$G$30,Assumptions!$G$31-AB43))</f>
        <v>0</v>
      </c>
      <c r="AC44" s="24">
        <f>IF(AC4=Assumptions!$G$24,Assumptions!$R$30,MIN(AC5*Assumptions!$G$29+AC9*Assumptions!$G$30,Assumptions!$G$31-AC43))</f>
        <v>0</v>
      </c>
      <c r="AD44" s="24">
        <f>IF(AD4=Assumptions!$G$24,Assumptions!$R$30,MIN(AD5*Assumptions!$G$29+AD9*Assumptions!$G$30,Assumptions!$G$31-AD43))</f>
        <v>0</v>
      </c>
      <c r="AE44" s="24">
        <f>IF(AE4=Assumptions!$G$24,Assumptions!$R$30,MIN(AE5*Assumptions!$G$29+AE9*Assumptions!$G$30,Assumptions!$G$31-AE43))</f>
        <v>0</v>
      </c>
      <c r="AF44" s="24">
        <f>IF(AF4=Assumptions!$G$24,Assumptions!$R$30,MIN(AF5*Assumptions!$G$29+AF9*Assumptions!$G$30,Assumptions!$G$31-AF43))</f>
        <v>0</v>
      </c>
      <c r="AG44" s="24">
        <f>IF(AG4=Assumptions!$G$24,Assumptions!$R$30,MIN(AG5*Assumptions!$G$29+AG9*Assumptions!$G$30,Assumptions!$G$31-AG43))</f>
        <v>0</v>
      </c>
      <c r="AH44" s="24">
        <f>IF(AH4=Assumptions!$G$24,Assumptions!$R$30,MIN(AH5*Assumptions!$G$29+AH9*Assumptions!$G$30,Assumptions!$G$31-AH43))</f>
        <v>0</v>
      </c>
      <c r="AI44" s="24">
        <f>IF(AI4=Assumptions!$G$24,Assumptions!$R$30,MIN(AI5*Assumptions!$G$29+AI9*Assumptions!$G$30,Assumptions!$G$31-AI43))</f>
        <v>0</v>
      </c>
      <c r="AJ44" s="24">
        <f>IF(AJ4=Assumptions!$G$24,Assumptions!$R$30,MIN(AJ5*Assumptions!$G$29+AJ9*Assumptions!$G$30,Assumptions!$G$31-AJ43))</f>
        <v>0</v>
      </c>
      <c r="AK44" s="24">
        <f>IF(AK4=Assumptions!$G$24,Assumptions!$R$30,MIN(AK5*Assumptions!$G$29+AK9*Assumptions!$G$30,Assumptions!$G$31-AK43))</f>
        <v>0</v>
      </c>
      <c r="AL44" s="24">
        <f>IF(AL4=Assumptions!$G$24,Assumptions!$R$30,MIN(AL5*Assumptions!$G$29+AL9*Assumptions!$G$30,Assumptions!$G$31-AL43))</f>
        <v>0</v>
      </c>
      <c r="AM44" s="24">
        <f>IF(AM4=Assumptions!$G$24,Assumptions!$R$30,MIN(AM5*Assumptions!$G$29+AM9*Assumptions!$G$30,Assumptions!$G$31-AM43))</f>
        <v>0</v>
      </c>
      <c r="AN44" s="24">
        <f>IF(AN4=Assumptions!$G$24,Assumptions!$R$30,MIN(AN5*Assumptions!$G$29+AN9*Assumptions!$G$30,Assumptions!$G$31-AN43))</f>
        <v>0</v>
      </c>
      <c r="AO44" s="24">
        <f>IF(AO4=Assumptions!$G$24,Assumptions!$R$30,MIN(AO5*Assumptions!$G$29+AO9*Assumptions!$G$30,Assumptions!$G$31-AO43))</f>
        <v>0</v>
      </c>
      <c r="AP44" s="24">
        <f>IF(AP4=Assumptions!$G$24,Assumptions!$R$30,MIN(AP5*Assumptions!$G$29+AP9*Assumptions!$G$30,Assumptions!$G$31-AP43))</f>
        <v>0</v>
      </c>
      <c r="AQ44" s="24">
        <f>IF(AQ4=Assumptions!$G$24,Assumptions!$R$30,MIN(AQ5*Assumptions!$G$29+AQ9*Assumptions!$G$30,Assumptions!$G$31-AQ43))</f>
        <v>0</v>
      </c>
      <c r="AR44" s="24">
        <f>IF(AR4=Assumptions!$G$24,Assumptions!$R$30,MIN(AR5*Assumptions!$G$29+AR9*Assumptions!$G$30,Assumptions!$G$31-AR43))</f>
        <v>0</v>
      </c>
      <c r="AS44" s="24">
        <f>IF(AS4=Assumptions!$G$24,Assumptions!$R$30,MIN(AS5*Assumptions!$G$29+AS9*Assumptions!$G$30,Assumptions!$G$31-AS43))</f>
        <v>0</v>
      </c>
      <c r="AT44" s="24">
        <f>IF(AT4=Assumptions!$G$24,Assumptions!$R$30,MIN(AT5*Assumptions!$G$29+AT9*Assumptions!$G$30,Assumptions!$G$31-AT43))</f>
        <v>0</v>
      </c>
      <c r="AU44" s="24">
        <f>IF(AU4=Assumptions!$G$24,Assumptions!$R$30,MIN(AU5*Assumptions!$G$29+AU9*Assumptions!$G$30,Assumptions!$G$31-AU43))</f>
        <v>0</v>
      </c>
      <c r="AV44" s="24">
        <f>IF(AV4=Assumptions!$G$24,Assumptions!$R$30,MIN(AV5*Assumptions!$G$29+AV9*Assumptions!$G$30,Assumptions!$G$31-AV43))</f>
        <v>0</v>
      </c>
      <c r="AW44" s="24">
        <f>IF(AW4=Assumptions!$G$24,Assumptions!$R$30,MIN(AW5*Assumptions!$G$29+AW9*Assumptions!$G$30,Assumptions!$G$31-AW43))</f>
        <v>0</v>
      </c>
      <c r="AX44" s="24">
        <f>IF(AX4=Assumptions!$G$24,Assumptions!$R$30,MIN(AX5*Assumptions!$G$29+AX9*Assumptions!$G$30,Assumptions!$G$31-AX43))</f>
        <v>0</v>
      </c>
      <c r="AY44" s="24">
        <f>IF(AY4=Assumptions!$G$24,Assumptions!$R$30,MIN(AY5*Assumptions!$G$29+AY9*Assumptions!$G$30,Assumptions!$G$31-AY43))</f>
        <v>0</v>
      </c>
      <c r="AZ44" s="24">
        <f>IF(AZ4=Assumptions!$G$24,Assumptions!$R$30,MIN(AZ5*Assumptions!$G$29+AZ9*Assumptions!$G$30,Assumptions!$G$31-AZ43))</f>
        <v>0</v>
      </c>
      <c r="BA44" s="24">
        <f>IF(BA4=Assumptions!$G$24,Assumptions!$R$30,MIN(BA5*Assumptions!$G$29+BA9*Assumptions!$G$30,Assumptions!$G$31-BA43))</f>
        <v>0</v>
      </c>
      <c r="BB44" s="24">
        <f>IF(BB4=Assumptions!$G$24,Assumptions!$R$30,MIN(BB5*Assumptions!$G$29+BB9*Assumptions!$G$30,Assumptions!$G$31-BB43))</f>
        <v>0</v>
      </c>
      <c r="BC44" s="24">
        <f>IF(BC4=Assumptions!$G$24,Assumptions!$R$30,MIN(BC5*Assumptions!$G$29+BC9*Assumptions!$G$30,Assumptions!$G$31-BC43))</f>
        <v>0</v>
      </c>
      <c r="BD44" s="24">
        <f>IF(BD4=Assumptions!$G$24,Assumptions!$R$30,MIN(BD5*Assumptions!$G$29+BD9*Assumptions!$G$30,Assumptions!$G$31-BD43))</f>
        <v>0</v>
      </c>
      <c r="BE44" s="24">
        <f>IF(BE4=Assumptions!$G$24,Assumptions!$R$30,MIN(BE5*Assumptions!$G$29+BE9*Assumptions!$G$30,Assumptions!$G$31-BE43))</f>
        <v>0</v>
      </c>
      <c r="BF44" s="24">
        <f>IF(BF4=Assumptions!$G$24,Assumptions!$R$30,MIN(BF5*Assumptions!$G$29+BF9*Assumptions!$G$30,Assumptions!$G$31-BF43))</f>
        <v>0</v>
      </c>
      <c r="BG44" s="24">
        <f>IF(BG4=Assumptions!$G$24,Assumptions!$R$30,MIN(BG5*Assumptions!$G$29+BG9*Assumptions!$G$30,Assumptions!$G$31-BG43))</f>
        <v>0</v>
      </c>
      <c r="BH44" s="24">
        <f>IF(BH4=Assumptions!$G$24,Assumptions!$R$30,MIN(BH5*Assumptions!$G$29+BH9*Assumptions!$G$30,Assumptions!$G$31-BH43))</f>
        <v>0</v>
      </c>
      <c r="BI44" s="24">
        <f>IF(BI4=Assumptions!$G$24,Assumptions!$R$30,MIN(BI5*Assumptions!$G$29+BI9*Assumptions!$G$30,Assumptions!$G$31-BI43))</f>
        <v>0</v>
      </c>
      <c r="BJ44" s="24">
        <f>IF(BJ4=Assumptions!$G$24,Assumptions!$R$30,MIN(BJ5*Assumptions!$G$29+BJ9*Assumptions!$G$30,Assumptions!$G$31-BJ43))</f>
        <v>0</v>
      </c>
      <c r="BK44" s="24">
        <f>IF(BK4=Assumptions!$G$24,Assumptions!$R$30,MIN(BK5*Assumptions!$G$29+BK9*Assumptions!$G$30,Assumptions!$G$31-BK43))</f>
        <v>0</v>
      </c>
      <c r="BL44" s="24">
        <f>IF(BL4=Assumptions!$G$24,Assumptions!$R$30,MIN(BL5*Assumptions!$G$29+BL9*Assumptions!$G$30,Assumptions!$G$31-BL43))</f>
        <v>0</v>
      </c>
      <c r="BM44" s="24">
        <f>IF(BM4=Assumptions!$G$24,Assumptions!$R$30,MIN(BM5*Assumptions!$G$29+BM9*Assumptions!$G$30,Assumptions!$G$31-BM43))</f>
        <v>0</v>
      </c>
      <c r="BN44" s="24">
        <f>IF(BN4=Assumptions!$G$24,Assumptions!$R$30,MIN(BN5*Assumptions!$G$29+BN9*Assumptions!$G$30,Assumptions!$G$31-BN43))</f>
        <v>0</v>
      </c>
      <c r="BO44" s="24">
        <f>IF(BO4=Assumptions!$G$24,Assumptions!$R$30,MIN(BO5*Assumptions!$G$29+BO9*Assumptions!$G$30,Assumptions!$G$31-BO43))</f>
        <v>0</v>
      </c>
      <c r="BP44" s="24">
        <f>IF(BP4=Assumptions!$G$24,Assumptions!$R$30,MIN(BP5*Assumptions!$G$29+BP9*Assumptions!$G$30,Assumptions!$G$31-BP43))</f>
        <v>0</v>
      </c>
      <c r="BQ44" s="24">
        <f>IF(BQ4=Assumptions!$G$24,Assumptions!$R$30,MIN(BQ5*Assumptions!$G$29+BQ9*Assumptions!$G$30,Assumptions!$G$31-BQ43))</f>
        <v>0</v>
      </c>
      <c r="BR44" s="24">
        <f>IF(BR4=Assumptions!$G$24,Assumptions!$R$30,MIN(BR5*Assumptions!$G$29+BR9*Assumptions!$G$30,Assumptions!$G$31-BR43))</f>
        <v>0</v>
      </c>
      <c r="BS44" s="24">
        <f>IF(BS4=Assumptions!$G$24,Assumptions!$R$30,MIN(BS5*Assumptions!$G$29+BS9*Assumptions!$G$30,Assumptions!$G$31-BS43))</f>
        <v>0</v>
      </c>
      <c r="BT44" s="24">
        <f>IF(BT4=Assumptions!$G$24,Assumptions!$R$30,MIN(BT5*Assumptions!$G$29+BT9*Assumptions!$G$30,Assumptions!$G$31-BT43))</f>
        <v>0</v>
      </c>
      <c r="BU44" s="24">
        <f>IF(BU4=Assumptions!$G$24,Assumptions!$R$30,MIN(BU5*Assumptions!$G$29+BU9*Assumptions!$G$30,Assumptions!$G$31-BU43))</f>
        <v>0</v>
      </c>
      <c r="BV44" s="24">
        <f>IF(BV4=Assumptions!$G$24,Assumptions!$R$30,MIN(BV5*Assumptions!$G$29+BV9*Assumptions!$G$30,Assumptions!$G$31-BV43))</f>
        <v>0</v>
      </c>
      <c r="BW44" s="24">
        <f>IF(BW4=Assumptions!$G$24,Assumptions!$R$30,MIN(BW5*Assumptions!$G$29+BW9*Assumptions!$G$30,Assumptions!$G$31-BW43))</f>
        <v>0</v>
      </c>
      <c r="BX44" s="24">
        <f>IF(BX4=Assumptions!$G$24,Assumptions!$R$30,MIN(BX5*Assumptions!$G$29+BX9*Assumptions!$G$30,Assumptions!$G$31-BX43))</f>
        <v>0</v>
      </c>
      <c r="BY44" s="24">
        <f>IF(BY4=Assumptions!$G$24,Assumptions!$R$30,MIN(BY5*Assumptions!$G$29+BY9*Assumptions!$G$30,Assumptions!$G$31-BY43))</f>
        <v>0</v>
      </c>
      <c r="BZ44" s="24">
        <f>IF(BZ4=Assumptions!$G$24,Assumptions!$R$30,MIN(BZ5*Assumptions!$G$29+BZ9*Assumptions!$G$30,Assumptions!$G$31-BZ43))</f>
        <v>0</v>
      </c>
      <c r="CA44" s="24">
        <f>IF(CA4=Assumptions!$G$24,Assumptions!$R$30,MIN(CA5*Assumptions!$G$29+CA9*Assumptions!$G$30,Assumptions!$G$31-CA43))</f>
        <v>0</v>
      </c>
      <c r="CB44" s="24">
        <f>IF(CB4=Assumptions!$G$24,Assumptions!$R$30,MIN(CB5*Assumptions!$G$29+CB9*Assumptions!$G$30,Assumptions!$G$31-CB43))</f>
        <v>0</v>
      </c>
      <c r="CC44" s="24">
        <f>IF(CC4=Assumptions!$G$24,Assumptions!$R$30,MIN(CC5*Assumptions!$G$29+CC9*Assumptions!$G$30,Assumptions!$G$31-CC43))</f>
        <v>0</v>
      </c>
      <c r="CD44" s="24">
        <f>IF(CD4=Assumptions!$G$24,Assumptions!$R$30,MIN(CD5*Assumptions!$G$29+CD9*Assumptions!$G$30,Assumptions!$G$31-CD43))</f>
        <v>0</v>
      </c>
      <c r="CE44" s="24">
        <f>IF(CE4=Assumptions!$G$24,Assumptions!$R$30,MIN(CE5*Assumptions!$G$29+CE9*Assumptions!$G$30,Assumptions!$G$31-CE43))</f>
        <v>0</v>
      </c>
      <c r="CF44" s="24">
        <f>IF(CF4=Assumptions!$G$24,Assumptions!$R$30,MIN(CF5*Assumptions!$G$29+CF9*Assumptions!$G$30,Assumptions!$G$31-CF43))</f>
        <v>0</v>
      </c>
      <c r="CG44" s="24">
        <f>IF(CG4=Assumptions!$G$24,Assumptions!$R$30,MIN(CG5*Assumptions!$G$29+CG9*Assumptions!$G$30,Assumptions!$G$31-CG43))</f>
        <v>0</v>
      </c>
      <c r="CH44" s="24">
        <f>IF(CH4=Assumptions!$G$24,Assumptions!$R$30,MIN(CH5*Assumptions!$G$29+CH9*Assumptions!$G$30,Assumptions!$G$31-CH43))</f>
        <v>0</v>
      </c>
      <c r="CI44" s="24">
        <f>IF(CI4=Assumptions!$G$24,Assumptions!$R$30,MIN(CI5*Assumptions!$G$29+CI9*Assumptions!$G$30,Assumptions!$G$31-CI43))</f>
        <v>0</v>
      </c>
      <c r="CJ44" s="24">
        <f>IF(CJ4=Assumptions!$G$24,Assumptions!$R$30,MIN(CJ5*Assumptions!$G$29+CJ9*Assumptions!$G$30,Assumptions!$G$31-CJ43))</f>
        <v>0</v>
      </c>
      <c r="CK44" s="24">
        <f>IF(CK4=Assumptions!$G$24,Assumptions!$R$30,MIN(CK5*Assumptions!$G$29+CK9*Assumptions!$G$30,Assumptions!$G$31-CK43))</f>
        <v>0</v>
      </c>
      <c r="CL44" s="24">
        <f>IF(CL4=Assumptions!$G$24,Assumptions!$R$30,MIN(CL5*Assumptions!$G$29+CL9*Assumptions!$G$30,Assumptions!$G$31-CL43))</f>
        <v>0</v>
      </c>
      <c r="CM44" s="24">
        <f>IF(CM4=Assumptions!$G$24,Assumptions!$R$30,MIN(CM5*Assumptions!$G$29+CM9*Assumptions!$G$30,Assumptions!$G$31-CM43))</f>
        <v>0</v>
      </c>
      <c r="CN44" s="24">
        <f>IF(CN4=Assumptions!$G$24,Assumptions!$R$30,MIN(CN5*Assumptions!$G$29+CN9*Assumptions!$G$30,Assumptions!$G$31-CN43))</f>
        <v>0</v>
      </c>
      <c r="CO44" s="24">
        <f>IF(CO4=Assumptions!$G$24,Assumptions!$R$30,MIN(CO5*Assumptions!$G$29+CO9*Assumptions!$G$30,Assumptions!$G$31-CO43))</f>
        <v>0</v>
      </c>
      <c r="CP44" s="24">
        <f>IF(CP4=Assumptions!$G$24,Assumptions!$R$30,MIN(CP5*Assumptions!$G$29+CP9*Assumptions!$G$30,Assumptions!$G$31-CP43))</f>
        <v>0</v>
      </c>
      <c r="CQ44" s="24">
        <f>IF(CQ4=Assumptions!$G$24,Assumptions!$R$30,MIN(CQ5*Assumptions!$G$29+CQ9*Assumptions!$G$30,Assumptions!$G$31-CQ43))</f>
        <v>0</v>
      </c>
      <c r="CR44" s="24">
        <f>IF(CR4=Assumptions!$G$24,Assumptions!$R$30,MIN(CR5*Assumptions!$G$29+CR9*Assumptions!$G$30,Assumptions!$G$31-CR43))</f>
        <v>0</v>
      </c>
      <c r="CS44" s="24">
        <f>IF(CS4=Assumptions!$G$24,Assumptions!$R$30,MIN(CS5*Assumptions!$G$29+CS9*Assumptions!$G$30,Assumptions!$G$31-CS43))</f>
        <v>0</v>
      </c>
      <c r="CT44" s="24">
        <f>IF(CT4=Assumptions!$G$24,Assumptions!$R$30,MIN(CT5*Assumptions!$G$29+CT9*Assumptions!$G$30,Assumptions!$G$31-CT43))</f>
        <v>0</v>
      </c>
      <c r="CU44" s="24">
        <f>IF(CU4=Assumptions!$G$24,Assumptions!$R$30,MIN(CU5*Assumptions!$G$29+CU9*Assumptions!$G$30,Assumptions!$G$31-CU43))</f>
        <v>0</v>
      </c>
      <c r="CV44" s="24">
        <f>IF(CV4=Assumptions!$G$24,Assumptions!$R$30,MIN(CV5*Assumptions!$G$29+CV9*Assumptions!$G$30,Assumptions!$G$31-CV43))</f>
        <v>0</v>
      </c>
      <c r="CW44" s="24">
        <f>IF(CW4=Assumptions!$G$24,Assumptions!$R$30,MIN(CW5*Assumptions!$G$29+CW9*Assumptions!$G$30,Assumptions!$G$31-CW43))</f>
        <v>0</v>
      </c>
      <c r="CX44" s="24">
        <f>IF(CX4=Assumptions!$G$24,Assumptions!$R$30,MIN(CX5*Assumptions!$G$29+CX9*Assumptions!$G$30,Assumptions!$G$31-CX43))</f>
        <v>0</v>
      </c>
      <c r="CY44" s="24">
        <f>IF(CY4=Assumptions!$G$24,Assumptions!$R$30,MIN(CY5*Assumptions!$G$29+CY9*Assumptions!$G$30,Assumptions!$G$31-CY43))</f>
        <v>0</v>
      </c>
      <c r="CZ44" s="24">
        <f>IF(CZ4=Assumptions!$G$24,Assumptions!$R$30,MIN(CZ5*Assumptions!$G$29+CZ9*Assumptions!$G$30,Assumptions!$G$31-CZ43))</f>
        <v>0</v>
      </c>
      <c r="DA44" s="24">
        <f>IF(DA4=Assumptions!$G$24,Assumptions!$R$30,MIN(DA5*Assumptions!$G$29+DA9*Assumptions!$G$30,Assumptions!$G$31-DA43))</f>
        <v>0</v>
      </c>
      <c r="DB44" s="24">
        <f>IF(DB4=Assumptions!$G$24,Assumptions!$R$30,MIN(DB5*Assumptions!$G$29+DB9*Assumptions!$G$30,Assumptions!$G$31-DB43))</f>
        <v>0</v>
      </c>
      <c r="DC44" s="24">
        <f>IF(DC4=Assumptions!$G$24,Assumptions!$R$30,MIN(DC5*Assumptions!$G$29+DC9*Assumptions!$G$30,Assumptions!$G$31-DC43))</f>
        <v>0</v>
      </c>
      <c r="DD44" s="24">
        <f>IF(DD4=Assumptions!$G$24,Assumptions!$R$30,MIN(DD5*Assumptions!$G$29+DD9*Assumptions!$G$30,Assumptions!$G$31-DD43))</f>
        <v>0</v>
      </c>
      <c r="DE44" s="24">
        <f>IF(DE4=Assumptions!$G$24,Assumptions!$R$30,MIN(DE5*Assumptions!$G$29+DE9*Assumptions!$G$30,Assumptions!$G$31-DE43))</f>
        <v>0</v>
      </c>
      <c r="DF44" s="24">
        <f>IF(DF4=Assumptions!$G$24,Assumptions!$R$30,MIN(DF5*Assumptions!$G$29+DF9*Assumptions!$G$30,Assumptions!$G$31-DF43))</f>
        <v>0</v>
      </c>
      <c r="DG44" s="24">
        <f>IF(DG4=Assumptions!$G$24,Assumptions!$R$30,MIN(DG5*Assumptions!$G$29+DG9*Assumptions!$G$30,Assumptions!$G$31-DG43))</f>
        <v>0</v>
      </c>
      <c r="DH44" s="24">
        <f>IF(DH4=Assumptions!$G$24,Assumptions!$R$30,MIN(DH5*Assumptions!$G$29+DH9*Assumptions!$G$30,Assumptions!$G$31-DH43))</f>
        <v>0</v>
      </c>
      <c r="DI44" s="24">
        <f>IF(DI4=Assumptions!$G$24,Assumptions!$R$30,MIN(DI5*Assumptions!$G$29+DI9*Assumptions!$G$30,Assumptions!$G$31-DI43))</f>
        <v>0</v>
      </c>
      <c r="DJ44" s="24">
        <f>IF(DJ4=Assumptions!$G$24,Assumptions!$R$30,MIN(DJ5*Assumptions!$G$29+DJ9*Assumptions!$G$30,Assumptions!$G$31-DJ43))</f>
        <v>0</v>
      </c>
      <c r="DK44" s="24">
        <f>IF(DK4=Assumptions!$G$24,Assumptions!$R$30,MIN(DK5*Assumptions!$G$29+DK9*Assumptions!$G$30,Assumptions!$G$31-DK43))</f>
        <v>0</v>
      </c>
      <c r="DL44" s="24">
        <f>IF(DL4=Assumptions!$G$24,Assumptions!$R$30,MIN(DL5*Assumptions!$G$29+DL9*Assumptions!$G$30,Assumptions!$G$31-DL43))</f>
        <v>0</v>
      </c>
      <c r="DM44" s="24">
        <f>IF(DM4=Assumptions!$G$24,Assumptions!$R$30,MIN(DM5*Assumptions!$G$29+DM9*Assumptions!$G$30,Assumptions!$G$31-DM43))</f>
        <v>0</v>
      </c>
      <c r="DN44" s="24">
        <f>IF(DN4=Assumptions!$G$24,Assumptions!$R$30,MIN(DN5*Assumptions!$G$29+DN9*Assumptions!$G$30,Assumptions!$G$31-DN43))</f>
        <v>0</v>
      </c>
      <c r="DO44" s="24">
        <f>IF(DO4=Assumptions!$G$24,Assumptions!$R$30,MIN(DO5*Assumptions!$G$29+DO9*Assumptions!$G$30,Assumptions!$G$31-DO43))</f>
        <v>0</v>
      </c>
      <c r="DP44" s="24">
        <f>IF(DP4=Assumptions!$G$24,Assumptions!$R$30,MIN(DP5*Assumptions!$G$29+DP9*Assumptions!$G$30,Assumptions!$G$31-DP43))</f>
        <v>0</v>
      </c>
      <c r="DQ44" s="24">
        <f>IF(DQ4=Assumptions!$G$24,Assumptions!$R$30,MIN(DQ5*Assumptions!$G$29+DQ9*Assumptions!$G$30,Assumptions!$G$31-DQ43))</f>
        <v>0</v>
      </c>
      <c r="DR44" s="24">
        <f>IF(DR4=Assumptions!$G$24,Assumptions!$R$30,MIN(DR5*Assumptions!$G$29+DR9*Assumptions!$G$30,Assumptions!$G$31-DR43))</f>
        <v>0</v>
      </c>
      <c r="DS44" s="24">
        <f>IF(DS4=Assumptions!$G$24,Assumptions!$R$30,MIN(DS5*Assumptions!$G$29+DS9*Assumptions!$G$30,Assumptions!$G$31-DS43))</f>
        <v>0</v>
      </c>
      <c r="DT44" s="24">
        <f>IF(DT4=Assumptions!$G$24,Assumptions!$R$30,MIN(DT5*Assumptions!$G$29+DT9*Assumptions!$G$30,Assumptions!$G$31-DT43))</f>
        <v>0</v>
      </c>
      <c r="DU44" s="24">
        <f>IF(DU4=Assumptions!$G$24,Assumptions!$R$30,MIN(DU5*Assumptions!$G$29+DU9*Assumptions!$G$30,Assumptions!$G$31-DU43))</f>
        <v>0</v>
      </c>
      <c r="DV44" s="24">
        <f>IF(DV4=Assumptions!$G$24,Assumptions!$R$30,MIN(DV5*Assumptions!$G$29+DV9*Assumptions!$G$30,Assumptions!$G$31-DV43))</f>
        <v>0</v>
      </c>
      <c r="DW44" s="24">
        <f>IF(DW4=Assumptions!$G$24,Assumptions!$R$30,MIN(DW5*Assumptions!$G$29+DW9*Assumptions!$G$30,Assumptions!$G$31-DW43))</f>
        <v>0</v>
      </c>
      <c r="DX44" s="24">
        <f>IF(DX4=Assumptions!$G$24,Assumptions!$R$30,MIN(DX5*Assumptions!$G$29+DX9*Assumptions!$G$30,Assumptions!$G$31-DX43))</f>
        <v>0</v>
      </c>
      <c r="DY44" s="24">
        <f>IF(DY4=Assumptions!$G$24,Assumptions!$R$30,MIN(DY5*Assumptions!$G$29+DY9*Assumptions!$G$30,Assumptions!$G$31-DY43))</f>
        <v>0</v>
      </c>
      <c r="DZ44" s="24">
        <f>IF(DZ4=Assumptions!$G$24,Assumptions!$R$30,MIN(DZ5*Assumptions!$G$29+DZ9*Assumptions!$G$30,Assumptions!$G$31-DZ43))</f>
        <v>0</v>
      </c>
      <c r="EA44" s="24">
        <f>IF(EA4=Assumptions!$G$24,Assumptions!$R$30,MIN(EA5*Assumptions!$G$29+EA9*Assumptions!$G$30,Assumptions!$G$31-EA43))</f>
        <v>0</v>
      </c>
      <c r="EB44" s="24">
        <f>IF(EB4=Assumptions!$G$24,Assumptions!$R$30,MIN(EB5*Assumptions!$G$29+EB9*Assumptions!$G$30,Assumptions!$G$31-EB43))</f>
        <v>0</v>
      </c>
      <c r="EC44" s="24">
        <f>IF(EC4=Assumptions!$G$24,Assumptions!$R$30,MIN(EC5*Assumptions!$G$29+EC9*Assumptions!$G$30,Assumptions!$G$31-EC43))</f>
        <v>0</v>
      </c>
      <c r="ED44" s="24">
        <f>IF(ED4=Assumptions!$G$24,Assumptions!$R$30,MIN(ED5*Assumptions!$G$29+ED9*Assumptions!$G$30,Assumptions!$G$31-ED43))</f>
        <v>0</v>
      </c>
      <c r="EE44" s="24">
        <f>IF(EE4=Assumptions!$G$24,Assumptions!$R$30,MIN(EE5*Assumptions!$G$29+EE9*Assumptions!$G$30,Assumptions!$G$31-EE43))</f>
        <v>0</v>
      </c>
      <c r="EF44" s="24">
        <f>IF(EF4=Assumptions!$G$24,Assumptions!$R$30,MIN(EF5*Assumptions!$G$29+EF9*Assumptions!$G$30,Assumptions!$G$31-EF43))</f>
        <v>0</v>
      </c>
      <c r="EG44" s="24">
        <f>IF(EG4=Assumptions!$G$24,Assumptions!$R$30,MIN(EG5*Assumptions!$G$29+EG9*Assumptions!$G$30,Assumptions!$G$31-EG43))</f>
        <v>0</v>
      </c>
      <c r="EH44" s="24">
        <f>IF(EH4=Assumptions!$G$24,Assumptions!$R$30,MIN(EH5*Assumptions!$G$29+EH9*Assumptions!$G$30,Assumptions!$G$31-EH43))</f>
        <v>0</v>
      </c>
      <c r="EI44" s="24">
        <f>IF(EI4=Assumptions!$G$24,Assumptions!$R$30,MIN(EI5*Assumptions!$G$29+EI9*Assumptions!$G$30,Assumptions!$G$31-EI43))</f>
        <v>0</v>
      </c>
      <c r="EM44" s="1" t="s">
        <v>191</v>
      </c>
    </row>
    <row r="45" spans="2:143" x14ac:dyDescent="0.45">
      <c r="D45" s="1" t="s">
        <v>277</v>
      </c>
      <c r="G45" s="24">
        <f>+IFERROR(INDEX('Debt Schedule'!$F$12:$F$108,MATCH(Model!G4,'Debt Schedule'!$B$12:$B$108,0)),0)</f>
        <v>0</v>
      </c>
      <c r="H45" s="24">
        <f>+IFERROR(INDEX('Debt Schedule'!$F$12:$F$108,MATCH(Model!H4,'Debt Schedule'!$B$12:$B$108,0)),0)</f>
        <v>-4976.8016349898635</v>
      </c>
      <c r="I45" s="24">
        <f>+IFERROR(INDEX('Debt Schedule'!$F$12:$F$108,MATCH(Model!I4,'Debt Schedule'!$B$12:$B$108,0)),0)</f>
        <v>-5018.2749819481123</v>
      </c>
      <c r="J45" s="24">
        <f>+IFERROR(INDEX('Debt Schedule'!$F$12:$F$108,MATCH(Model!J4,'Debt Schedule'!$B$12:$B$108,0)),0)</f>
        <v>-5060.0939401310134</v>
      </c>
      <c r="K45" s="24">
        <f>+IFERROR(INDEX('Debt Schedule'!$F$12:$F$108,MATCH(Model!K4,'Debt Schedule'!$B$12:$B$108,0)),0)</f>
        <v>-5102.2613896321036</v>
      </c>
      <c r="L45" s="24">
        <f>+IFERROR(INDEX('Debt Schedule'!$F$12:$F$108,MATCH(Model!L4,'Debt Schedule'!$B$12:$B$108,0)),0)</f>
        <v>-5144.7802345457048</v>
      </c>
      <c r="M45" s="24">
        <f>+IFERROR(INDEX('Debt Schedule'!$F$12:$F$108,MATCH(Model!M4,'Debt Schedule'!$B$12:$B$108,0)),0)</f>
        <v>-5187.6534031669189</v>
      </c>
      <c r="N45" s="24">
        <f>+IFERROR(INDEX('Debt Schedule'!$F$12:$F$108,MATCH(Model!N4,'Debt Schedule'!$B$12:$B$108,0)),0)</f>
        <v>-5230.8838481933099</v>
      </c>
      <c r="O45" s="24">
        <f>+IFERROR(INDEX('Debt Schedule'!$F$12:$F$108,MATCH(Model!O4,'Debt Schedule'!$B$12:$B$108,0)),0)</f>
        <v>-5274.4745469282543</v>
      </c>
      <c r="P45" s="24">
        <f>+IFERROR(INDEX('Debt Schedule'!$F$12:$F$108,MATCH(Model!P4,'Debt Schedule'!$B$12:$B$108,0)),0)</f>
        <v>-5318.4285014859906</v>
      </c>
      <c r="Q45" s="24">
        <f>+IFERROR(INDEX('Debt Schedule'!$F$12:$F$108,MATCH(Model!Q4,'Debt Schedule'!$B$12:$B$108,0)),0)</f>
        <v>-5362.7487389983726</v>
      </c>
      <c r="R45" s="24">
        <f>+IFERROR(INDEX('Debt Schedule'!$F$12:$F$108,MATCH(Model!R4,'Debt Schedule'!$B$12:$B$108,0)),0)</f>
        <v>-5407.4383118233591</v>
      </c>
      <c r="S45" s="24">
        <f>+IFERROR(INDEX('Debt Schedule'!$F$12:$F$108,MATCH(Model!S4,'Debt Schedule'!$B$12:$B$108,0)),0)</f>
        <v>-5452.5002977552213</v>
      </c>
      <c r="T45" s="24">
        <f>+IFERROR(INDEX('Debt Schedule'!$F$12:$F$108,MATCH(Model!T4,'Debt Schedule'!$B$12:$B$108,0)),0)</f>
        <v>-5497.9378002365138</v>
      </c>
      <c r="U45" s="24">
        <f>+IFERROR(INDEX('Debt Schedule'!$F$12:$F$108,MATCH(Model!U4,'Debt Schedule'!$B$12:$B$108,0)),0)</f>
        <v>-5543.753948571818</v>
      </c>
      <c r="V45" s="24">
        <f>+IFERROR(INDEX('Debt Schedule'!$F$12:$F$108,MATCH(Model!V4,'Debt Schedule'!$B$12:$B$108,0)),0)</f>
        <v>-5589.9518981432502</v>
      </c>
      <c r="W45" s="24">
        <f>+IFERROR(INDEX('Debt Schedule'!$F$12:$F$108,MATCH(Model!W4,'Debt Schedule'!$B$12:$B$108,0)),0)</f>
        <v>-5636.5348306277774</v>
      </c>
      <c r="X45" s="24">
        <f>+IFERROR(INDEX('Debt Schedule'!$F$12:$F$108,MATCH(Model!X4,'Debt Schedule'!$B$12:$B$108,0)),0)</f>
        <v>-5683.5059542163417</v>
      </c>
      <c r="Y45" s="24">
        <f>+IFERROR(INDEX('Debt Schedule'!$F$12:$F$108,MATCH(Model!Y4,'Debt Schedule'!$B$12:$B$108,0)),0)</f>
        <v>-5730.8685038348112</v>
      </c>
      <c r="Z45" s="24">
        <f>+IFERROR(INDEX('Debt Schedule'!$F$12:$F$108,MATCH(Model!Z4,'Debt Schedule'!$B$12:$B$108,0)),0)</f>
        <v>-5778.6257413667681</v>
      </c>
      <c r="AA45" s="24">
        <f>+IFERROR(INDEX('Debt Schedule'!$F$12:$F$108,MATCH(Model!AA4,'Debt Schedule'!$B$12:$B$108,0)),0)</f>
        <v>-5826.7809558781582</v>
      </c>
      <c r="AB45" s="24">
        <f>+IFERROR(INDEX('Debt Schedule'!$F$12:$F$108,MATCH(Model!AB4,'Debt Schedule'!$B$12:$B$108,0)),0)</f>
        <v>-5875.337463843809</v>
      </c>
      <c r="AC45" s="24">
        <f>+IFERROR(INDEX('Debt Schedule'!$F$12:$F$108,MATCH(Model!AC4,'Debt Schedule'!$B$12:$B$108,0)),0)</f>
        <v>-5924.2986093758409</v>
      </c>
      <c r="AD45" s="24">
        <f>+IFERROR(INDEX('Debt Schedule'!$F$12:$F$108,MATCH(Model!AD4,'Debt Schedule'!$B$12:$B$108,0)),0)</f>
        <v>-5973.6677644539723</v>
      </c>
      <c r="AE45" s="24">
        <f>+IFERROR(INDEX('Debt Schedule'!$F$12:$F$108,MATCH(Model!AE4,'Debt Schedule'!$B$12:$B$108,0)),0)</f>
        <v>-6023.4483291577553</v>
      </c>
      <c r="AF45" s="24">
        <f>+IFERROR(INDEX('Debt Schedule'!$F$12:$F$108,MATCH(Model!AF4,'Debt Schedule'!$B$12:$B$108,0)),0)</f>
        <v>-6073.6437319007373</v>
      </c>
      <c r="AG45" s="24">
        <f>+IFERROR(INDEX('Debt Schedule'!$F$12:$F$108,MATCH(Model!AG4,'Debt Schedule'!$B$12:$B$108,0)),0)</f>
        <v>-6124.2574296665762</v>
      </c>
      <c r="AH45" s="24">
        <f>+IFERROR(INDEX('Debt Schedule'!$F$12:$F$108,MATCH(Model!AH4,'Debt Schedule'!$B$12:$B$108,0)),0)</f>
        <v>-6175.292908247131</v>
      </c>
      <c r="AI45" s="24">
        <f>+IFERROR(INDEX('Debt Schedule'!$F$12:$F$108,MATCH(Model!AI4,'Debt Schedule'!$B$12:$B$108,0)),0)</f>
        <v>-6226.7536824825238</v>
      </c>
      <c r="AJ45" s="24">
        <f>+IFERROR(INDEX('Debt Schedule'!$F$12:$F$108,MATCH(Model!AJ4,'Debt Schedule'!$B$12:$B$108,0)),0)</f>
        <v>-6278.6432965032118</v>
      </c>
      <c r="AK45" s="24">
        <f>+IFERROR(INDEX('Debt Schedule'!$F$12:$F$108,MATCH(Model!AK4,'Debt Schedule'!$B$12:$B$108,0)),0)</f>
        <v>-6330.9653239740719</v>
      </c>
      <c r="AL45" s="24">
        <f>+IFERROR(INDEX('Debt Schedule'!$F$12:$F$108,MATCH(Model!AL4,'Debt Schedule'!$B$12:$B$108,0)),0)</f>
        <v>-6383.723368340522</v>
      </c>
      <c r="AM45" s="24">
        <f>+IFERROR(INDEX('Debt Schedule'!$F$12:$F$108,MATCH(Model!AM4,'Debt Schedule'!$B$12:$B$108,0)),0)</f>
        <v>-6436.9210630766929</v>
      </c>
      <c r="AN45" s="24">
        <f>+IFERROR(INDEX('Debt Schedule'!$F$12:$F$108,MATCH(Model!AN4,'Debt Schedule'!$B$12:$B$108,0)),0)</f>
        <v>-6490.5620719356657</v>
      </c>
      <c r="AO45" s="24">
        <f>+IFERROR(INDEX('Debt Schedule'!$F$12:$F$108,MATCH(Model!AO4,'Debt Schedule'!$B$12:$B$108,0)),0)</f>
        <v>0</v>
      </c>
      <c r="AP45" s="24">
        <f>+IFERROR(INDEX('Debt Schedule'!$F$12:$F$108,MATCH(Model!AP4,'Debt Schedule'!$B$12:$B$108,0)),0)</f>
        <v>0</v>
      </c>
      <c r="AQ45" s="24">
        <f>+IFERROR(INDEX('Debt Schedule'!$F$12:$F$108,MATCH(Model!AQ4,'Debt Schedule'!$B$12:$B$108,0)),0)</f>
        <v>0</v>
      </c>
      <c r="AR45" s="24">
        <f>+IFERROR(INDEX('Debt Schedule'!$F$12:$F$108,MATCH(Model!AR4,'Debt Schedule'!$B$12:$B$108,0)),0)</f>
        <v>0</v>
      </c>
      <c r="AS45" s="24">
        <f>+IFERROR(INDEX('Debt Schedule'!$F$12:$F$108,MATCH(Model!AS4,'Debt Schedule'!$B$12:$B$108,0)),0)</f>
        <v>0</v>
      </c>
      <c r="AT45" s="24">
        <f>+IFERROR(INDEX('Debt Schedule'!$F$12:$F$108,MATCH(Model!AT4,'Debt Schedule'!$B$12:$B$108,0)),0)</f>
        <v>0</v>
      </c>
      <c r="AU45" s="24">
        <f>+IFERROR(INDEX('Debt Schedule'!$F$12:$F$108,MATCH(Model!AU4,'Debt Schedule'!$B$12:$B$108,0)),0)</f>
        <v>0</v>
      </c>
      <c r="AV45" s="24">
        <f>+IFERROR(INDEX('Debt Schedule'!$F$12:$F$108,MATCH(Model!AV4,'Debt Schedule'!$B$12:$B$108,0)),0)</f>
        <v>0</v>
      </c>
      <c r="AW45" s="24">
        <f>+IFERROR(INDEX('Debt Schedule'!$F$12:$F$108,MATCH(Model!AW4,'Debt Schedule'!$B$12:$B$108,0)),0)</f>
        <v>0</v>
      </c>
      <c r="AX45" s="24">
        <f>+IFERROR(INDEX('Debt Schedule'!$F$12:$F$108,MATCH(Model!AX4,'Debt Schedule'!$B$12:$B$108,0)),0)</f>
        <v>0</v>
      </c>
      <c r="AY45" s="24">
        <f>+IFERROR(INDEX('Debt Schedule'!$F$12:$F$108,MATCH(Model!AY4,'Debt Schedule'!$B$12:$B$108,0)),0)</f>
        <v>0</v>
      </c>
      <c r="AZ45" s="24">
        <f>+IFERROR(INDEX('Debt Schedule'!$F$12:$F$108,MATCH(Model!AZ4,'Debt Schedule'!$B$12:$B$108,0)),0)</f>
        <v>0</v>
      </c>
      <c r="BA45" s="24">
        <f>+IFERROR(INDEX('Debt Schedule'!$F$12:$F$108,MATCH(Model!BA4,'Debt Schedule'!$B$12:$B$108,0)),0)</f>
        <v>0</v>
      </c>
      <c r="BB45" s="24">
        <f>+IFERROR(INDEX('Debt Schedule'!$F$12:$F$108,MATCH(Model!BB4,'Debt Schedule'!$B$12:$B$108,0)),0)</f>
        <v>0</v>
      </c>
      <c r="BC45" s="24">
        <f>+IFERROR(INDEX('Debt Schedule'!$F$12:$F$108,MATCH(Model!BC4,'Debt Schedule'!$B$12:$B$108,0)),0)</f>
        <v>0</v>
      </c>
      <c r="BD45" s="24">
        <f>+IFERROR(INDEX('Debt Schedule'!$F$12:$F$108,MATCH(Model!BD4,'Debt Schedule'!$B$12:$B$108,0)),0)</f>
        <v>0</v>
      </c>
      <c r="BE45" s="24">
        <f>+IFERROR(INDEX('Debt Schedule'!$F$12:$F$108,MATCH(Model!BE4,'Debt Schedule'!$B$12:$B$108,0)),0)</f>
        <v>0</v>
      </c>
      <c r="BF45" s="24">
        <f>+IFERROR(INDEX('Debt Schedule'!$F$12:$F$108,MATCH(Model!BF4,'Debt Schedule'!$B$12:$B$108,0)),0)</f>
        <v>0</v>
      </c>
      <c r="BG45" s="24">
        <f>+IFERROR(INDEX('Debt Schedule'!$F$12:$F$108,MATCH(Model!BG4,'Debt Schedule'!$B$12:$B$108,0)),0)</f>
        <v>0</v>
      </c>
      <c r="BH45" s="24">
        <f>+IFERROR(INDEX('Debt Schedule'!$F$12:$F$108,MATCH(Model!BH4,'Debt Schedule'!$B$12:$B$108,0)),0)</f>
        <v>0</v>
      </c>
      <c r="BI45" s="24">
        <f>+IFERROR(INDEX('Debt Schedule'!$F$12:$F$108,MATCH(Model!BI4,'Debt Schedule'!$B$12:$B$108,0)),0)</f>
        <v>0</v>
      </c>
      <c r="BJ45" s="24">
        <f>+IFERROR(INDEX('Debt Schedule'!$F$12:$F$108,MATCH(Model!BJ4,'Debt Schedule'!$B$12:$B$108,0)),0)</f>
        <v>0</v>
      </c>
      <c r="BK45" s="24">
        <f>+IFERROR(INDEX('Debt Schedule'!$F$12:$F$108,MATCH(Model!BK4,'Debt Schedule'!$B$12:$B$108,0)),0)</f>
        <v>0</v>
      </c>
      <c r="BL45" s="24">
        <f>+IFERROR(INDEX('Debt Schedule'!$F$12:$F$108,MATCH(Model!BL4,'Debt Schedule'!$B$12:$B$108,0)),0)</f>
        <v>0</v>
      </c>
      <c r="BM45" s="24">
        <f>+IFERROR(INDEX('Debt Schedule'!$F$12:$F$108,MATCH(Model!BM4,'Debt Schedule'!$B$12:$B$108,0)),0)</f>
        <v>0</v>
      </c>
      <c r="BN45" s="24">
        <f>+IFERROR(INDEX('Debt Schedule'!$F$12:$F$108,MATCH(Model!BN4,'Debt Schedule'!$B$12:$B$108,0)),0)</f>
        <v>0</v>
      </c>
      <c r="BO45" s="24">
        <f>+IFERROR(INDEX('Debt Schedule'!$F$12:$F$108,MATCH(Model!BO4,'Debt Schedule'!$B$12:$B$108,0)),0)</f>
        <v>0</v>
      </c>
      <c r="BP45" s="24">
        <f>+IFERROR(INDEX('Debt Schedule'!$F$12:$F$108,MATCH(Model!BP4,'Debt Schedule'!$B$12:$B$108,0)),0)</f>
        <v>0</v>
      </c>
      <c r="BQ45" s="24">
        <f>+IFERROR(INDEX('Debt Schedule'!$F$12:$F$108,MATCH(Model!BQ4,'Debt Schedule'!$B$12:$B$108,0)),0)</f>
        <v>0</v>
      </c>
      <c r="BR45" s="24">
        <f>+IFERROR(INDEX('Debt Schedule'!$F$12:$F$108,MATCH(Model!BR4,'Debt Schedule'!$B$12:$B$108,0)),0)</f>
        <v>0</v>
      </c>
      <c r="BS45" s="24">
        <f>+IFERROR(INDEX('Debt Schedule'!$F$12:$F$108,MATCH(Model!BS4,'Debt Schedule'!$B$12:$B$108,0)),0)</f>
        <v>0</v>
      </c>
      <c r="BT45" s="24">
        <f>+IFERROR(INDEX('Debt Schedule'!$F$12:$F$108,MATCH(Model!BT4,'Debt Schedule'!$B$12:$B$108,0)),0)</f>
        <v>0</v>
      </c>
      <c r="BU45" s="24">
        <f>+IFERROR(INDEX('Debt Schedule'!$F$12:$F$108,MATCH(Model!BU4,'Debt Schedule'!$B$12:$B$108,0)),0)</f>
        <v>0</v>
      </c>
      <c r="BV45" s="24">
        <f>+IFERROR(INDEX('Debt Schedule'!$F$12:$F$108,MATCH(Model!BV4,'Debt Schedule'!$B$12:$B$108,0)),0)</f>
        <v>0</v>
      </c>
      <c r="BW45" s="24">
        <f>+IFERROR(INDEX('Debt Schedule'!$F$12:$F$108,MATCH(Model!BW4,'Debt Schedule'!$B$12:$B$108,0)),0)</f>
        <v>0</v>
      </c>
      <c r="BX45" s="24">
        <f>+IFERROR(INDEX('Debt Schedule'!$F$12:$F$108,MATCH(Model!BX4,'Debt Schedule'!$B$12:$B$108,0)),0)</f>
        <v>0</v>
      </c>
      <c r="BY45" s="24">
        <f>+IFERROR(INDEX('Debt Schedule'!$F$12:$F$108,MATCH(Model!BY4,'Debt Schedule'!$B$12:$B$108,0)),0)</f>
        <v>0</v>
      </c>
      <c r="BZ45" s="24">
        <f>+IFERROR(INDEX('Debt Schedule'!$F$12:$F$108,MATCH(Model!BZ4,'Debt Schedule'!$B$12:$B$108,0)),0)</f>
        <v>0</v>
      </c>
      <c r="CA45" s="24">
        <f>+IFERROR(INDEX('Debt Schedule'!$F$12:$F$108,MATCH(Model!CA4,'Debt Schedule'!$B$12:$B$108,0)),0)</f>
        <v>0</v>
      </c>
      <c r="CB45" s="24">
        <f>+IFERROR(INDEX('Debt Schedule'!$F$12:$F$108,MATCH(Model!CB4,'Debt Schedule'!$B$12:$B$108,0)),0)</f>
        <v>0</v>
      </c>
      <c r="CC45" s="24">
        <f>+IFERROR(INDEX('Debt Schedule'!$F$12:$F$108,MATCH(Model!CC4,'Debt Schedule'!$B$12:$B$108,0)),0)</f>
        <v>0</v>
      </c>
      <c r="CD45" s="24">
        <f>+IFERROR(INDEX('Debt Schedule'!$F$12:$F$108,MATCH(Model!CD4,'Debt Schedule'!$B$12:$B$108,0)),0)</f>
        <v>0</v>
      </c>
      <c r="CE45" s="24">
        <f>+IFERROR(INDEX('Debt Schedule'!$F$12:$F$108,MATCH(Model!CE4,'Debt Schedule'!$B$12:$B$108,0)),0)</f>
        <v>0</v>
      </c>
      <c r="CF45" s="24">
        <f>+IFERROR(INDEX('Debt Schedule'!$F$12:$F$108,MATCH(Model!CF4,'Debt Schedule'!$B$12:$B$108,0)),0)</f>
        <v>0</v>
      </c>
      <c r="CG45" s="24">
        <f>+IFERROR(INDEX('Debt Schedule'!$F$12:$F$108,MATCH(Model!CG4,'Debt Schedule'!$B$12:$B$108,0)),0)</f>
        <v>0</v>
      </c>
      <c r="CH45" s="24">
        <f>+IFERROR(INDEX('Debt Schedule'!$F$12:$F$108,MATCH(Model!CH4,'Debt Schedule'!$B$12:$B$108,0)),0)</f>
        <v>0</v>
      </c>
      <c r="CI45" s="24">
        <f>+IFERROR(INDEX('Debt Schedule'!$F$12:$F$108,MATCH(Model!CI4,'Debt Schedule'!$B$12:$B$108,0)),0)</f>
        <v>0</v>
      </c>
      <c r="CJ45" s="24">
        <f>+IFERROR(INDEX('Debt Schedule'!$F$12:$F$108,MATCH(Model!CJ4,'Debt Schedule'!$B$12:$B$108,0)),0)</f>
        <v>0</v>
      </c>
      <c r="CK45" s="24">
        <f>+IFERROR(INDEX('Debt Schedule'!$F$12:$F$108,MATCH(Model!CK4,'Debt Schedule'!$B$12:$B$108,0)),0)</f>
        <v>0</v>
      </c>
      <c r="CL45" s="24">
        <f>+IFERROR(INDEX('Debt Schedule'!$F$12:$F$108,MATCH(Model!CL4,'Debt Schedule'!$B$12:$B$108,0)),0)</f>
        <v>0</v>
      </c>
      <c r="CM45" s="24">
        <f>+IFERROR(INDEX('Debt Schedule'!$F$12:$F$108,MATCH(Model!CM4,'Debt Schedule'!$B$12:$B$108,0)),0)</f>
        <v>0</v>
      </c>
      <c r="CN45" s="24">
        <f>+IFERROR(INDEX('Debt Schedule'!$F$12:$F$108,MATCH(Model!CN4,'Debt Schedule'!$B$12:$B$108,0)),0)</f>
        <v>0</v>
      </c>
      <c r="CO45" s="24">
        <f>+IFERROR(INDEX('Debt Schedule'!$F$12:$F$108,MATCH(Model!CO4,'Debt Schedule'!$B$12:$B$108,0)),0)</f>
        <v>0</v>
      </c>
      <c r="CP45" s="24">
        <f>+IFERROR(INDEX('Debt Schedule'!$F$12:$F$108,MATCH(Model!CP4,'Debt Schedule'!$B$12:$B$108,0)),0)</f>
        <v>0</v>
      </c>
      <c r="CQ45" s="24">
        <f>+IFERROR(INDEX('Debt Schedule'!$F$12:$F$108,MATCH(Model!CQ4,'Debt Schedule'!$B$12:$B$108,0)),0)</f>
        <v>0</v>
      </c>
      <c r="CR45" s="24">
        <f>+IFERROR(INDEX('Debt Schedule'!$F$12:$F$108,MATCH(Model!CR4,'Debt Schedule'!$B$12:$B$108,0)),0)</f>
        <v>0</v>
      </c>
      <c r="CS45" s="24">
        <f>+IFERROR(INDEX('Debt Schedule'!$F$12:$F$108,MATCH(Model!CS4,'Debt Schedule'!$B$12:$B$108,0)),0)</f>
        <v>0</v>
      </c>
      <c r="CT45" s="24">
        <f>+IFERROR(INDEX('Debt Schedule'!$F$12:$F$108,MATCH(Model!CT4,'Debt Schedule'!$B$12:$B$108,0)),0)</f>
        <v>0</v>
      </c>
      <c r="CU45" s="24">
        <f>+IFERROR(INDEX('Debt Schedule'!$F$12:$F$108,MATCH(Model!CU4,'Debt Schedule'!$B$12:$B$108,0)),0)</f>
        <v>0</v>
      </c>
      <c r="CV45" s="24">
        <f>+IFERROR(INDEX('Debt Schedule'!$F$12:$F$108,MATCH(Model!CV4,'Debt Schedule'!$B$12:$B$108,0)),0)</f>
        <v>0</v>
      </c>
      <c r="CW45" s="24">
        <f>+IFERROR(INDEX('Debt Schedule'!$F$12:$F$108,MATCH(Model!CW4,'Debt Schedule'!$B$12:$B$108,0)),0)</f>
        <v>0</v>
      </c>
      <c r="CX45" s="24">
        <f>+IFERROR(INDEX('Debt Schedule'!$F$12:$F$108,MATCH(Model!CX4,'Debt Schedule'!$B$12:$B$108,0)),0)</f>
        <v>0</v>
      </c>
      <c r="CY45" s="24">
        <f>+IFERROR(INDEX('Debt Schedule'!$F$12:$F$108,MATCH(Model!CY4,'Debt Schedule'!$B$12:$B$108,0)),0)</f>
        <v>0</v>
      </c>
      <c r="CZ45" s="24">
        <f>+IFERROR(INDEX('Debt Schedule'!$F$12:$F$108,MATCH(Model!CZ4,'Debt Schedule'!$B$12:$B$108,0)),0)</f>
        <v>0</v>
      </c>
      <c r="DA45" s="24">
        <f>+IFERROR(INDEX('Debt Schedule'!$F$12:$F$108,MATCH(Model!DA4,'Debt Schedule'!$B$12:$B$108,0)),0)</f>
        <v>0</v>
      </c>
      <c r="DB45" s="24">
        <f>+IFERROR(INDEX('Debt Schedule'!$F$12:$F$108,MATCH(Model!DB4,'Debt Schedule'!$B$12:$B$108,0)),0)</f>
        <v>0</v>
      </c>
      <c r="DC45" s="24">
        <f>+IFERROR(INDEX('Debt Schedule'!$F$12:$F$108,MATCH(Model!DC4,'Debt Schedule'!$B$12:$B$108,0)),0)</f>
        <v>0</v>
      </c>
      <c r="DD45" s="24">
        <f>+IFERROR(INDEX('Debt Schedule'!$F$12:$F$108,MATCH(Model!DD4,'Debt Schedule'!$B$12:$B$108,0)),0)</f>
        <v>0</v>
      </c>
      <c r="DE45" s="24">
        <f>+IFERROR(INDEX('Debt Schedule'!$F$12:$F$108,MATCH(Model!DE4,'Debt Schedule'!$B$12:$B$108,0)),0)</f>
        <v>0</v>
      </c>
      <c r="DF45" s="24">
        <f>+IFERROR(INDEX('Debt Schedule'!$F$12:$F$108,MATCH(Model!DF4,'Debt Schedule'!$B$12:$B$108,0)),0)</f>
        <v>0</v>
      </c>
      <c r="DG45" s="24">
        <f>+IFERROR(INDEX('Debt Schedule'!$F$12:$F$108,MATCH(Model!DG4,'Debt Schedule'!$B$12:$B$108,0)),0)</f>
        <v>0</v>
      </c>
      <c r="DH45" s="24">
        <f>+IFERROR(INDEX('Debt Schedule'!$F$12:$F$108,MATCH(Model!DH4,'Debt Schedule'!$B$12:$B$108,0)),0)</f>
        <v>0</v>
      </c>
      <c r="DI45" s="24">
        <f>+IFERROR(INDEX('Debt Schedule'!$F$12:$F$108,MATCH(Model!DI4,'Debt Schedule'!$B$12:$B$108,0)),0)</f>
        <v>0</v>
      </c>
      <c r="DJ45" s="24">
        <f>+IFERROR(INDEX('Debt Schedule'!$F$12:$F$108,MATCH(Model!DJ4,'Debt Schedule'!$B$12:$B$108,0)),0)</f>
        <v>0</v>
      </c>
      <c r="DK45" s="24">
        <f>+IFERROR(INDEX('Debt Schedule'!$F$12:$F$108,MATCH(Model!DK4,'Debt Schedule'!$B$12:$B$108,0)),0)</f>
        <v>0</v>
      </c>
      <c r="DL45" s="24">
        <f>+IFERROR(INDEX('Debt Schedule'!$F$12:$F$108,MATCH(Model!DL4,'Debt Schedule'!$B$12:$B$108,0)),0)</f>
        <v>0</v>
      </c>
      <c r="DM45" s="24">
        <f>+IFERROR(INDEX('Debt Schedule'!$F$12:$F$108,MATCH(Model!DM4,'Debt Schedule'!$B$12:$B$108,0)),0)</f>
        <v>0</v>
      </c>
      <c r="DN45" s="24">
        <f>+IFERROR(INDEX('Debt Schedule'!$F$12:$F$108,MATCH(Model!DN4,'Debt Schedule'!$B$12:$B$108,0)),0)</f>
        <v>0</v>
      </c>
      <c r="DO45" s="24">
        <f>+IFERROR(INDEX('Debt Schedule'!$F$12:$F$108,MATCH(Model!DO4,'Debt Schedule'!$B$12:$B$108,0)),0)</f>
        <v>0</v>
      </c>
      <c r="DP45" s="24">
        <f>+IFERROR(INDEX('Debt Schedule'!$F$12:$F$108,MATCH(Model!DP4,'Debt Schedule'!$B$12:$B$108,0)),0)</f>
        <v>0</v>
      </c>
      <c r="DQ45" s="24">
        <f>+IFERROR(INDEX('Debt Schedule'!$F$12:$F$108,MATCH(Model!DQ4,'Debt Schedule'!$B$12:$B$108,0)),0)</f>
        <v>0</v>
      </c>
      <c r="DR45" s="24">
        <f>+IFERROR(INDEX('Debt Schedule'!$F$12:$F$108,MATCH(Model!DR4,'Debt Schedule'!$B$12:$B$108,0)),0)</f>
        <v>0</v>
      </c>
      <c r="DS45" s="24">
        <f>+IFERROR(INDEX('Debt Schedule'!$F$12:$F$108,MATCH(Model!DS4,'Debt Schedule'!$B$12:$B$108,0)),0)</f>
        <v>0</v>
      </c>
      <c r="DT45" s="24">
        <f>+IFERROR(INDEX('Debt Schedule'!$F$12:$F$108,MATCH(Model!DT4,'Debt Schedule'!$B$12:$B$108,0)),0)</f>
        <v>0</v>
      </c>
      <c r="DU45" s="24">
        <f>+IFERROR(INDEX('Debt Schedule'!$F$12:$F$108,MATCH(Model!DU4,'Debt Schedule'!$B$12:$B$108,0)),0)</f>
        <v>0</v>
      </c>
      <c r="DV45" s="24">
        <f>+IFERROR(INDEX('Debt Schedule'!$F$12:$F$108,MATCH(Model!DV4,'Debt Schedule'!$B$12:$B$108,0)),0)</f>
        <v>0</v>
      </c>
      <c r="DW45" s="24">
        <f>+IFERROR(INDEX('Debt Schedule'!$F$12:$F$108,MATCH(Model!DW4,'Debt Schedule'!$B$12:$B$108,0)),0)</f>
        <v>0</v>
      </c>
      <c r="DX45" s="24">
        <f>+IFERROR(INDEX('Debt Schedule'!$F$12:$F$108,MATCH(Model!DX4,'Debt Schedule'!$B$12:$B$108,0)),0)</f>
        <v>0</v>
      </c>
      <c r="DY45" s="24">
        <f>+IFERROR(INDEX('Debt Schedule'!$F$12:$F$108,MATCH(Model!DY4,'Debt Schedule'!$B$12:$B$108,0)),0)</f>
        <v>0</v>
      </c>
      <c r="DZ45" s="24">
        <f>+IFERROR(INDEX('Debt Schedule'!$F$12:$F$108,MATCH(Model!DZ4,'Debt Schedule'!$B$12:$B$108,0)),0)</f>
        <v>0</v>
      </c>
      <c r="EA45" s="24">
        <f>+IFERROR(INDEX('Debt Schedule'!$F$12:$F$108,MATCH(Model!EA4,'Debt Schedule'!$B$12:$B$108,0)),0)</f>
        <v>0</v>
      </c>
      <c r="EB45" s="24">
        <f>+IFERROR(INDEX('Debt Schedule'!$F$12:$F$108,MATCH(Model!EB4,'Debt Schedule'!$B$12:$B$108,0)),0)</f>
        <v>0</v>
      </c>
      <c r="EC45" s="24">
        <f>+IFERROR(INDEX('Debt Schedule'!$F$12:$F$108,MATCH(Model!EC4,'Debt Schedule'!$B$12:$B$108,0)),0)</f>
        <v>0</v>
      </c>
      <c r="ED45" s="24">
        <f>+IFERROR(INDEX('Debt Schedule'!$F$12:$F$108,MATCH(Model!ED4,'Debt Schedule'!$B$12:$B$108,0)),0)</f>
        <v>0</v>
      </c>
      <c r="EE45" s="24">
        <f>+IFERROR(INDEX('Debt Schedule'!$F$12:$F$108,MATCH(Model!EE4,'Debt Schedule'!$B$12:$B$108,0)),0)</f>
        <v>0</v>
      </c>
      <c r="EF45" s="24">
        <f>+IFERROR(INDEX('Debt Schedule'!$F$12:$F$108,MATCH(Model!EF4,'Debt Schedule'!$B$12:$B$108,0)),0)</f>
        <v>0</v>
      </c>
      <c r="EG45" s="24">
        <f>+IFERROR(INDEX('Debt Schedule'!$F$12:$F$108,MATCH(Model!EG4,'Debt Schedule'!$B$12:$B$108,0)),0)</f>
        <v>0</v>
      </c>
      <c r="EH45" s="24">
        <f>+IFERROR(INDEX('Debt Schedule'!$F$12:$F$108,MATCH(Model!EH4,'Debt Schedule'!$B$12:$B$108,0)),0)</f>
        <v>0</v>
      </c>
      <c r="EI45" s="24">
        <f>+IFERROR(INDEX('Debt Schedule'!$F$12:$F$108,MATCH(Model!EI4,'Debt Schedule'!$B$12:$B$108,0)),0)</f>
        <v>0</v>
      </c>
    </row>
    <row r="46" spans="2:143" x14ac:dyDescent="0.45">
      <c r="D46" s="1" t="s">
        <v>38</v>
      </c>
      <c r="G46" s="24">
        <f t="shared" ref="G46:AE46" si="412">-MIN(G40,SUM(G43:G45))</f>
        <v>0</v>
      </c>
      <c r="H46" s="24">
        <f t="shared" si="412"/>
        <v>0</v>
      </c>
      <c r="I46" s="24">
        <f t="shared" si="412"/>
        <v>0</v>
      </c>
      <c r="J46" s="24">
        <f t="shared" si="412"/>
        <v>0</v>
      </c>
      <c r="K46" s="24">
        <f t="shared" si="412"/>
        <v>0</v>
      </c>
      <c r="L46" s="24">
        <f t="shared" si="412"/>
        <v>0</v>
      </c>
      <c r="M46" s="24">
        <f t="shared" si="412"/>
        <v>0</v>
      </c>
      <c r="N46" s="24">
        <f t="shared" si="412"/>
        <v>0</v>
      </c>
      <c r="O46" s="24">
        <f t="shared" si="412"/>
        <v>0</v>
      </c>
      <c r="P46" s="24">
        <f t="shared" si="412"/>
        <v>0</v>
      </c>
      <c r="Q46" s="24">
        <f t="shared" si="412"/>
        <v>0</v>
      </c>
      <c r="R46" s="24">
        <f t="shared" si="412"/>
        <v>0</v>
      </c>
      <c r="S46" s="24">
        <f t="shared" si="412"/>
        <v>0</v>
      </c>
      <c r="T46" s="24">
        <f t="shared" si="412"/>
        <v>0</v>
      </c>
      <c r="U46" s="24">
        <f t="shared" si="412"/>
        <v>0</v>
      </c>
      <c r="V46" s="24">
        <f t="shared" si="412"/>
        <v>0</v>
      </c>
      <c r="W46" s="24">
        <f t="shared" si="412"/>
        <v>0</v>
      </c>
      <c r="X46" s="24">
        <f t="shared" si="412"/>
        <v>0</v>
      </c>
      <c r="Y46" s="24">
        <f t="shared" si="412"/>
        <v>0</v>
      </c>
      <c r="Z46" s="24">
        <f t="shared" si="412"/>
        <v>0</v>
      </c>
      <c r="AA46" s="24">
        <f t="shared" si="412"/>
        <v>0</v>
      </c>
      <c r="AB46" s="24">
        <f t="shared" si="412"/>
        <v>0</v>
      </c>
      <c r="AC46" s="24">
        <f t="shared" si="412"/>
        <v>0</v>
      </c>
      <c r="AD46" s="24">
        <f t="shared" si="412"/>
        <v>0</v>
      </c>
      <c r="AE46" s="24">
        <f t="shared" si="412"/>
        <v>0</v>
      </c>
      <c r="AF46" s="24">
        <f>-MIN(AF40,SUM(AF43:AF45))</f>
        <v>0</v>
      </c>
      <c r="AG46" s="24">
        <f t="shared" ref="AG46:CR46" si="413">-MIN(AG40,SUM(AG43:AG45))</f>
        <v>0</v>
      </c>
      <c r="AH46" s="24">
        <f t="shared" si="413"/>
        <v>0</v>
      </c>
      <c r="AI46" s="24">
        <f t="shared" si="413"/>
        <v>0</v>
      </c>
      <c r="AJ46" s="24">
        <f t="shared" si="413"/>
        <v>0</v>
      </c>
      <c r="AK46" s="24">
        <f t="shared" si="413"/>
        <v>0</v>
      </c>
      <c r="AL46" s="24">
        <f t="shared" si="413"/>
        <v>0</v>
      </c>
      <c r="AM46" s="24">
        <f t="shared" si="413"/>
        <v>0</v>
      </c>
      <c r="AN46" s="24">
        <f t="shared" si="413"/>
        <v>-11061858.185494566</v>
      </c>
      <c r="AO46" s="24">
        <f t="shared" si="413"/>
        <v>0</v>
      </c>
      <c r="AP46" s="24">
        <f t="shared" si="413"/>
        <v>0</v>
      </c>
      <c r="AQ46" s="24">
        <f t="shared" si="413"/>
        <v>0</v>
      </c>
      <c r="AR46" s="24">
        <f t="shared" si="413"/>
        <v>0</v>
      </c>
      <c r="AS46" s="24">
        <f t="shared" si="413"/>
        <v>0</v>
      </c>
      <c r="AT46" s="24">
        <f t="shared" si="413"/>
        <v>0</v>
      </c>
      <c r="AU46" s="24">
        <f t="shared" si="413"/>
        <v>0</v>
      </c>
      <c r="AV46" s="24">
        <f t="shared" si="413"/>
        <v>0</v>
      </c>
      <c r="AW46" s="24">
        <f t="shared" si="413"/>
        <v>0</v>
      </c>
      <c r="AX46" s="24">
        <f t="shared" si="413"/>
        <v>0</v>
      </c>
      <c r="AY46" s="24">
        <f t="shared" si="413"/>
        <v>0</v>
      </c>
      <c r="AZ46" s="24">
        <f t="shared" si="413"/>
        <v>0</v>
      </c>
      <c r="BA46" s="24">
        <f t="shared" si="413"/>
        <v>0</v>
      </c>
      <c r="BB46" s="24">
        <f t="shared" si="413"/>
        <v>0</v>
      </c>
      <c r="BC46" s="24">
        <f t="shared" si="413"/>
        <v>0</v>
      </c>
      <c r="BD46" s="24">
        <f t="shared" si="413"/>
        <v>0</v>
      </c>
      <c r="BE46" s="24">
        <f t="shared" si="413"/>
        <v>0</v>
      </c>
      <c r="BF46" s="24">
        <f t="shared" si="413"/>
        <v>0</v>
      </c>
      <c r="BG46" s="24">
        <f t="shared" si="413"/>
        <v>0</v>
      </c>
      <c r="BH46" s="24">
        <f t="shared" si="413"/>
        <v>0</v>
      </c>
      <c r="BI46" s="24">
        <f t="shared" si="413"/>
        <v>0</v>
      </c>
      <c r="BJ46" s="24">
        <f t="shared" si="413"/>
        <v>0</v>
      </c>
      <c r="BK46" s="24">
        <f t="shared" si="413"/>
        <v>0</v>
      </c>
      <c r="BL46" s="24">
        <f t="shared" si="413"/>
        <v>0</v>
      </c>
      <c r="BM46" s="24">
        <f t="shared" si="413"/>
        <v>0</v>
      </c>
      <c r="BN46" s="24">
        <f t="shared" si="413"/>
        <v>0</v>
      </c>
      <c r="BO46" s="24">
        <f t="shared" si="413"/>
        <v>0</v>
      </c>
      <c r="BP46" s="24">
        <f t="shared" si="413"/>
        <v>0</v>
      </c>
      <c r="BQ46" s="24">
        <f t="shared" si="413"/>
        <v>0</v>
      </c>
      <c r="BR46" s="24">
        <f t="shared" si="413"/>
        <v>0</v>
      </c>
      <c r="BS46" s="24">
        <f t="shared" si="413"/>
        <v>0</v>
      </c>
      <c r="BT46" s="24">
        <f t="shared" si="413"/>
        <v>0</v>
      </c>
      <c r="BU46" s="24">
        <f t="shared" si="413"/>
        <v>0</v>
      </c>
      <c r="BV46" s="24">
        <f t="shared" si="413"/>
        <v>0</v>
      </c>
      <c r="BW46" s="24">
        <f t="shared" si="413"/>
        <v>0</v>
      </c>
      <c r="BX46" s="24">
        <f t="shared" si="413"/>
        <v>0</v>
      </c>
      <c r="BY46" s="24">
        <f t="shared" si="413"/>
        <v>0</v>
      </c>
      <c r="BZ46" s="24">
        <f t="shared" si="413"/>
        <v>0</v>
      </c>
      <c r="CA46" s="24">
        <f t="shared" si="413"/>
        <v>0</v>
      </c>
      <c r="CB46" s="24">
        <f t="shared" si="413"/>
        <v>0</v>
      </c>
      <c r="CC46" s="24">
        <f t="shared" si="413"/>
        <v>0</v>
      </c>
      <c r="CD46" s="24">
        <f t="shared" si="413"/>
        <v>0</v>
      </c>
      <c r="CE46" s="24">
        <f t="shared" si="413"/>
        <v>0</v>
      </c>
      <c r="CF46" s="24">
        <f t="shared" si="413"/>
        <v>0</v>
      </c>
      <c r="CG46" s="24">
        <f t="shared" si="413"/>
        <v>0</v>
      </c>
      <c r="CH46" s="24">
        <f t="shared" si="413"/>
        <v>0</v>
      </c>
      <c r="CI46" s="24">
        <f t="shared" si="413"/>
        <v>0</v>
      </c>
      <c r="CJ46" s="24">
        <f t="shared" si="413"/>
        <v>0</v>
      </c>
      <c r="CK46" s="24">
        <f t="shared" si="413"/>
        <v>0</v>
      </c>
      <c r="CL46" s="24">
        <f t="shared" si="413"/>
        <v>0</v>
      </c>
      <c r="CM46" s="24">
        <f t="shared" si="413"/>
        <v>0</v>
      </c>
      <c r="CN46" s="24">
        <f t="shared" si="413"/>
        <v>0</v>
      </c>
      <c r="CO46" s="24">
        <f t="shared" si="413"/>
        <v>0</v>
      </c>
      <c r="CP46" s="24">
        <f t="shared" si="413"/>
        <v>0</v>
      </c>
      <c r="CQ46" s="24">
        <f t="shared" si="413"/>
        <v>0</v>
      </c>
      <c r="CR46" s="24">
        <f t="shared" si="413"/>
        <v>0</v>
      </c>
      <c r="CS46" s="24">
        <f t="shared" ref="CS46:CV46" si="414">-MIN(CS40,SUM(CS43:CS45))</f>
        <v>0</v>
      </c>
      <c r="CT46" s="24">
        <f t="shared" si="414"/>
        <v>0</v>
      </c>
      <c r="CU46" s="24">
        <f t="shared" si="414"/>
        <v>0</v>
      </c>
      <c r="CV46" s="24">
        <f t="shared" si="414"/>
        <v>0</v>
      </c>
      <c r="CW46" s="24">
        <f t="shared" ref="CW46:EI46" si="415">-MIN(CW40,SUM(CW43:CW45))</f>
        <v>0</v>
      </c>
      <c r="CX46" s="24">
        <f t="shared" si="415"/>
        <v>0</v>
      </c>
      <c r="CY46" s="24">
        <f t="shared" si="415"/>
        <v>0</v>
      </c>
      <c r="CZ46" s="24">
        <f t="shared" si="415"/>
        <v>0</v>
      </c>
      <c r="DA46" s="24">
        <f t="shared" si="415"/>
        <v>0</v>
      </c>
      <c r="DB46" s="24">
        <f t="shared" si="415"/>
        <v>0</v>
      </c>
      <c r="DC46" s="24">
        <f t="shared" si="415"/>
        <v>0</v>
      </c>
      <c r="DD46" s="24">
        <f t="shared" si="415"/>
        <v>0</v>
      </c>
      <c r="DE46" s="24">
        <f t="shared" si="415"/>
        <v>0</v>
      </c>
      <c r="DF46" s="24">
        <f t="shared" si="415"/>
        <v>0</v>
      </c>
      <c r="DG46" s="24">
        <f t="shared" si="415"/>
        <v>0</v>
      </c>
      <c r="DH46" s="24">
        <f t="shared" si="415"/>
        <v>0</v>
      </c>
      <c r="DI46" s="24">
        <f t="shared" si="415"/>
        <v>0</v>
      </c>
      <c r="DJ46" s="24">
        <f t="shared" si="415"/>
        <v>0</v>
      </c>
      <c r="DK46" s="24">
        <f t="shared" si="415"/>
        <v>0</v>
      </c>
      <c r="DL46" s="24">
        <f t="shared" si="415"/>
        <v>0</v>
      </c>
      <c r="DM46" s="24">
        <f t="shared" si="415"/>
        <v>0</v>
      </c>
      <c r="DN46" s="24">
        <f t="shared" si="415"/>
        <v>0</v>
      </c>
      <c r="DO46" s="24">
        <f t="shared" si="415"/>
        <v>0</v>
      </c>
      <c r="DP46" s="24">
        <f t="shared" si="415"/>
        <v>0</v>
      </c>
      <c r="DQ46" s="24">
        <f t="shared" si="415"/>
        <v>0</v>
      </c>
      <c r="DR46" s="24">
        <f t="shared" si="415"/>
        <v>0</v>
      </c>
      <c r="DS46" s="24">
        <f t="shared" si="415"/>
        <v>0</v>
      </c>
      <c r="DT46" s="24">
        <f t="shared" si="415"/>
        <v>0</v>
      </c>
      <c r="DU46" s="24">
        <f t="shared" si="415"/>
        <v>0</v>
      </c>
      <c r="DV46" s="24">
        <f t="shared" si="415"/>
        <v>0</v>
      </c>
      <c r="DW46" s="24">
        <f t="shared" si="415"/>
        <v>0</v>
      </c>
      <c r="DX46" s="24">
        <f t="shared" si="415"/>
        <v>0</v>
      </c>
      <c r="DY46" s="24">
        <f t="shared" si="415"/>
        <v>0</v>
      </c>
      <c r="DZ46" s="24">
        <f t="shared" si="415"/>
        <v>0</v>
      </c>
      <c r="EA46" s="24">
        <f t="shared" si="415"/>
        <v>0</v>
      </c>
      <c r="EB46" s="24">
        <f t="shared" si="415"/>
        <v>0</v>
      </c>
      <c r="EC46" s="24">
        <f t="shared" si="415"/>
        <v>0</v>
      </c>
      <c r="ED46" s="24">
        <f t="shared" si="415"/>
        <v>0</v>
      </c>
      <c r="EE46" s="24">
        <f t="shared" si="415"/>
        <v>0</v>
      </c>
      <c r="EF46" s="24">
        <f t="shared" si="415"/>
        <v>0</v>
      </c>
      <c r="EG46" s="24">
        <f t="shared" si="415"/>
        <v>0</v>
      </c>
      <c r="EH46" s="24">
        <f t="shared" si="415"/>
        <v>0</v>
      </c>
      <c r="EI46" s="24">
        <f t="shared" si="415"/>
        <v>0</v>
      </c>
      <c r="EM46" s="1" t="s">
        <v>191</v>
      </c>
    </row>
    <row r="47" spans="2:143" s="8" customFormat="1" x14ac:dyDescent="0.45">
      <c r="D47" s="4" t="s">
        <v>39</v>
      </c>
      <c r="E47" s="4"/>
      <c r="F47" s="4"/>
      <c r="G47" s="26">
        <f>SUM(G43:G46)</f>
        <v>11250000</v>
      </c>
      <c r="H47" s="26">
        <f>SUM(H43:H46)</f>
        <v>11245023.19836501</v>
      </c>
      <c r="I47" s="26">
        <f t="shared" ref="I47:S47" si="416">SUM(I43:I46)</f>
        <v>11240004.923383063</v>
      </c>
      <c r="J47" s="26">
        <f t="shared" si="416"/>
        <v>11234944.829442931</v>
      </c>
      <c r="K47" s="26">
        <f t="shared" si="416"/>
        <v>11229842.5680533</v>
      </c>
      <c r="L47" s="26">
        <f t="shared" si="416"/>
        <v>11224697.787818754</v>
      </c>
      <c r="M47" s="26">
        <f t="shared" si="416"/>
        <v>11219510.134415587</v>
      </c>
      <c r="N47" s="26">
        <f t="shared" si="416"/>
        <v>11214279.250567393</v>
      </c>
      <c r="O47" s="26">
        <f t="shared" si="416"/>
        <v>11209004.776020465</v>
      </c>
      <c r="P47" s="26">
        <f t="shared" si="416"/>
        <v>11203686.347518979</v>
      </c>
      <c r="Q47" s="26">
        <f t="shared" si="416"/>
        <v>11198323.59877998</v>
      </c>
      <c r="R47" s="26">
        <f t="shared" si="416"/>
        <v>11192916.160468157</v>
      </c>
      <c r="S47" s="26">
        <f t="shared" si="416"/>
        <v>11187463.660170402</v>
      </c>
      <c r="T47" s="26">
        <f t="shared" ref="T47:W47" si="417">SUM(T43:T46)</f>
        <v>11181965.722370166</v>
      </c>
      <c r="U47" s="26">
        <f t="shared" si="417"/>
        <v>11176421.968421595</v>
      </c>
      <c r="V47" s="26">
        <f t="shared" si="417"/>
        <v>11170832.016523452</v>
      </c>
      <c r="W47" s="26">
        <f t="shared" si="417"/>
        <v>11165195.481692825</v>
      </c>
      <c r="X47" s="26">
        <f t="shared" ref="X47:BM47" si="418">SUM(X43:X46)</f>
        <v>11159511.975738607</v>
      </c>
      <c r="Y47" s="26">
        <f t="shared" si="418"/>
        <v>11153781.107234772</v>
      </c>
      <c r="Z47" s="26">
        <f t="shared" si="418"/>
        <v>11148002.481493406</v>
      </c>
      <c r="AA47" s="26">
        <f t="shared" si="418"/>
        <v>11142175.700537527</v>
      </c>
      <c r="AB47" s="26">
        <f t="shared" si="418"/>
        <v>11136300.363073682</v>
      </c>
      <c r="AC47" s="26">
        <f t="shared" si="418"/>
        <v>11130376.064464306</v>
      </c>
      <c r="AD47" s="26">
        <f t="shared" si="418"/>
        <v>11124402.396699853</v>
      </c>
      <c r="AE47" s="26">
        <f t="shared" si="418"/>
        <v>11118378.948370695</v>
      </c>
      <c r="AF47" s="26">
        <f t="shared" si="418"/>
        <v>11112305.304638794</v>
      </c>
      <c r="AG47" s="26">
        <f t="shared" si="418"/>
        <v>11106181.047209127</v>
      </c>
      <c r="AH47" s="26">
        <f t="shared" si="418"/>
        <v>11100005.754300879</v>
      </c>
      <c r="AI47" s="26">
        <f t="shared" si="418"/>
        <v>11093779.000618396</v>
      </c>
      <c r="AJ47" s="26">
        <f t="shared" si="418"/>
        <v>11087500.357321894</v>
      </c>
      <c r="AK47" s="26">
        <f t="shared" si="418"/>
        <v>11081169.39199792</v>
      </c>
      <c r="AL47" s="26">
        <f t="shared" si="418"/>
        <v>11074785.668629579</v>
      </c>
      <c r="AM47" s="26">
        <f t="shared" si="418"/>
        <v>11068348.747566503</v>
      </c>
      <c r="AN47" s="26">
        <f t="shared" si="418"/>
        <v>0</v>
      </c>
      <c r="AO47" s="26">
        <f t="shared" si="418"/>
        <v>0</v>
      </c>
      <c r="AP47" s="26">
        <f t="shared" si="418"/>
        <v>0</v>
      </c>
      <c r="AQ47" s="26">
        <f t="shared" si="418"/>
        <v>0</v>
      </c>
      <c r="AR47" s="26">
        <f t="shared" si="418"/>
        <v>0</v>
      </c>
      <c r="AS47" s="26">
        <f t="shared" si="418"/>
        <v>0</v>
      </c>
      <c r="AT47" s="26">
        <f t="shared" si="418"/>
        <v>0</v>
      </c>
      <c r="AU47" s="26">
        <f t="shared" si="418"/>
        <v>0</v>
      </c>
      <c r="AV47" s="26">
        <f t="shared" si="418"/>
        <v>0</v>
      </c>
      <c r="AW47" s="26">
        <f t="shared" si="418"/>
        <v>0</v>
      </c>
      <c r="AX47" s="26">
        <f t="shared" si="418"/>
        <v>0</v>
      </c>
      <c r="AY47" s="26">
        <f t="shared" si="418"/>
        <v>0</v>
      </c>
      <c r="AZ47" s="26">
        <f t="shared" si="418"/>
        <v>0</v>
      </c>
      <c r="BA47" s="26">
        <f t="shared" si="418"/>
        <v>0</v>
      </c>
      <c r="BB47" s="26">
        <f t="shared" si="418"/>
        <v>0</v>
      </c>
      <c r="BC47" s="26">
        <f t="shared" si="418"/>
        <v>0</v>
      </c>
      <c r="BD47" s="26">
        <f t="shared" si="418"/>
        <v>0</v>
      </c>
      <c r="BE47" s="26">
        <f t="shared" si="418"/>
        <v>0</v>
      </c>
      <c r="BF47" s="26">
        <f t="shared" si="418"/>
        <v>0</v>
      </c>
      <c r="BG47" s="26">
        <f t="shared" si="418"/>
        <v>0</v>
      </c>
      <c r="BH47" s="26">
        <f t="shared" si="418"/>
        <v>0</v>
      </c>
      <c r="BI47" s="26">
        <f t="shared" si="418"/>
        <v>0</v>
      </c>
      <c r="BJ47" s="26">
        <f t="shared" si="418"/>
        <v>0</v>
      </c>
      <c r="BK47" s="26">
        <f t="shared" si="418"/>
        <v>0</v>
      </c>
      <c r="BL47" s="26">
        <f t="shared" si="418"/>
        <v>0</v>
      </c>
      <c r="BM47" s="26">
        <f t="shared" si="418"/>
        <v>0</v>
      </c>
      <c r="BN47" s="26">
        <f t="shared" ref="BN47:CE47" si="419">SUM(BN43:BN46)</f>
        <v>0</v>
      </c>
      <c r="BO47" s="26">
        <f t="shared" si="419"/>
        <v>0</v>
      </c>
      <c r="BP47" s="26">
        <f t="shared" si="419"/>
        <v>0</v>
      </c>
      <c r="BQ47" s="26">
        <f t="shared" si="419"/>
        <v>0</v>
      </c>
      <c r="BR47" s="26">
        <f t="shared" si="419"/>
        <v>0</v>
      </c>
      <c r="BS47" s="26">
        <f t="shared" si="419"/>
        <v>0</v>
      </c>
      <c r="BT47" s="26">
        <f t="shared" si="419"/>
        <v>0</v>
      </c>
      <c r="BU47" s="26">
        <f t="shared" si="419"/>
        <v>0</v>
      </c>
      <c r="BV47" s="26">
        <f t="shared" si="419"/>
        <v>0</v>
      </c>
      <c r="BW47" s="26">
        <f t="shared" si="419"/>
        <v>0</v>
      </c>
      <c r="BX47" s="26">
        <f t="shared" si="419"/>
        <v>0</v>
      </c>
      <c r="BY47" s="26">
        <f t="shared" si="419"/>
        <v>0</v>
      </c>
      <c r="BZ47" s="26">
        <f t="shared" si="419"/>
        <v>0</v>
      </c>
      <c r="CA47" s="26">
        <f t="shared" si="419"/>
        <v>0</v>
      </c>
      <c r="CB47" s="26">
        <f t="shared" si="419"/>
        <v>0</v>
      </c>
      <c r="CC47" s="26">
        <f t="shared" si="419"/>
        <v>0</v>
      </c>
      <c r="CD47" s="26">
        <f t="shared" si="419"/>
        <v>0</v>
      </c>
      <c r="CE47" s="26">
        <f t="shared" si="419"/>
        <v>0</v>
      </c>
      <c r="CF47" s="26">
        <f t="shared" ref="CF47:CV47" si="420">SUM(CF43:CF46)</f>
        <v>0</v>
      </c>
      <c r="CG47" s="26">
        <f t="shared" si="420"/>
        <v>0</v>
      </c>
      <c r="CH47" s="26">
        <f t="shared" si="420"/>
        <v>0</v>
      </c>
      <c r="CI47" s="26">
        <f t="shared" si="420"/>
        <v>0</v>
      </c>
      <c r="CJ47" s="26">
        <f t="shared" si="420"/>
        <v>0</v>
      </c>
      <c r="CK47" s="26">
        <f t="shared" si="420"/>
        <v>0</v>
      </c>
      <c r="CL47" s="26">
        <f t="shared" si="420"/>
        <v>0</v>
      </c>
      <c r="CM47" s="26">
        <f t="shared" si="420"/>
        <v>0</v>
      </c>
      <c r="CN47" s="26">
        <f t="shared" si="420"/>
        <v>0</v>
      </c>
      <c r="CO47" s="26">
        <f t="shared" si="420"/>
        <v>0</v>
      </c>
      <c r="CP47" s="26">
        <f t="shared" si="420"/>
        <v>0</v>
      </c>
      <c r="CQ47" s="26">
        <f t="shared" si="420"/>
        <v>0</v>
      </c>
      <c r="CR47" s="26">
        <f t="shared" si="420"/>
        <v>0</v>
      </c>
      <c r="CS47" s="26">
        <f t="shared" si="420"/>
        <v>0</v>
      </c>
      <c r="CT47" s="26">
        <f t="shared" si="420"/>
        <v>0</v>
      </c>
      <c r="CU47" s="26">
        <f t="shared" si="420"/>
        <v>0</v>
      </c>
      <c r="CV47" s="26">
        <f t="shared" si="420"/>
        <v>0</v>
      </c>
      <c r="CW47" s="26">
        <f t="shared" ref="CW47:EI47" si="421">SUM(CW43:CW46)</f>
        <v>0</v>
      </c>
      <c r="CX47" s="26">
        <f t="shared" si="421"/>
        <v>0</v>
      </c>
      <c r="CY47" s="26">
        <f t="shared" si="421"/>
        <v>0</v>
      </c>
      <c r="CZ47" s="26">
        <f t="shared" si="421"/>
        <v>0</v>
      </c>
      <c r="DA47" s="26">
        <f t="shared" si="421"/>
        <v>0</v>
      </c>
      <c r="DB47" s="26">
        <f t="shared" si="421"/>
        <v>0</v>
      </c>
      <c r="DC47" s="26">
        <f t="shared" si="421"/>
        <v>0</v>
      </c>
      <c r="DD47" s="26">
        <f t="shared" si="421"/>
        <v>0</v>
      </c>
      <c r="DE47" s="26">
        <f t="shared" si="421"/>
        <v>0</v>
      </c>
      <c r="DF47" s="26">
        <f t="shared" si="421"/>
        <v>0</v>
      </c>
      <c r="DG47" s="26">
        <f t="shared" si="421"/>
        <v>0</v>
      </c>
      <c r="DH47" s="26">
        <f t="shared" si="421"/>
        <v>0</v>
      </c>
      <c r="DI47" s="26">
        <f t="shared" si="421"/>
        <v>0</v>
      </c>
      <c r="DJ47" s="26">
        <f t="shared" si="421"/>
        <v>0</v>
      </c>
      <c r="DK47" s="26">
        <f t="shared" si="421"/>
        <v>0</v>
      </c>
      <c r="DL47" s="26">
        <f t="shared" si="421"/>
        <v>0</v>
      </c>
      <c r="DM47" s="26">
        <f t="shared" si="421"/>
        <v>0</v>
      </c>
      <c r="DN47" s="26">
        <f t="shared" si="421"/>
        <v>0</v>
      </c>
      <c r="DO47" s="26">
        <f t="shared" si="421"/>
        <v>0</v>
      </c>
      <c r="DP47" s="26">
        <f t="shared" si="421"/>
        <v>0</v>
      </c>
      <c r="DQ47" s="26">
        <f t="shared" si="421"/>
        <v>0</v>
      </c>
      <c r="DR47" s="26">
        <f t="shared" si="421"/>
        <v>0</v>
      </c>
      <c r="DS47" s="26">
        <f t="shared" si="421"/>
        <v>0</v>
      </c>
      <c r="DT47" s="26">
        <f t="shared" si="421"/>
        <v>0</v>
      </c>
      <c r="DU47" s="26">
        <f t="shared" si="421"/>
        <v>0</v>
      </c>
      <c r="DV47" s="26">
        <f t="shared" si="421"/>
        <v>0</v>
      </c>
      <c r="DW47" s="26">
        <f t="shared" si="421"/>
        <v>0</v>
      </c>
      <c r="DX47" s="26">
        <f t="shared" si="421"/>
        <v>0</v>
      </c>
      <c r="DY47" s="26">
        <f t="shared" si="421"/>
        <v>0</v>
      </c>
      <c r="DZ47" s="26">
        <f t="shared" si="421"/>
        <v>0</v>
      </c>
      <c r="EA47" s="26">
        <f t="shared" si="421"/>
        <v>0</v>
      </c>
      <c r="EB47" s="26">
        <f t="shared" si="421"/>
        <v>0</v>
      </c>
      <c r="EC47" s="26">
        <f t="shared" si="421"/>
        <v>0</v>
      </c>
      <c r="ED47" s="26">
        <f t="shared" si="421"/>
        <v>0</v>
      </c>
      <c r="EE47" s="26">
        <f t="shared" si="421"/>
        <v>0</v>
      </c>
      <c r="EF47" s="26">
        <f t="shared" si="421"/>
        <v>0</v>
      </c>
      <c r="EG47" s="26">
        <f t="shared" si="421"/>
        <v>0</v>
      </c>
      <c r="EH47" s="26">
        <f t="shared" si="421"/>
        <v>0</v>
      </c>
      <c r="EI47" s="26">
        <f t="shared" si="421"/>
        <v>0</v>
      </c>
      <c r="EM47" s="1" t="s">
        <v>191</v>
      </c>
    </row>
    <row r="48" spans="2:143" x14ac:dyDescent="0.45"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M48" s="1" t="s">
        <v>191</v>
      </c>
    </row>
    <row r="49" spans="2:143" x14ac:dyDescent="0.45">
      <c r="B49" s="6">
        <f>SUM(G49:R49)</f>
        <v>-6774996.413660964</v>
      </c>
      <c r="D49" s="1" t="s">
        <v>269</v>
      </c>
      <c r="G49" s="24">
        <f t="shared" ref="G49:R49" si="422">SUM(G38:G40,G44:G46)</f>
        <v>-5651390.8349986859</v>
      </c>
      <c r="H49" s="24">
        <f t="shared" si="422"/>
        <v>-4976.8016349898635</v>
      </c>
      <c r="I49" s="24">
        <f t="shared" si="422"/>
        <v>-102670.44889499158</v>
      </c>
      <c r="J49" s="24">
        <f t="shared" si="422"/>
        <v>-102712.26785317449</v>
      </c>
      <c r="K49" s="24">
        <f t="shared" si="422"/>
        <v>-102754.43530267557</v>
      </c>
      <c r="L49" s="24">
        <f t="shared" si="422"/>
        <v>-150296.95414758916</v>
      </c>
      <c r="M49" s="24">
        <f t="shared" si="422"/>
        <v>-140339.82731621037</v>
      </c>
      <c r="N49" s="24">
        <f t="shared" si="422"/>
        <v>-102883.05776123678</v>
      </c>
      <c r="O49" s="24">
        <f t="shared" si="422"/>
        <v>-102926.64845997172</v>
      </c>
      <c r="P49" s="24">
        <f t="shared" si="422"/>
        <v>-102970.60241452947</v>
      </c>
      <c r="Q49" s="24">
        <f t="shared" si="422"/>
        <v>-108014.92265204185</v>
      </c>
      <c r="R49" s="24">
        <f t="shared" si="422"/>
        <v>-103059.61222486683</v>
      </c>
      <c r="S49" s="24">
        <f>SUM(S38:S40,S44:S46)</f>
        <v>-102104.67421079869</v>
      </c>
      <c r="T49" s="24">
        <f>SUM(T38:T40,T44:T46)</f>
        <v>-102150.11171327998</v>
      </c>
      <c r="U49" s="24">
        <f>SUM(U38:U40,U44:U46)</f>
        <v>-102195.92786161529</v>
      </c>
      <c r="V49" s="24">
        <f t="shared" ref="V49:CG49" si="423">SUM(V38:V40,V44:V46)</f>
        <v>-102242.12581118672</v>
      </c>
      <c r="W49" s="24">
        <f t="shared" si="423"/>
        <v>-102288.70874367125</v>
      </c>
      <c r="X49" s="24">
        <f t="shared" si="423"/>
        <v>-102335.67986725981</v>
      </c>
      <c r="Y49" s="24">
        <f t="shared" si="423"/>
        <v>-102383.04241687828</v>
      </c>
      <c r="Z49" s="24">
        <f t="shared" si="423"/>
        <v>-102430.79965441024</v>
      </c>
      <c r="AA49" s="24">
        <f t="shared" si="423"/>
        <v>-102478.95486892163</v>
      </c>
      <c r="AB49" s="24">
        <f t="shared" si="423"/>
        <v>-102527.51137688728</v>
      </c>
      <c r="AC49" s="24">
        <f t="shared" si="423"/>
        <v>-102576.47252241931</v>
      </c>
      <c r="AD49" s="24">
        <f t="shared" si="423"/>
        <v>-102625.84167749745</v>
      </c>
      <c r="AE49" s="24">
        <f t="shared" si="423"/>
        <v>-336975.62224220124</v>
      </c>
      <c r="AF49" s="24">
        <f t="shared" si="423"/>
        <v>-6073.6437319007373</v>
      </c>
      <c r="AG49" s="24">
        <f t="shared" si="423"/>
        <v>-6124.2574296665762</v>
      </c>
      <c r="AH49" s="24">
        <f t="shared" si="423"/>
        <v>-6175.292908247131</v>
      </c>
      <c r="AI49" s="24">
        <f t="shared" si="423"/>
        <v>-6226.7536824825238</v>
      </c>
      <c r="AJ49" s="24">
        <f t="shared" si="423"/>
        <v>-6278.6432965032118</v>
      </c>
      <c r="AK49" s="24">
        <f t="shared" si="423"/>
        <v>-6330.9653239740719</v>
      </c>
      <c r="AL49" s="24">
        <f t="shared" si="423"/>
        <v>-6383.723368340522</v>
      </c>
      <c r="AM49" s="24">
        <f t="shared" si="423"/>
        <v>-6436.9210630766929</v>
      </c>
      <c r="AN49" s="24">
        <f t="shared" si="423"/>
        <v>9403271.6628402118</v>
      </c>
      <c r="AO49" s="24">
        <f t="shared" si="423"/>
        <v>0</v>
      </c>
      <c r="AP49" s="24">
        <f t="shared" si="423"/>
        <v>0</v>
      </c>
      <c r="AQ49" s="24">
        <f t="shared" si="423"/>
        <v>0</v>
      </c>
      <c r="AR49" s="24">
        <f t="shared" si="423"/>
        <v>0</v>
      </c>
      <c r="AS49" s="24">
        <f t="shared" si="423"/>
        <v>0</v>
      </c>
      <c r="AT49" s="24">
        <f t="shared" si="423"/>
        <v>0</v>
      </c>
      <c r="AU49" s="24">
        <f t="shared" si="423"/>
        <v>0</v>
      </c>
      <c r="AV49" s="24">
        <f t="shared" si="423"/>
        <v>0</v>
      </c>
      <c r="AW49" s="24">
        <f t="shared" si="423"/>
        <v>0</v>
      </c>
      <c r="AX49" s="24">
        <f t="shared" si="423"/>
        <v>0</v>
      </c>
      <c r="AY49" s="24">
        <f t="shared" si="423"/>
        <v>0</v>
      </c>
      <c r="AZ49" s="24">
        <f t="shared" si="423"/>
        <v>0</v>
      </c>
      <c r="BA49" s="24">
        <f t="shared" si="423"/>
        <v>0</v>
      </c>
      <c r="BB49" s="24">
        <f t="shared" si="423"/>
        <v>0</v>
      </c>
      <c r="BC49" s="24">
        <f t="shared" si="423"/>
        <v>0</v>
      </c>
      <c r="BD49" s="24">
        <f t="shared" si="423"/>
        <v>0</v>
      </c>
      <c r="BE49" s="24">
        <f t="shared" si="423"/>
        <v>0</v>
      </c>
      <c r="BF49" s="24">
        <f t="shared" si="423"/>
        <v>0</v>
      </c>
      <c r="BG49" s="24">
        <f t="shared" si="423"/>
        <v>0</v>
      </c>
      <c r="BH49" s="24">
        <f t="shared" si="423"/>
        <v>0</v>
      </c>
      <c r="BI49" s="24">
        <f t="shared" si="423"/>
        <v>0</v>
      </c>
      <c r="BJ49" s="24">
        <f t="shared" si="423"/>
        <v>0</v>
      </c>
      <c r="BK49" s="24">
        <f t="shared" si="423"/>
        <v>0</v>
      </c>
      <c r="BL49" s="24">
        <f t="shared" si="423"/>
        <v>0</v>
      </c>
      <c r="BM49" s="24">
        <f t="shared" si="423"/>
        <v>0</v>
      </c>
      <c r="BN49" s="24">
        <f t="shared" si="423"/>
        <v>0</v>
      </c>
      <c r="BO49" s="24">
        <f t="shared" si="423"/>
        <v>0</v>
      </c>
      <c r="BP49" s="24">
        <f t="shared" si="423"/>
        <v>0</v>
      </c>
      <c r="BQ49" s="24">
        <f t="shared" si="423"/>
        <v>0</v>
      </c>
      <c r="BR49" s="24">
        <f t="shared" si="423"/>
        <v>0</v>
      </c>
      <c r="BS49" s="24">
        <f t="shared" si="423"/>
        <v>0</v>
      </c>
      <c r="BT49" s="24">
        <f t="shared" si="423"/>
        <v>0</v>
      </c>
      <c r="BU49" s="24">
        <f t="shared" si="423"/>
        <v>0</v>
      </c>
      <c r="BV49" s="24">
        <f t="shared" si="423"/>
        <v>0</v>
      </c>
      <c r="BW49" s="24">
        <f t="shared" si="423"/>
        <v>0</v>
      </c>
      <c r="BX49" s="24">
        <f t="shared" si="423"/>
        <v>0</v>
      </c>
      <c r="BY49" s="24">
        <f t="shared" si="423"/>
        <v>0</v>
      </c>
      <c r="BZ49" s="24">
        <f t="shared" si="423"/>
        <v>0</v>
      </c>
      <c r="CA49" s="24">
        <f t="shared" si="423"/>
        <v>0</v>
      </c>
      <c r="CB49" s="24">
        <f t="shared" si="423"/>
        <v>0</v>
      </c>
      <c r="CC49" s="24">
        <f t="shared" si="423"/>
        <v>0</v>
      </c>
      <c r="CD49" s="24">
        <f t="shared" si="423"/>
        <v>0</v>
      </c>
      <c r="CE49" s="24">
        <f t="shared" si="423"/>
        <v>0</v>
      </c>
      <c r="CF49" s="24">
        <f t="shared" si="423"/>
        <v>0</v>
      </c>
      <c r="CG49" s="24">
        <f t="shared" si="423"/>
        <v>0</v>
      </c>
      <c r="CH49" s="24">
        <f t="shared" ref="CH49:CV49" si="424">SUM(CH38:CH40,CH44:CH46)</f>
        <v>0</v>
      </c>
      <c r="CI49" s="24">
        <f t="shared" si="424"/>
        <v>0</v>
      </c>
      <c r="CJ49" s="24">
        <f t="shared" si="424"/>
        <v>0</v>
      </c>
      <c r="CK49" s="24">
        <f t="shared" si="424"/>
        <v>0</v>
      </c>
      <c r="CL49" s="24">
        <f t="shared" si="424"/>
        <v>0</v>
      </c>
      <c r="CM49" s="24">
        <f t="shared" si="424"/>
        <v>0</v>
      </c>
      <c r="CN49" s="24">
        <f t="shared" si="424"/>
        <v>0</v>
      </c>
      <c r="CO49" s="24">
        <f t="shared" si="424"/>
        <v>0</v>
      </c>
      <c r="CP49" s="24">
        <f t="shared" si="424"/>
        <v>0</v>
      </c>
      <c r="CQ49" s="24">
        <f t="shared" si="424"/>
        <v>0</v>
      </c>
      <c r="CR49" s="24">
        <f t="shared" si="424"/>
        <v>0</v>
      </c>
      <c r="CS49" s="24">
        <f t="shared" si="424"/>
        <v>0</v>
      </c>
      <c r="CT49" s="24">
        <f t="shared" si="424"/>
        <v>0</v>
      </c>
      <c r="CU49" s="24">
        <f t="shared" si="424"/>
        <v>0</v>
      </c>
      <c r="CV49" s="24">
        <f t="shared" si="424"/>
        <v>0</v>
      </c>
      <c r="CW49" s="24">
        <f t="shared" ref="CW49:EI49" si="425">SUM(CW38:CW40,CW44:CW46)</f>
        <v>0</v>
      </c>
      <c r="CX49" s="24">
        <f t="shared" si="425"/>
        <v>0</v>
      </c>
      <c r="CY49" s="24">
        <f t="shared" si="425"/>
        <v>0</v>
      </c>
      <c r="CZ49" s="24">
        <f t="shared" si="425"/>
        <v>0</v>
      </c>
      <c r="DA49" s="24">
        <f t="shared" si="425"/>
        <v>0</v>
      </c>
      <c r="DB49" s="24">
        <f t="shared" si="425"/>
        <v>0</v>
      </c>
      <c r="DC49" s="24">
        <f t="shared" si="425"/>
        <v>0</v>
      </c>
      <c r="DD49" s="24">
        <f t="shared" si="425"/>
        <v>0</v>
      </c>
      <c r="DE49" s="24">
        <f t="shared" si="425"/>
        <v>0</v>
      </c>
      <c r="DF49" s="24">
        <f t="shared" si="425"/>
        <v>0</v>
      </c>
      <c r="DG49" s="24">
        <f t="shared" si="425"/>
        <v>0</v>
      </c>
      <c r="DH49" s="24">
        <f t="shared" si="425"/>
        <v>0</v>
      </c>
      <c r="DI49" s="24">
        <f t="shared" si="425"/>
        <v>0</v>
      </c>
      <c r="DJ49" s="24">
        <f t="shared" si="425"/>
        <v>0</v>
      </c>
      <c r="DK49" s="24">
        <f t="shared" si="425"/>
        <v>0</v>
      </c>
      <c r="DL49" s="24">
        <f t="shared" si="425"/>
        <v>0</v>
      </c>
      <c r="DM49" s="24">
        <f t="shared" si="425"/>
        <v>0</v>
      </c>
      <c r="DN49" s="24">
        <f t="shared" si="425"/>
        <v>0</v>
      </c>
      <c r="DO49" s="24">
        <f t="shared" si="425"/>
        <v>0</v>
      </c>
      <c r="DP49" s="24">
        <f t="shared" si="425"/>
        <v>0</v>
      </c>
      <c r="DQ49" s="24">
        <f t="shared" si="425"/>
        <v>0</v>
      </c>
      <c r="DR49" s="24">
        <f t="shared" si="425"/>
        <v>0</v>
      </c>
      <c r="DS49" s="24">
        <f t="shared" si="425"/>
        <v>0</v>
      </c>
      <c r="DT49" s="24">
        <f t="shared" si="425"/>
        <v>0</v>
      </c>
      <c r="DU49" s="24">
        <f t="shared" si="425"/>
        <v>0</v>
      </c>
      <c r="DV49" s="24">
        <f t="shared" si="425"/>
        <v>0</v>
      </c>
      <c r="DW49" s="24">
        <f t="shared" si="425"/>
        <v>0</v>
      </c>
      <c r="DX49" s="24">
        <f t="shared" si="425"/>
        <v>0</v>
      </c>
      <c r="DY49" s="24">
        <f t="shared" si="425"/>
        <v>0</v>
      </c>
      <c r="DZ49" s="24">
        <f t="shared" si="425"/>
        <v>0</v>
      </c>
      <c r="EA49" s="24">
        <f t="shared" si="425"/>
        <v>0</v>
      </c>
      <c r="EB49" s="24">
        <f t="shared" si="425"/>
        <v>0</v>
      </c>
      <c r="EC49" s="24">
        <f t="shared" si="425"/>
        <v>0</v>
      </c>
      <c r="ED49" s="24">
        <f t="shared" si="425"/>
        <v>0</v>
      </c>
      <c r="EE49" s="24">
        <f t="shared" si="425"/>
        <v>0</v>
      </c>
      <c r="EF49" s="24">
        <f t="shared" si="425"/>
        <v>0</v>
      </c>
      <c r="EG49" s="24">
        <f t="shared" si="425"/>
        <v>0</v>
      </c>
      <c r="EH49" s="24">
        <f t="shared" si="425"/>
        <v>0</v>
      </c>
      <c r="EI49" s="24">
        <f t="shared" si="425"/>
        <v>0</v>
      </c>
      <c r="EM49" s="1" t="s">
        <v>191</v>
      </c>
    </row>
    <row r="50" spans="2:143" x14ac:dyDescent="0.45"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M50" s="1" t="s">
        <v>191</v>
      </c>
    </row>
    <row r="51" spans="2:143" x14ac:dyDescent="0.45">
      <c r="B51" s="11"/>
      <c r="D51" s="1" t="s">
        <v>292</v>
      </c>
      <c r="G51" s="24">
        <f>-G80</f>
        <v>0</v>
      </c>
      <c r="H51" s="24">
        <f t="shared" ref="H51" si="426">-H80</f>
        <v>93750</v>
      </c>
      <c r="I51" s="24">
        <f t="shared" ref="I51:S51" si="427">-I80</f>
        <v>93708.526653041758</v>
      </c>
      <c r="J51" s="24">
        <f t="shared" si="427"/>
        <v>93666.707694858851</v>
      </c>
      <c r="K51" s="24">
        <f t="shared" si="427"/>
        <v>93624.540245357755</v>
      </c>
      <c r="L51" s="24">
        <f t="shared" si="427"/>
        <v>93582.021400444166</v>
      </c>
      <c r="M51" s="24">
        <f t="shared" si="427"/>
        <v>93539.148231822954</v>
      </c>
      <c r="N51" s="24">
        <f t="shared" si="427"/>
        <v>93495.917786796563</v>
      </c>
      <c r="O51" s="24">
        <f t="shared" si="427"/>
        <v>93452.327088061604</v>
      </c>
      <c r="P51" s="24">
        <f t="shared" si="427"/>
        <v>93408.373133503876</v>
      </c>
      <c r="Q51" s="24">
        <f t="shared" si="427"/>
        <v>93364.052895991481</v>
      </c>
      <c r="R51" s="24">
        <f t="shared" si="427"/>
        <v>93319.363323166501</v>
      </c>
      <c r="S51" s="24">
        <f t="shared" si="427"/>
        <v>93274.301337234647</v>
      </c>
      <c r="T51" s="24">
        <f t="shared" ref="T51:CE51" si="428">-T80</f>
        <v>93228.863834753356</v>
      </c>
      <c r="U51" s="24">
        <f t="shared" si="428"/>
        <v>93183.047686418038</v>
      </c>
      <c r="V51" s="24">
        <f t="shared" si="428"/>
        <v>93136.849736846605</v>
      </c>
      <c r="W51" s="24">
        <f t="shared" si="428"/>
        <v>93090.266804362094</v>
      </c>
      <c r="X51" s="24">
        <f t="shared" ref="X51:BM51" si="429">-X80</f>
        <v>93043.295680773517</v>
      </c>
      <c r="Y51" s="24">
        <f t="shared" si="429"/>
        <v>92995.933131155063</v>
      </c>
      <c r="Z51" s="24">
        <f t="shared" si="429"/>
        <v>92948.175893623105</v>
      </c>
      <c r="AA51" s="24">
        <f t="shared" si="429"/>
        <v>92900.020679111694</v>
      </c>
      <c r="AB51" s="24">
        <f t="shared" si="429"/>
        <v>92851.464171146057</v>
      </c>
      <c r="AC51" s="24">
        <f t="shared" si="429"/>
        <v>92802.503025614016</v>
      </c>
      <c r="AD51" s="24">
        <f t="shared" si="429"/>
        <v>92753.133870535879</v>
      </c>
      <c r="AE51" s="24">
        <f t="shared" si="429"/>
        <v>92703.353305832105</v>
      </c>
      <c r="AF51" s="24">
        <f t="shared" si="429"/>
        <v>92653.15790308913</v>
      </c>
      <c r="AG51" s="24">
        <f t="shared" si="429"/>
        <v>92602.544205323298</v>
      </c>
      <c r="AH51" s="24">
        <f t="shared" si="429"/>
        <v>92551.50872674273</v>
      </c>
      <c r="AI51" s="24">
        <f t="shared" si="429"/>
        <v>92500.047952507346</v>
      </c>
      <c r="AJ51" s="24">
        <f t="shared" si="429"/>
        <v>92448.158338486654</v>
      </c>
      <c r="AK51" s="24">
        <f t="shared" si="429"/>
        <v>92395.836311015795</v>
      </c>
      <c r="AL51" s="24">
        <f t="shared" si="429"/>
        <v>92343.078266649332</v>
      </c>
      <c r="AM51" s="24">
        <f t="shared" si="429"/>
        <v>92289.880571913163</v>
      </c>
      <c r="AN51" s="24">
        <f t="shared" si="429"/>
        <v>92236.239563054187</v>
      </c>
      <c r="AO51" s="24">
        <f t="shared" si="429"/>
        <v>0</v>
      </c>
      <c r="AP51" s="24">
        <f t="shared" si="429"/>
        <v>0</v>
      </c>
      <c r="AQ51" s="24">
        <f t="shared" si="429"/>
        <v>0</v>
      </c>
      <c r="AR51" s="24">
        <f t="shared" si="429"/>
        <v>0</v>
      </c>
      <c r="AS51" s="24">
        <f t="shared" si="429"/>
        <v>0</v>
      </c>
      <c r="AT51" s="24">
        <f t="shared" si="429"/>
        <v>0</v>
      </c>
      <c r="AU51" s="24">
        <f t="shared" si="429"/>
        <v>0</v>
      </c>
      <c r="AV51" s="24">
        <f t="shared" si="429"/>
        <v>0</v>
      </c>
      <c r="AW51" s="24">
        <f t="shared" si="429"/>
        <v>0</v>
      </c>
      <c r="AX51" s="24">
        <f t="shared" si="429"/>
        <v>0</v>
      </c>
      <c r="AY51" s="24">
        <f t="shared" si="429"/>
        <v>0</v>
      </c>
      <c r="AZ51" s="24">
        <f t="shared" si="429"/>
        <v>0</v>
      </c>
      <c r="BA51" s="24">
        <f t="shared" si="429"/>
        <v>0</v>
      </c>
      <c r="BB51" s="24">
        <f t="shared" si="429"/>
        <v>0</v>
      </c>
      <c r="BC51" s="24">
        <f t="shared" si="429"/>
        <v>0</v>
      </c>
      <c r="BD51" s="24">
        <f t="shared" si="429"/>
        <v>0</v>
      </c>
      <c r="BE51" s="24">
        <f t="shared" si="429"/>
        <v>0</v>
      </c>
      <c r="BF51" s="24">
        <f t="shared" si="429"/>
        <v>0</v>
      </c>
      <c r="BG51" s="24">
        <f t="shared" si="429"/>
        <v>0</v>
      </c>
      <c r="BH51" s="24">
        <f t="shared" si="429"/>
        <v>0</v>
      </c>
      <c r="BI51" s="24">
        <f t="shared" si="429"/>
        <v>0</v>
      </c>
      <c r="BJ51" s="24">
        <f t="shared" si="429"/>
        <v>0</v>
      </c>
      <c r="BK51" s="24">
        <f t="shared" si="429"/>
        <v>0</v>
      </c>
      <c r="BL51" s="24">
        <f t="shared" si="429"/>
        <v>0</v>
      </c>
      <c r="BM51" s="24">
        <f t="shared" si="429"/>
        <v>0</v>
      </c>
      <c r="BN51" s="24">
        <f t="shared" si="428"/>
        <v>0</v>
      </c>
      <c r="BO51" s="24">
        <f t="shared" si="428"/>
        <v>0</v>
      </c>
      <c r="BP51" s="24">
        <f t="shared" si="428"/>
        <v>0</v>
      </c>
      <c r="BQ51" s="24">
        <f t="shared" si="428"/>
        <v>0</v>
      </c>
      <c r="BR51" s="24">
        <f t="shared" si="428"/>
        <v>0</v>
      </c>
      <c r="BS51" s="24">
        <f t="shared" si="428"/>
        <v>0</v>
      </c>
      <c r="BT51" s="24">
        <f t="shared" si="428"/>
        <v>0</v>
      </c>
      <c r="BU51" s="24">
        <f t="shared" si="428"/>
        <v>0</v>
      </c>
      <c r="BV51" s="24">
        <f t="shared" si="428"/>
        <v>0</v>
      </c>
      <c r="BW51" s="24">
        <f t="shared" si="428"/>
        <v>0</v>
      </c>
      <c r="BX51" s="24">
        <f t="shared" si="428"/>
        <v>0</v>
      </c>
      <c r="BY51" s="24">
        <f t="shared" si="428"/>
        <v>0</v>
      </c>
      <c r="BZ51" s="24">
        <f t="shared" si="428"/>
        <v>0</v>
      </c>
      <c r="CA51" s="24">
        <f t="shared" si="428"/>
        <v>0</v>
      </c>
      <c r="CB51" s="24">
        <f t="shared" si="428"/>
        <v>0</v>
      </c>
      <c r="CC51" s="24">
        <f t="shared" si="428"/>
        <v>0</v>
      </c>
      <c r="CD51" s="24">
        <f t="shared" si="428"/>
        <v>0</v>
      </c>
      <c r="CE51" s="24">
        <f t="shared" si="428"/>
        <v>0</v>
      </c>
      <c r="CF51" s="24">
        <f t="shared" ref="CF51:CV51" si="430">-CF80</f>
        <v>0</v>
      </c>
      <c r="CG51" s="24">
        <f t="shared" si="430"/>
        <v>0</v>
      </c>
      <c r="CH51" s="24">
        <f t="shared" si="430"/>
        <v>0</v>
      </c>
      <c r="CI51" s="24">
        <f t="shared" si="430"/>
        <v>0</v>
      </c>
      <c r="CJ51" s="24">
        <f t="shared" si="430"/>
        <v>0</v>
      </c>
      <c r="CK51" s="24">
        <f t="shared" si="430"/>
        <v>0</v>
      </c>
      <c r="CL51" s="24">
        <f t="shared" si="430"/>
        <v>0</v>
      </c>
      <c r="CM51" s="24">
        <f t="shared" si="430"/>
        <v>0</v>
      </c>
      <c r="CN51" s="24">
        <f t="shared" si="430"/>
        <v>0</v>
      </c>
      <c r="CO51" s="24">
        <f t="shared" si="430"/>
        <v>0</v>
      </c>
      <c r="CP51" s="24">
        <f t="shared" si="430"/>
        <v>0</v>
      </c>
      <c r="CQ51" s="24">
        <f t="shared" si="430"/>
        <v>0</v>
      </c>
      <c r="CR51" s="24">
        <f t="shared" si="430"/>
        <v>0</v>
      </c>
      <c r="CS51" s="24">
        <f t="shared" si="430"/>
        <v>0</v>
      </c>
      <c r="CT51" s="24">
        <f t="shared" si="430"/>
        <v>0</v>
      </c>
      <c r="CU51" s="24">
        <f t="shared" si="430"/>
        <v>0</v>
      </c>
      <c r="CV51" s="24">
        <f t="shared" si="430"/>
        <v>0</v>
      </c>
      <c r="CW51" s="24">
        <f t="shared" ref="CW51:EI51" si="431">-CW80</f>
        <v>0</v>
      </c>
      <c r="CX51" s="24">
        <f t="shared" si="431"/>
        <v>0</v>
      </c>
      <c r="CY51" s="24">
        <f t="shared" si="431"/>
        <v>0</v>
      </c>
      <c r="CZ51" s="24">
        <f t="shared" si="431"/>
        <v>0</v>
      </c>
      <c r="DA51" s="24">
        <f t="shared" si="431"/>
        <v>0</v>
      </c>
      <c r="DB51" s="24">
        <f t="shared" si="431"/>
        <v>0</v>
      </c>
      <c r="DC51" s="24">
        <f t="shared" si="431"/>
        <v>0</v>
      </c>
      <c r="DD51" s="24">
        <f t="shared" si="431"/>
        <v>0</v>
      </c>
      <c r="DE51" s="24">
        <f t="shared" si="431"/>
        <v>0</v>
      </c>
      <c r="DF51" s="24">
        <f t="shared" si="431"/>
        <v>0</v>
      </c>
      <c r="DG51" s="24">
        <f t="shared" si="431"/>
        <v>0</v>
      </c>
      <c r="DH51" s="24">
        <f t="shared" si="431"/>
        <v>0</v>
      </c>
      <c r="DI51" s="24">
        <f t="shared" si="431"/>
        <v>0</v>
      </c>
      <c r="DJ51" s="24">
        <f t="shared" si="431"/>
        <v>0</v>
      </c>
      <c r="DK51" s="24">
        <f t="shared" si="431"/>
        <v>0</v>
      </c>
      <c r="DL51" s="24">
        <f t="shared" si="431"/>
        <v>0</v>
      </c>
      <c r="DM51" s="24">
        <f t="shared" si="431"/>
        <v>0</v>
      </c>
      <c r="DN51" s="24">
        <f t="shared" si="431"/>
        <v>0</v>
      </c>
      <c r="DO51" s="24">
        <f t="shared" si="431"/>
        <v>0</v>
      </c>
      <c r="DP51" s="24">
        <f t="shared" si="431"/>
        <v>0</v>
      </c>
      <c r="DQ51" s="24">
        <f t="shared" si="431"/>
        <v>0</v>
      </c>
      <c r="DR51" s="24">
        <f t="shared" si="431"/>
        <v>0</v>
      </c>
      <c r="DS51" s="24">
        <f t="shared" si="431"/>
        <v>0</v>
      </c>
      <c r="DT51" s="24">
        <f t="shared" si="431"/>
        <v>0</v>
      </c>
      <c r="DU51" s="24">
        <f t="shared" si="431"/>
        <v>0</v>
      </c>
      <c r="DV51" s="24">
        <f t="shared" si="431"/>
        <v>0</v>
      </c>
      <c r="DW51" s="24">
        <f t="shared" si="431"/>
        <v>0</v>
      </c>
      <c r="DX51" s="24">
        <f t="shared" si="431"/>
        <v>0</v>
      </c>
      <c r="DY51" s="24">
        <f t="shared" si="431"/>
        <v>0</v>
      </c>
      <c r="DZ51" s="24">
        <f t="shared" si="431"/>
        <v>0</v>
      </c>
      <c r="EA51" s="24">
        <f t="shared" si="431"/>
        <v>0</v>
      </c>
      <c r="EB51" s="24">
        <f t="shared" si="431"/>
        <v>0</v>
      </c>
      <c r="EC51" s="24">
        <f t="shared" si="431"/>
        <v>0</v>
      </c>
      <c r="ED51" s="24">
        <f t="shared" si="431"/>
        <v>0</v>
      </c>
      <c r="EE51" s="24">
        <f t="shared" si="431"/>
        <v>0</v>
      </c>
      <c r="EF51" s="24">
        <f t="shared" si="431"/>
        <v>0</v>
      </c>
      <c r="EG51" s="24">
        <f t="shared" si="431"/>
        <v>0</v>
      </c>
      <c r="EH51" s="24">
        <f t="shared" si="431"/>
        <v>0</v>
      </c>
      <c r="EI51" s="24">
        <f t="shared" si="431"/>
        <v>0</v>
      </c>
      <c r="EM51" s="1" t="s">
        <v>191</v>
      </c>
    </row>
    <row r="52" spans="2:143" x14ac:dyDescent="0.45">
      <c r="D52" s="1" t="s">
        <v>264</v>
      </c>
      <c r="G52" s="24">
        <f t="shared" ref="G52:M52" si="432">-MIN(G30+G45+G46+G58,G51)</f>
        <v>0</v>
      </c>
      <c r="H52" s="24">
        <f t="shared" si="432"/>
        <v>-74123.325400565736</v>
      </c>
      <c r="I52" s="24">
        <f t="shared" si="432"/>
        <v>-69509.478270883148</v>
      </c>
      <c r="J52" s="24">
        <f t="shared" si="432"/>
        <v>-64876.059557046348</v>
      </c>
      <c r="K52" s="24">
        <f t="shared" si="432"/>
        <v>-60223.006361025698</v>
      </c>
      <c r="L52" s="24">
        <f t="shared" si="432"/>
        <v>-62835.910485186745</v>
      </c>
      <c r="M52" s="24">
        <f t="shared" si="432"/>
        <v>-66964.600383218494</v>
      </c>
      <c r="N52" s="24">
        <f t="shared" ref="N52:AS52" si="433">-MIN(N30+N45+N46+N58,N51)</f>
        <v>-69600.882924160847</v>
      </c>
      <c r="O52" s="24">
        <f t="shared" si="433"/>
        <v>-72247.650053273712</v>
      </c>
      <c r="P52" s="24">
        <f t="shared" si="433"/>
        <v>-74904.932314395395</v>
      </c>
      <c r="Q52" s="24">
        <f t="shared" si="433"/>
        <v>-77572.760319033507</v>
      </c>
      <c r="R52" s="24">
        <f t="shared" si="433"/>
        <v>-80251.164746396724</v>
      </c>
      <c r="S52" s="24">
        <f t="shared" si="433"/>
        <v>-82940.176343425774</v>
      </c>
      <c r="T52" s="24">
        <f t="shared" si="433"/>
        <v>-85639.825924823585</v>
      </c>
      <c r="U52" s="24">
        <f t="shared" si="433"/>
        <v>-88350.144373083589</v>
      </c>
      <c r="V52" s="24">
        <f t="shared" si="433"/>
        <v>-91071.16263851714</v>
      </c>
      <c r="W52" s="24">
        <f t="shared" si="433"/>
        <v>-93090.266804362094</v>
      </c>
      <c r="X52" s="24">
        <f t="shared" si="433"/>
        <v>-93043.295680773517</v>
      </c>
      <c r="Y52" s="24">
        <f t="shared" si="433"/>
        <v>-92995.933131155063</v>
      </c>
      <c r="Z52" s="24">
        <f t="shared" si="433"/>
        <v>-92948.175893623105</v>
      </c>
      <c r="AA52" s="24">
        <f t="shared" si="433"/>
        <v>-92900.020679111694</v>
      </c>
      <c r="AB52" s="24">
        <f t="shared" si="433"/>
        <v>-92851.464171146057</v>
      </c>
      <c r="AC52" s="24">
        <f t="shared" si="433"/>
        <v>-92802.503025614016</v>
      </c>
      <c r="AD52" s="24">
        <f t="shared" si="433"/>
        <v>-92753.133870535879</v>
      </c>
      <c r="AE52" s="24">
        <f t="shared" si="433"/>
        <v>-92703.353305832105</v>
      </c>
      <c r="AF52" s="24">
        <f t="shared" si="433"/>
        <v>-92653.15790308913</v>
      </c>
      <c r="AG52" s="24">
        <f t="shared" si="433"/>
        <v>-92602.544205323298</v>
      </c>
      <c r="AH52" s="24">
        <f t="shared" si="433"/>
        <v>-92551.50872674273</v>
      </c>
      <c r="AI52" s="24">
        <f t="shared" si="433"/>
        <v>-92500.047952507346</v>
      </c>
      <c r="AJ52" s="24">
        <f t="shared" si="433"/>
        <v>-92448.158338486654</v>
      </c>
      <c r="AK52" s="24">
        <f t="shared" si="433"/>
        <v>-92395.836311015795</v>
      </c>
      <c r="AL52" s="24">
        <f t="shared" si="433"/>
        <v>-92343.078266649332</v>
      </c>
      <c r="AM52" s="24">
        <f t="shared" si="433"/>
        <v>-92289.880571913163</v>
      </c>
      <c r="AN52" s="24">
        <f t="shared" si="433"/>
        <v>-92236.239563054187</v>
      </c>
      <c r="AO52" s="24">
        <f t="shared" si="433"/>
        <v>0</v>
      </c>
      <c r="AP52" s="24">
        <f t="shared" si="433"/>
        <v>0</v>
      </c>
      <c r="AQ52" s="24">
        <f t="shared" si="433"/>
        <v>0</v>
      </c>
      <c r="AR52" s="24">
        <f t="shared" si="433"/>
        <v>0</v>
      </c>
      <c r="AS52" s="24">
        <f t="shared" si="433"/>
        <v>0</v>
      </c>
      <c r="AT52" s="24">
        <f t="shared" ref="AT52:BY52" si="434">-MIN(AT30+AT45+AT46+AT58,AT51)</f>
        <v>0</v>
      </c>
      <c r="AU52" s="24">
        <f t="shared" si="434"/>
        <v>0</v>
      </c>
      <c r="AV52" s="24">
        <f t="shared" si="434"/>
        <v>0</v>
      </c>
      <c r="AW52" s="24">
        <f t="shared" si="434"/>
        <v>0</v>
      </c>
      <c r="AX52" s="24">
        <f t="shared" si="434"/>
        <v>0</v>
      </c>
      <c r="AY52" s="24">
        <f t="shared" si="434"/>
        <v>0</v>
      </c>
      <c r="AZ52" s="24">
        <f t="shared" si="434"/>
        <v>0</v>
      </c>
      <c r="BA52" s="24">
        <f t="shared" si="434"/>
        <v>0</v>
      </c>
      <c r="BB52" s="24">
        <f t="shared" si="434"/>
        <v>0</v>
      </c>
      <c r="BC52" s="24">
        <f t="shared" si="434"/>
        <v>0</v>
      </c>
      <c r="BD52" s="24">
        <f t="shared" si="434"/>
        <v>0</v>
      </c>
      <c r="BE52" s="24">
        <f t="shared" si="434"/>
        <v>0</v>
      </c>
      <c r="BF52" s="24">
        <f t="shared" si="434"/>
        <v>0</v>
      </c>
      <c r="BG52" s="24">
        <f t="shared" si="434"/>
        <v>0</v>
      </c>
      <c r="BH52" s="24">
        <f t="shared" si="434"/>
        <v>0</v>
      </c>
      <c r="BI52" s="24">
        <f t="shared" si="434"/>
        <v>0</v>
      </c>
      <c r="BJ52" s="24">
        <f t="shared" si="434"/>
        <v>0</v>
      </c>
      <c r="BK52" s="24">
        <f t="shared" si="434"/>
        <v>0</v>
      </c>
      <c r="BL52" s="24">
        <f t="shared" si="434"/>
        <v>0</v>
      </c>
      <c r="BM52" s="24">
        <f t="shared" si="434"/>
        <v>0</v>
      </c>
      <c r="BN52" s="24">
        <f t="shared" si="434"/>
        <v>0</v>
      </c>
      <c r="BO52" s="24">
        <f t="shared" si="434"/>
        <v>0</v>
      </c>
      <c r="BP52" s="24">
        <f t="shared" si="434"/>
        <v>0</v>
      </c>
      <c r="BQ52" s="24">
        <f t="shared" si="434"/>
        <v>0</v>
      </c>
      <c r="BR52" s="24">
        <f t="shared" si="434"/>
        <v>0</v>
      </c>
      <c r="BS52" s="24">
        <f t="shared" si="434"/>
        <v>0</v>
      </c>
      <c r="BT52" s="24">
        <f t="shared" si="434"/>
        <v>0</v>
      </c>
      <c r="BU52" s="24">
        <f t="shared" si="434"/>
        <v>0</v>
      </c>
      <c r="BV52" s="24">
        <f t="shared" si="434"/>
        <v>0</v>
      </c>
      <c r="BW52" s="24">
        <f t="shared" si="434"/>
        <v>0</v>
      </c>
      <c r="BX52" s="24">
        <f t="shared" si="434"/>
        <v>0</v>
      </c>
      <c r="BY52" s="24">
        <f t="shared" si="434"/>
        <v>0</v>
      </c>
      <c r="BZ52" s="24">
        <f t="shared" ref="BZ52:CV52" si="435">-MIN(BZ30+BZ45+BZ46+BZ58,BZ51)</f>
        <v>0</v>
      </c>
      <c r="CA52" s="24">
        <f t="shared" si="435"/>
        <v>0</v>
      </c>
      <c r="CB52" s="24">
        <f t="shared" si="435"/>
        <v>0</v>
      </c>
      <c r="CC52" s="24">
        <f t="shared" si="435"/>
        <v>0</v>
      </c>
      <c r="CD52" s="24">
        <f t="shared" si="435"/>
        <v>0</v>
      </c>
      <c r="CE52" s="24">
        <f t="shared" si="435"/>
        <v>0</v>
      </c>
      <c r="CF52" s="24">
        <f t="shared" si="435"/>
        <v>0</v>
      </c>
      <c r="CG52" s="24">
        <f t="shared" si="435"/>
        <v>0</v>
      </c>
      <c r="CH52" s="24">
        <f t="shared" si="435"/>
        <v>0</v>
      </c>
      <c r="CI52" s="24">
        <f t="shared" si="435"/>
        <v>0</v>
      </c>
      <c r="CJ52" s="24">
        <f t="shared" si="435"/>
        <v>0</v>
      </c>
      <c r="CK52" s="24">
        <f t="shared" si="435"/>
        <v>0</v>
      </c>
      <c r="CL52" s="24">
        <f t="shared" si="435"/>
        <v>0</v>
      </c>
      <c r="CM52" s="24">
        <f t="shared" si="435"/>
        <v>0</v>
      </c>
      <c r="CN52" s="24">
        <f t="shared" si="435"/>
        <v>0</v>
      </c>
      <c r="CO52" s="24">
        <f t="shared" si="435"/>
        <v>0</v>
      </c>
      <c r="CP52" s="24">
        <f t="shared" si="435"/>
        <v>0</v>
      </c>
      <c r="CQ52" s="24">
        <f t="shared" si="435"/>
        <v>0</v>
      </c>
      <c r="CR52" s="24">
        <f t="shared" si="435"/>
        <v>0</v>
      </c>
      <c r="CS52" s="24">
        <f t="shared" si="435"/>
        <v>0</v>
      </c>
      <c r="CT52" s="24">
        <f t="shared" si="435"/>
        <v>0</v>
      </c>
      <c r="CU52" s="24">
        <f t="shared" si="435"/>
        <v>0</v>
      </c>
      <c r="CV52" s="24">
        <f t="shared" si="435"/>
        <v>0</v>
      </c>
      <c r="CW52" s="24">
        <f t="shared" ref="CW52:EI52" si="436">-MIN(CW30+CW45+CW46+CW58,CW51)</f>
        <v>0</v>
      </c>
      <c r="CX52" s="24">
        <f t="shared" si="436"/>
        <v>0</v>
      </c>
      <c r="CY52" s="24">
        <f t="shared" si="436"/>
        <v>0</v>
      </c>
      <c r="CZ52" s="24">
        <f t="shared" si="436"/>
        <v>0</v>
      </c>
      <c r="DA52" s="24">
        <f t="shared" si="436"/>
        <v>0</v>
      </c>
      <c r="DB52" s="24">
        <f t="shared" si="436"/>
        <v>0</v>
      </c>
      <c r="DC52" s="24">
        <f t="shared" si="436"/>
        <v>0</v>
      </c>
      <c r="DD52" s="24">
        <f t="shared" si="436"/>
        <v>0</v>
      </c>
      <c r="DE52" s="24">
        <f t="shared" si="436"/>
        <v>0</v>
      </c>
      <c r="DF52" s="24">
        <f t="shared" si="436"/>
        <v>0</v>
      </c>
      <c r="DG52" s="24">
        <f t="shared" si="436"/>
        <v>0</v>
      </c>
      <c r="DH52" s="24">
        <f t="shared" si="436"/>
        <v>0</v>
      </c>
      <c r="DI52" s="24">
        <f t="shared" si="436"/>
        <v>0</v>
      </c>
      <c r="DJ52" s="24">
        <f t="shared" si="436"/>
        <v>0</v>
      </c>
      <c r="DK52" s="24">
        <f t="shared" si="436"/>
        <v>0</v>
      </c>
      <c r="DL52" s="24">
        <f t="shared" si="436"/>
        <v>0</v>
      </c>
      <c r="DM52" s="24">
        <f t="shared" si="436"/>
        <v>0</v>
      </c>
      <c r="DN52" s="24">
        <f t="shared" si="436"/>
        <v>0</v>
      </c>
      <c r="DO52" s="24">
        <f t="shared" si="436"/>
        <v>0</v>
      </c>
      <c r="DP52" s="24">
        <f t="shared" si="436"/>
        <v>0</v>
      </c>
      <c r="DQ52" s="24">
        <f t="shared" si="436"/>
        <v>0</v>
      </c>
      <c r="DR52" s="24">
        <f t="shared" si="436"/>
        <v>0</v>
      </c>
      <c r="DS52" s="24">
        <f t="shared" si="436"/>
        <v>0</v>
      </c>
      <c r="DT52" s="24">
        <f t="shared" si="436"/>
        <v>0</v>
      </c>
      <c r="DU52" s="24">
        <f t="shared" si="436"/>
        <v>0</v>
      </c>
      <c r="DV52" s="24">
        <f t="shared" si="436"/>
        <v>0</v>
      </c>
      <c r="DW52" s="24">
        <f t="shared" si="436"/>
        <v>0</v>
      </c>
      <c r="DX52" s="24">
        <f t="shared" si="436"/>
        <v>0</v>
      </c>
      <c r="DY52" s="24">
        <f t="shared" si="436"/>
        <v>0</v>
      </c>
      <c r="DZ52" s="24">
        <f t="shared" si="436"/>
        <v>0</v>
      </c>
      <c r="EA52" s="24">
        <f t="shared" si="436"/>
        <v>0</v>
      </c>
      <c r="EB52" s="24">
        <f t="shared" si="436"/>
        <v>0</v>
      </c>
      <c r="EC52" s="24">
        <f t="shared" si="436"/>
        <v>0</v>
      </c>
      <c r="ED52" s="24">
        <f t="shared" si="436"/>
        <v>0</v>
      </c>
      <c r="EE52" s="24">
        <f t="shared" si="436"/>
        <v>0</v>
      </c>
      <c r="EF52" s="24">
        <f t="shared" si="436"/>
        <v>0</v>
      </c>
      <c r="EG52" s="24">
        <f t="shared" si="436"/>
        <v>0</v>
      </c>
      <c r="EH52" s="24">
        <f t="shared" si="436"/>
        <v>0</v>
      </c>
      <c r="EI52" s="24">
        <f t="shared" si="436"/>
        <v>0</v>
      </c>
      <c r="EM52" s="1" t="s">
        <v>191</v>
      </c>
    </row>
    <row r="53" spans="2:143" s="8" customFormat="1" x14ac:dyDescent="0.45">
      <c r="B53" s="11">
        <f>SUM(G53:EI53)</f>
        <v>-280622.9609532617</v>
      </c>
      <c r="D53" s="4" t="s">
        <v>268</v>
      </c>
      <c r="E53" s="4"/>
      <c r="F53" s="4"/>
      <c r="G53" s="26">
        <f t="shared" ref="G53:AL53" si="437">-SUM(G51:G52)</f>
        <v>0</v>
      </c>
      <c r="H53" s="26">
        <f t="shared" si="437"/>
        <v>-19626.674599434264</v>
      </c>
      <c r="I53" s="26">
        <f t="shared" si="437"/>
        <v>-24199.048382158609</v>
      </c>
      <c r="J53" s="26">
        <f t="shared" si="437"/>
        <v>-28790.648137812503</v>
      </c>
      <c r="K53" s="26">
        <f t="shared" si="437"/>
        <v>-33401.533884332057</v>
      </c>
      <c r="L53" s="26">
        <f t="shared" si="437"/>
        <v>-30746.110915257421</v>
      </c>
      <c r="M53" s="26">
        <f t="shared" si="437"/>
        <v>-26574.547848604459</v>
      </c>
      <c r="N53" s="26">
        <f t="shared" si="437"/>
        <v>-23895.034862635715</v>
      </c>
      <c r="O53" s="26">
        <f t="shared" si="437"/>
        <v>-21204.677034787892</v>
      </c>
      <c r="P53" s="26">
        <f t="shared" si="437"/>
        <v>-18503.44081910848</v>
      </c>
      <c r="Q53" s="26">
        <f t="shared" si="437"/>
        <v>-15791.292576957974</v>
      </c>
      <c r="R53" s="26">
        <f t="shared" si="437"/>
        <v>-13068.198576769777</v>
      </c>
      <c r="S53" s="26">
        <f t="shared" si="437"/>
        <v>-10334.124993808873</v>
      </c>
      <c r="T53" s="26">
        <f t="shared" si="437"/>
        <v>-7589.0379099297716</v>
      </c>
      <c r="U53" s="26">
        <f t="shared" si="437"/>
        <v>-4832.9033133344492</v>
      </c>
      <c r="V53" s="26">
        <f t="shared" si="437"/>
        <v>-2065.6870983294648</v>
      </c>
      <c r="W53" s="26">
        <f t="shared" si="437"/>
        <v>0</v>
      </c>
      <c r="X53" s="26">
        <f t="shared" si="437"/>
        <v>0</v>
      </c>
      <c r="Y53" s="26">
        <f t="shared" si="437"/>
        <v>0</v>
      </c>
      <c r="Z53" s="26">
        <f t="shared" si="437"/>
        <v>0</v>
      </c>
      <c r="AA53" s="26">
        <f t="shared" si="437"/>
        <v>0</v>
      </c>
      <c r="AB53" s="26">
        <f t="shared" si="437"/>
        <v>0</v>
      </c>
      <c r="AC53" s="26">
        <f t="shared" si="437"/>
        <v>0</v>
      </c>
      <c r="AD53" s="26">
        <f t="shared" si="437"/>
        <v>0</v>
      </c>
      <c r="AE53" s="26">
        <f t="shared" si="437"/>
        <v>0</v>
      </c>
      <c r="AF53" s="26">
        <f t="shared" si="437"/>
        <v>0</v>
      </c>
      <c r="AG53" s="26">
        <f t="shared" si="437"/>
        <v>0</v>
      </c>
      <c r="AH53" s="26">
        <f t="shared" si="437"/>
        <v>0</v>
      </c>
      <c r="AI53" s="26">
        <f t="shared" si="437"/>
        <v>0</v>
      </c>
      <c r="AJ53" s="26">
        <f t="shared" si="437"/>
        <v>0</v>
      </c>
      <c r="AK53" s="26">
        <f t="shared" si="437"/>
        <v>0</v>
      </c>
      <c r="AL53" s="26">
        <f t="shared" si="437"/>
        <v>0</v>
      </c>
      <c r="AM53" s="26">
        <f t="shared" ref="AM53:BR53" si="438">-SUM(AM51:AM52)</f>
        <v>0</v>
      </c>
      <c r="AN53" s="26">
        <f t="shared" si="438"/>
        <v>0</v>
      </c>
      <c r="AO53" s="26">
        <f t="shared" si="438"/>
        <v>0</v>
      </c>
      <c r="AP53" s="26">
        <f t="shared" si="438"/>
        <v>0</v>
      </c>
      <c r="AQ53" s="26">
        <f t="shared" si="438"/>
        <v>0</v>
      </c>
      <c r="AR53" s="26">
        <f t="shared" si="438"/>
        <v>0</v>
      </c>
      <c r="AS53" s="26">
        <f t="shared" si="438"/>
        <v>0</v>
      </c>
      <c r="AT53" s="26">
        <f t="shared" si="438"/>
        <v>0</v>
      </c>
      <c r="AU53" s="26">
        <f t="shared" si="438"/>
        <v>0</v>
      </c>
      <c r="AV53" s="26">
        <f t="shared" si="438"/>
        <v>0</v>
      </c>
      <c r="AW53" s="26">
        <f t="shared" si="438"/>
        <v>0</v>
      </c>
      <c r="AX53" s="26">
        <f t="shared" si="438"/>
        <v>0</v>
      </c>
      <c r="AY53" s="26">
        <f t="shared" si="438"/>
        <v>0</v>
      </c>
      <c r="AZ53" s="26">
        <f t="shared" si="438"/>
        <v>0</v>
      </c>
      <c r="BA53" s="26">
        <f t="shared" si="438"/>
        <v>0</v>
      </c>
      <c r="BB53" s="26">
        <f t="shared" si="438"/>
        <v>0</v>
      </c>
      <c r="BC53" s="26">
        <f t="shared" si="438"/>
        <v>0</v>
      </c>
      <c r="BD53" s="26">
        <f t="shared" si="438"/>
        <v>0</v>
      </c>
      <c r="BE53" s="26">
        <f t="shared" si="438"/>
        <v>0</v>
      </c>
      <c r="BF53" s="26">
        <f t="shared" si="438"/>
        <v>0</v>
      </c>
      <c r="BG53" s="26">
        <f t="shared" si="438"/>
        <v>0</v>
      </c>
      <c r="BH53" s="26">
        <f t="shared" si="438"/>
        <v>0</v>
      </c>
      <c r="BI53" s="26">
        <f t="shared" si="438"/>
        <v>0</v>
      </c>
      <c r="BJ53" s="26">
        <f t="shared" si="438"/>
        <v>0</v>
      </c>
      <c r="BK53" s="26">
        <f t="shared" si="438"/>
        <v>0</v>
      </c>
      <c r="BL53" s="26">
        <f t="shared" si="438"/>
        <v>0</v>
      </c>
      <c r="BM53" s="26">
        <f t="shared" si="438"/>
        <v>0</v>
      </c>
      <c r="BN53" s="26">
        <f t="shared" si="438"/>
        <v>0</v>
      </c>
      <c r="BO53" s="26">
        <f t="shared" si="438"/>
        <v>0</v>
      </c>
      <c r="BP53" s="26">
        <f t="shared" si="438"/>
        <v>0</v>
      </c>
      <c r="BQ53" s="26">
        <f t="shared" si="438"/>
        <v>0</v>
      </c>
      <c r="BR53" s="26">
        <f t="shared" si="438"/>
        <v>0</v>
      </c>
      <c r="BS53" s="26">
        <f t="shared" ref="BS53:CV53" si="439">-SUM(BS51:BS52)</f>
        <v>0</v>
      </c>
      <c r="BT53" s="26">
        <f t="shared" si="439"/>
        <v>0</v>
      </c>
      <c r="BU53" s="26">
        <f t="shared" si="439"/>
        <v>0</v>
      </c>
      <c r="BV53" s="26">
        <f t="shared" si="439"/>
        <v>0</v>
      </c>
      <c r="BW53" s="26">
        <f t="shared" si="439"/>
        <v>0</v>
      </c>
      <c r="BX53" s="26">
        <f t="shared" si="439"/>
        <v>0</v>
      </c>
      <c r="BY53" s="26">
        <f t="shared" si="439"/>
        <v>0</v>
      </c>
      <c r="BZ53" s="26">
        <f t="shared" si="439"/>
        <v>0</v>
      </c>
      <c r="CA53" s="26">
        <f t="shared" si="439"/>
        <v>0</v>
      </c>
      <c r="CB53" s="26">
        <f t="shared" si="439"/>
        <v>0</v>
      </c>
      <c r="CC53" s="26">
        <f t="shared" si="439"/>
        <v>0</v>
      </c>
      <c r="CD53" s="26">
        <f t="shared" si="439"/>
        <v>0</v>
      </c>
      <c r="CE53" s="26">
        <f t="shared" si="439"/>
        <v>0</v>
      </c>
      <c r="CF53" s="26">
        <f t="shared" si="439"/>
        <v>0</v>
      </c>
      <c r="CG53" s="26">
        <f t="shared" si="439"/>
        <v>0</v>
      </c>
      <c r="CH53" s="26">
        <f t="shared" si="439"/>
        <v>0</v>
      </c>
      <c r="CI53" s="26">
        <f t="shared" si="439"/>
        <v>0</v>
      </c>
      <c r="CJ53" s="26">
        <f t="shared" si="439"/>
        <v>0</v>
      </c>
      <c r="CK53" s="26">
        <f t="shared" si="439"/>
        <v>0</v>
      </c>
      <c r="CL53" s="26">
        <f t="shared" si="439"/>
        <v>0</v>
      </c>
      <c r="CM53" s="26">
        <f t="shared" si="439"/>
        <v>0</v>
      </c>
      <c r="CN53" s="26">
        <f t="shared" si="439"/>
        <v>0</v>
      </c>
      <c r="CO53" s="26">
        <f t="shared" si="439"/>
        <v>0</v>
      </c>
      <c r="CP53" s="26">
        <f t="shared" si="439"/>
        <v>0</v>
      </c>
      <c r="CQ53" s="26">
        <f t="shared" si="439"/>
        <v>0</v>
      </c>
      <c r="CR53" s="26">
        <f t="shared" si="439"/>
        <v>0</v>
      </c>
      <c r="CS53" s="26">
        <f t="shared" si="439"/>
        <v>0</v>
      </c>
      <c r="CT53" s="26">
        <f t="shared" si="439"/>
        <v>0</v>
      </c>
      <c r="CU53" s="26">
        <f t="shared" si="439"/>
        <v>0</v>
      </c>
      <c r="CV53" s="26">
        <f t="shared" si="439"/>
        <v>0</v>
      </c>
      <c r="CW53" s="26">
        <f t="shared" ref="CW53:EI53" si="440">-SUM(CW51:CW52)</f>
        <v>0</v>
      </c>
      <c r="CX53" s="26">
        <f t="shared" si="440"/>
        <v>0</v>
      </c>
      <c r="CY53" s="26">
        <f t="shared" si="440"/>
        <v>0</v>
      </c>
      <c r="CZ53" s="26">
        <f t="shared" si="440"/>
        <v>0</v>
      </c>
      <c r="DA53" s="26">
        <f t="shared" si="440"/>
        <v>0</v>
      </c>
      <c r="DB53" s="26">
        <f t="shared" si="440"/>
        <v>0</v>
      </c>
      <c r="DC53" s="26">
        <f t="shared" si="440"/>
        <v>0</v>
      </c>
      <c r="DD53" s="26">
        <f t="shared" si="440"/>
        <v>0</v>
      </c>
      <c r="DE53" s="26">
        <f t="shared" si="440"/>
        <v>0</v>
      </c>
      <c r="DF53" s="26">
        <f t="shared" si="440"/>
        <v>0</v>
      </c>
      <c r="DG53" s="26">
        <f t="shared" si="440"/>
        <v>0</v>
      </c>
      <c r="DH53" s="26">
        <f t="shared" si="440"/>
        <v>0</v>
      </c>
      <c r="DI53" s="26">
        <f t="shared" si="440"/>
        <v>0</v>
      </c>
      <c r="DJ53" s="26">
        <f t="shared" si="440"/>
        <v>0</v>
      </c>
      <c r="DK53" s="26">
        <f t="shared" si="440"/>
        <v>0</v>
      </c>
      <c r="DL53" s="26">
        <f t="shared" si="440"/>
        <v>0</v>
      </c>
      <c r="DM53" s="26">
        <f t="shared" si="440"/>
        <v>0</v>
      </c>
      <c r="DN53" s="26">
        <f t="shared" si="440"/>
        <v>0</v>
      </c>
      <c r="DO53" s="26">
        <f t="shared" si="440"/>
        <v>0</v>
      </c>
      <c r="DP53" s="26">
        <f t="shared" si="440"/>
        <v>0</v>
      </c>
      <c r="DQ53" s="26">
        <f t="shared" si="440"/>
        <v>0</v>
      </c>
      <c r="DR53" s="26">
        <f t="shared" si="440"/>
        <v>0</v>
      </c>
      <c r="DS53" s="26">
        <f t="shared" si="440"/>
        <v>0</v>
      </c>
      <c r="DT53" s="26">
        <f t="shared" si="440"/>
        <v>0</v>
      </c>
      <c r="DU53" s="26">
        <f t="shared" si="440"/>
        <v>0</v>
      </c>
      <c r="DV53" s="26">
        <f t="shared" si="440"/>
        <v>0</v>
      </c>
      <c r="DW53" s="26">
        <f t="shared" si="440"/>
        <v>0</v>
      </c>
      <c r="DX53" s="26">
        <f t="shared" si="440"/>
        <v>0</v>
      </c>
      <c r="DY53" s="26">
        <f t="shared" si="440"/>
        <v>0</v>
      </c>
      <c r="DZ53" s="26">
        <f t="shared" si="440"/>
        <v>0</v>
      </c>
      <c r="EA53" s="26">
        <f t="shared" si="440"/>
        <v>0</v>
      </c>
      <c r="EB53" s="26">
        <f t="shared" si="440"/>
        <v>0</v>
      </c>
      <c r="EC53" s="26">
        <f t="shared" si="440"/>
        <v>0</v>
      </c>
      <c r="ED53" s="26">
        <f t="shared" si="440"/>
        <v>0</v>
      </c>
      <c r="EE53" s="26">
        <f t="shared" si="440"/>
        <v>0</v>
      </c>
      <c r="EF53" s="26">
        <f t="shared" si="440"/>
        <v>0</v>
      </c>
      <c r="EG53" s="26">
        <f t="shared" si="440"/>
        <v>0</v>
      </c>
      <c r="EH53" s="26">
        <f t="shared" si="440"/>
        <v>0</v>
      </c>
      <c r="EI53" s="26">
        <f t="shared" si="440"/>
        <v>0</v>
      </c>
      <c r="EM53" s="1" t="s">
        <v>191</v>
      </c>
    </row>
    <row r="54" spans="2:143" x14ac:dyDescent="0.45"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M54" s="1" t="s">
        <v>191</v>
      </c>
    </row>
    <row r="55" spans="2:143" x14ac:dyDescent="0.45">
      <c r="B55" s="6">
        <f>-SUM(Assumptions!F5:F6)</f>
        <v>-8489313.7959519476</v>
      </c>
      <c r="D55" s="1" t="s">
        <v>219</v>
      </c>
      <c r="G55" s="24">
        <f t="shared" ref="G55:AL55" si="441">MAX(MIN(-G49+G45-G53,-$B$55-F56),0)</f>
        <v>5651390.8349986859</v>
      </c>
      <c r="H55" s="24">
        <f t="shared" si="441"/>
        <v>19626.674599434264</v>
      </c>
      <c r="I55" s="24">
        <f t="shared" si="441"/>
        <v>121851.22229520208</v>
      </c>
      <c r="J55" s="24">
        <f t="shared" si="441"/>
        <v>126442.82205085598</v>
      </c>
      <c r="K55" s="24">
        <f t="shared" si="441"/>
        <v>131053.70779737554</v>
      </c>
      <c r="L55" s="24">
        <f t="shared" si="441"/>
        <v>175898.28482830088</v>
      </c>
      <c r="M55" s="24">
        <f t="shared" si="441"/>
        <v>161726.7217616479</v>
      </c>
      <c r="N55" s="24">
        <f t="shared" si="441"/>
        <v>121547.20877567919</v>
      </c>
      <c r="O55" s="24">
        <f t="shared" si="441"/>
        <v>118856.85094783136</v>
      </c>
      <c r="P55" s="24">
        <f t="shared" si="441"/>
        <v>116155.61473215195</v>
      </c>
      <c r="Q55" s="24">
        <f t="shared" si="441"/>
        <v>118443.46649000145</v>
      </c>
      <c r="R55" s="24">
        <f t="shared" si="441"/>
        <v>110720.37248981325</v>
      </c>
      <c r="S55" s="24">
        <f t="shared" si="441"/>
        <v>106986.29890685235</v>
      </c>
      <c r="T55" s="24">
        <f t="shared" si="441"/>
        <v>104241.21182297324</v>
      </c>
      <c r="U55" s="24">
        <f t="shared" si="441"/>
        <v>101485.07722637792</v>
      </c>
      <c r="V55" s="24">
        <f t="shared" si="441"/>
        <v>98717.861011372937</v>
      </c>
      <c r="W55" s="24">
        <f t="shared" si="441"/>
        <v>96652.173913043473</v>
      </c>
      <c r="X55" s="24">
        <f t="shared" si="441"/>
        <v>96652.173913043473</v>
      </c>
      <c r="Y55" s="24">
        <f t="shared" si="441"/>
        <v>96652.173913043473</v>
      </c>
      <c r="Z55" s="24">
        <f t="shared" si="441"/>
        <v>96652.173913043473</v>
      </c>
      <c r="AA55" s="24">
        <f t="shared" si="441"/>
        <v>96652.173913043473</v>
      </c>
      <c r="AB55" s="24">
        <f t="shared" si="441"/>
        <v>96652.173913043473</v>
      </c>
      <c r="AC55" s="24">
        <f t="shared" si="441"/>
        <v>96652.173913043473</v>
      </c>
      <c r="AD55" s="24">
        <f t="shared" si="441"/>
        <v>96652.173913043473</v>
      </c>
      <c r="AE55" s="24">
        <f t="shared" si="441"/>
        <v>330952.17391303834</v>
      </c>
      <c r="AF55" s="24">
        <f t="shared" si="441"/>
        <v>0</v>
      </c>
      <c r="AG55" s="24">
        <f t="shared" si="441"/>
        <v>0</v>
      </c>
      <c r="AH55" s="24">
        <f t="shared" si="441"/>
        <v>0</v>
      </c>
      <c r="AI55" s="24">
        <f t="shared" si="441"/>
        <v>0</v>
      </c>
      <c r="AJ55" s="24">
        <f t="shared" si="441"/>
        <v>0</v>
      </c>
      <c r="AK55" s="24">
        <f t="shared" si="441"/>
        <v>0</v>
      </c>
      <c r="AL55" s="24">
        <f t="shared" si="441"/>
        <v>0</v>
      </c>
      <c r="AM55" s="24">
        <f t="shared" ref="AM55:BR55" si="442">MAX(MIN(-AM49+AM45-AM53,-$B$55-AL56),0)</f>
        <v>0</v>
      </c>
      <c r="AN55" s="24">
        <f t="shared" si="442"/>
        <v>0</v>
      </c>
      <c r="AO55" s="24">
        <f t="shared" si="442"/>
        <v>0</v>
      </c>
      <c r="AP55" s="24">
        <f t="shared" si="442"/>
        <v>0</v>
      </c>
      <c r="AQ55" s="24">
        <f t="shared" si="442"/>
        <v>0</v>
      </c>
      <c r="AR55" s="24">
        <f t="shared" si="442"/>
        <v>0</v>
      </c>
      <c r="AS55" s="24">
        <f t="shared" si="442"/>
        <v>0</v>
      </c>
      <c r="AT55" s="24">
        <f t="shared" si="442"/>
        <v>0</v>
      </c>
      <c r="AU55" s="24">
        <f t="shared" si="442"/>
        <v>0</v>
      </c>
      <c r="AV55" s="24">
        <f t="shared" si="442"/>
        <v>0</v>
      </c>
      <c r="AW55" s="24">
        <f t="shared" si="442"/>
        <v>0</v>
      </c>
      <c r="AX55" s="24">
        <f t="shared" si="442"/>
        <v>0</v>
      </c>
      <c r="AY55" s="24">
        <f t="shared" si="442"/>
        <v>0</v>
      </c>
      <c r="AZ55" s="24">
        <f t="shared" si="442"/>
        <v>0</v>
      </c>
      <c r="BA55" s="24">
        <f t="shared" si="442"/>
        <v>0</v>
      </c>
      <c r="BB55" s="24">
        <f t="shared" si="442"/>
        <v>0</v>
      </c>
      <c r="BC55" s="24">
        <f t="shared" si="442"/>
        <v>0</v>
      </c>
      <c r="BD55" s="24">
        <f t="shared" si="442"/>
        <v>0</v>
      </c>
      <c r="BE55" s="24">
        <f t="shared" si="442"/>
        <v>0</v>
      </c>
      <c r="BF55" s="24">
        <f t="shared" si="442"/>
        <v>0</v>
      </c>
      <c r="BG55" s="24">
        <f t="shared" si="442"/>
        <v>0</v>
      </c>
      <c r="BH55" s="24">
        <f t="shared" si="442"/>
        <v>0</v>
      </c>
      <c r="BI55" s="24">
        <f t="shared" si="442"/>
        <v>0</v>
      </c>
      <c r="BJ55" s="24">
        <f t="shared" si="442"/>
        <v>0</v>
      </c>
      <c r="BK55" s="24">
        <f t="shared" si="442"/>
        <v>0</v>
      </c>
      <c r="BL55" s="24">
        <f t="shared" si="442"/>
        <v>0</v>
      </c>
      <c r="BM55" s="24">
        <f t="shared" si="442"/>
        <v>0</v>
      </c>
      <c r="BN55" s="24">
        <f t="shared" si="442"/>
        <v>0</v>
      </c>
      <c r="BO55" s="24">
        <f t="shared" si="442"/>
        <v>0</v>
      </c>
      <c r="BP55" s="24">
        <f t="shared" si="442"/>
        <v>0</v>
      </c>
      <c r="BQ55" s="24">
        <f t="shared" si="442"/>
        <v>0</v>
      </c>
      <c r="BR55" s="24">
        <f t="shared" si="442"/>
        <v>0</v>
      </c>
      <c r="BS55" s="24">
        <f t="shared" ref="BS55:CV55" si="443">MAX(MIN(-BS49+BS45-BS53,-$B$55-BR56),0)</f>
        <v>0</v>
      </c>
      <c r="BT55" s="24">
        <f t="shared" si="443"/>
        <v>0</v>
      </c>
      <c r="BU55" s="24">
        <f t="shared" si="443"/>
        <v>0</v>
      </c>
      <c r="BV55" s="24">
        <f t="shared" si="443"/>
        <v>0</v>
      </c>
      <c r="BW55" s="24">
        <f t="shared" si="443"/>
        <v>0</v>
      </c>
      <c r="BX55" s="24">
        <f t="shared" si="443"/>
        <v>0</v>
      </c>
      <c r="BY55" s="24">
        <f t="shared" si="443"/>
        <v>0</v>
      </c>
      <c r="BZ55" s="24">
        <f t="shared" si="443"/>
        <v>0</v>
      </c>
      <c r="CA55" s="24">
        <f t="shared" si="443"/>
        <v>0</v>
      </c>
      <c r="CB55" s="24">
        <f t="shared" si="443"/>
        <v>0</v>
      </c>
      <c r="CC55" s="24">
        <f t="shared" si="443"/>
        <v>0</v>
      </c>
      <c r="CD55" s="24">
        <f t="shared" si="443"/>
        <v>0</v>
      </c>
      <c r="CE55" s="24">
        <f t="shared" si="443"/>
        <v>0</v>
      </c>
      <c r="CF55" s="24">
        <f t="shared" si="443"/>
        <v>0</v>
      </c>
      <c r="CG55" s="24">
        <f t="shared" si="443"/>
        <v>0</v>
      </c>
      <c r="CH55" s="24">
        <f t="shared" si="443"/>
        <v>0</v>
      </c>
      <c r="CI55" s="24">
        <f t="shared" si="443"/>
        <v>0</v>
      </c>
      <c r="CJ55" s="24">
        <f t="shared" si="443"/>
        <v>0</v>
      </c>
      <c r="CK55" s="24">
        <f t="shared" si="443"/>
        <v>0</v>
      </c>
      <c r="CL55" s="24">
        <f t="shared" si="443"/>
        <v>0</v>
      </c>
      <c r="CM55" s="24">
        <f t="shared" si="443"/>
        <v>0</v>
      </c>
      <c r="CN55" s="24">
        <f t="shared" si="443"/>
        <v>0</v>
      </c>
      <c r="CO55" s="24">
        <f t="shared" si="443"/>
        <v>0</v>
      </c>
      <c r="CP55" s="24">
        <f t="shared" si="443"/>
        <v>0</v>
      </c>
      <c r="CQ55" s="24">
        <f t="shared" si="443"/>
        <v>0</v>
      </c>
      <c r="CR55" s="24">
        <f t="shared" si="443"/>
        <v>0</v>
      </c>
      <c r="CS55" s="24">
        <f t="shared" si="443"/>
        <v>0</v>
      </c>
      <c r="CT55" s="24">
        <f t="shared" si="443"/>
        <v>0</v>
      </c>
      <c r="CU55" s="24">
        <f t="shared" si="443"/>
        <v>0</v>
      </c>
      <c r="CV55" s="24">
        <f t="shared" si="443"/>
        <v>0</v>
      </c>
      <c r="CW55" s="24">
        <f t="shared" ref="CW55" si="444">MAX(MIN(-CW49+CW45-CW53,-$B$55-CV56),0)</f>
        <v>0</v>
      </c>
      <c r="CX55" s="24">
        <f t="shared" ref="CX55" si="445">MAX(MIN(-CX49+CX45-CX53,-$B$55-CW56),0)</f>
        <v>0</v>
      </c>
      <c r="CY55" s="24">
        <f t="shared" ref="CY55" si="446">MAX(MIN(-CY49+CY45-CY53,-$B$55-CX56),0)</f>
        <v>0</v>
      </c>
      <c r="CZ55" s="24">
        <f t="shared" ref="CZ55" si="447">MAX(MIN(-CZ49+CZ45-CZ53,-$B$55-CY56),0)</f>
        <v>0</v>
      </c>
      <c r="DA55" s="24">
        <f t="shared" ref="DA55" si="448">MAX(MIN(-DA49+DA45-DA53,-$B$55-CZ56),0)</f>
        <v>0</v>
      </c>
      <c r="DB55" s="24">
        <f t="shared" ref="DB55" si="449">MAX(MIN(-DB49+DB45-DB53,-$B$55-DA56),0)</f>
        <v>0</v>
      </c>
      <c r="DC55" s="24">
        <f t="shared" ref="DC55" si="450">MAX(MIN(-DC49+DC45-DC53,-$B$55-DB56),0)</f>
        <v>0</v>
      </c>
      <c r="DD55" s="24">
        <f t="shared" ref="DD55" si="451">MAX(MIN(-DD49+DD45-DD53,-$B$55-DC56),0)</f>
        <v>0</v>
      </c>
      <c r="DE55" s="24">
        <f t="shared" ref="DE55" si="452">MAX(MIN(-DE49+DE45-DE53,-$B$55-DD56),0)</f>
        <v>0</v>
      </c>
      <c r="DF55" s="24">
        <f t="shared" ref="DF55" si="453">MAX(MIN(-DF49+DF45-DF53,-$B$55-DE56),0)</f>
        <v>0</v>
      </c>
      <c r="DG55" s="24">
        <f t="shared" ref="DG55" si="454">MAX(MIN(-DG49+DG45-DG53,-$B$55-DF56),0)</f>
        <v>0</v>
      </c>
      <c r="DH55" s="24">
        <f t="shared" ref="DH55" si="455">MAX(MIN(-DH49+DH45-DH53,-$B$55-DG56),0)</f>
        <v>0</v>
      </c>
      <c r="DI55" s="24">
        <f t="shared" ref="DI55" si="456">MAX(MIN(-DI49+DI45-DI53,-$B$55-DH56),0)</f>
        <v>0</v>
      </c>
      <c r="DJ55" s="24">
        <f t="shared" ref="DJ55" si="457">MAX(MIN(-DJ49+DJ45-DJ53,-$B$55-DI56),0)</f>
        <v>0</v>
      </c>
      <c r="DK55" s="24">
        <f t="shared" ref="DK55" si="458">MAX(MIN(-DK49+DK45-DK53,-$B$55-DJ56),0)</f>
        <v>0</v>
      </c>
      <c r="DL55" s="24">
        <f t="shared" ref="DL55" si="459">MAX(MIN(-DL49+DL45-DL53,-$B$55-DK56),0)</f>
        <v>0</v>
      </c>
      <c r="DM55" s="24">
        <f t="shared" ref="DM55" si="460">MAX(MIN(-DM49+DM45-DM53,-$B$55-DL56),0)</f>
        <v>0</v>
      </c>
      <c r="DN55" s="24">
        <f t="shared" ref="DN55" si="461">MAX(MIN(-DN49+DN45-DN53,-$B$55-DM56),0)</f>
        <v>0</v>
      </c>
      <c r="DO55" s="24">
        <f t="shared" ref="DO55" si="462">MAX(MIN(-DO49+DO45-DO53,-$B$55-DN56),0)</f>
        <v>0</v>
      </c>
      <c r="DP55" s="24">
        <f t="shared" ref="DP55" si="463">MAX(MIN(-DP49+DP45-DP53,-$B$55-DO56),0)</f>
        <v>0</v>
      </c>
      <c r="DQ55" s="24">
        <f t="shared" ref="DQ55" si="464">MAX(MIN(-DQ49+DQ45-DQ53,-$B$55-DP56),0)</f>
        <v>0</v>
      </c>
      <c r="DR55" s="24">
        <f t="shared" ref="DR55" si="465">MAX(MIN(-DR49+DR45-DR53,-$B$55-DQ56),0)</f>
        <v>0</v>
      </c>
      <c r="DS55" s="24">
        <f t="shared" ref="DS55" si="466">MAX(MIN(-DS49+DS45-DS53,-$B$55-DR56),0)</f>
        <v>0</v>
      </c>
      <c r="DT55" s="24">
        <f t="shared" ref="DT55" si="467">MAX(MIN(-DT49+DT45-DT53,-$B$55-DS56),0)</f>
        <v>0</v>
      </c>
      <c r="DU55" s="24">
        <f t="shared" ref="DU55" si="468">MAX(MIN(-DU49+DU45-DU53,-$B$55-DT56),0)</f>
        <v>0</v>
      </c>
      <c r="DV55" s="24">
        <f t="shared" ref="DV55" si="469">MAX(MIN(-DV49+DV45-DV53,-$B$55-DU56),0)</f>
        <v>0</v>
      </c>
      <c r="DW55" s="24">
        <f t="shared" ref="DW55" si="470">MAX(MIN(-DW49+DW45-DW53,-$B$55-DV56),0)</f>
        <v>0</v>
      </c>
      <c r="DX55" s="24">
        <f t="shared" ref="DX55" si="471">MAX(MIN(-DX49+DX45-DX53,-$B$55-DW56),0)</f>
        <v>0</v>
      </c>
      <c r="DY55" s="24">
        <f t="shared" ref="DY55" si="472">MAX(MIN(-DY49+DY45-DY53,-$B$55-DX56),0)</f>
        <v>0</v>
      </c>
      <c r="DZ55" s="24">
        <f t="shared" ref="DZ55" si="473">MAX(MIN(-DZ49+DZ45-DZ53,-$B$55-DY56),0)</f>
        <v>0</v>
      </c>
      <c r="EA55" s="24">
        <f t="shared" ref="EA55" si="474">MAX(MIN(-EA49+EA45-EA53,-$B$55-DZ56),0)</f>
        <v>0</v>
      </c>
      <c r="EB55" s="24">
        <f t="shared" ref="EB55" si="475">MAX(MIN(-EB49+EB45-EB53,-$B$55-EA56),0)</f>
        <v>0</v>
      </c>
      <c r="EC55" s="24">
        <f t="shared" ref="EC55" si="476">MAX(MIN(-EC49+EC45-EC53,-$B$55-EB56),0)</f>
        <v>0</v>
      </c>
      <c r="ED55" s="24">
        <f t="shared" ref="ED55" si="477">MAX(MIN(-ED49+ED45-ED53,-$B$55-EC56),0)</f>
        <v>0</v>
      </c>
      <c r="EE55" s="24">
        <f t="shared" ref="EE55" si="478">MAX(MIN(-EE49+EE45-EE53,-$B$55-ED56),0)</f>
        <v>0</v>
      </c>
      <c r="EF55" s="24">
        <f t="shared" ref="EF55" si="479">MAX(MIN(-EF49+EF45-EF53,-$B$55-EE56),0)</f>
        <v>0</v>
      </c>
      <c r="EG55" s="24">
        <f t="shared" ref="EG55" si="480">MAX(MIN(-EG49+EG45-EG53,-$B$55-EF56),0)</f>
        <v>0</v>
      </c>
      <c r="EH55" s="24">
        <f t="shared" ref="EH55" si="481">MAX(MIN(-EH49+EH45-EH53,-$B$55-EG56),0)</f>
        <v>0</v>
      </c>
      <c r="EI55" s="24">
        <f t="shared" ref="EI55" si="482">MAX(MIN(-EI49+EI45-EI53,-$B$55-EH56),0)</f>
        <v>0</v>
      </c>
      <c r="EM55" s="1" t="s">
        <v>191</v>
      </c>
    </row>
    <row r="56" spans="2:143" s="8" customFormat="1" x14ac:dyDescent="0.45">
      <c r="B56" s="11"/>
      <c r="D56" s="4" t="s">
        <v>220</v>
      </c>
      <c r="E56" s="4"/>
      <c r="F56" s="4"/>
      <c r="G56" s="26">
        <f>+G55+F56</f>
        <v>5651390.8349986859</v>
      </c>
      <c r="H56" s="26">
        <f t="shared" ref="H56" si="483">+H55+G56</f>
        <v>5671017.5095981201</v>
      </c>
      <c r="I56" s="26">
        <f t="shared" ref="I56" si="484">+I55+H56</f>
        <v>5792868.7318933224</v>
      </c>
      <c r="J56" s="26">
        <f t="shared" ref="J56" si="485">+J55+I56</f>
        <v>5919311.5539441789</v>
      </c>
      <c r="K56" s="26">
        <f t="shared" ref="K56" si="486">+K55+J56</f>
        <v>6050365.2617415544</v>
      </c>
      <c r="L56" s="26">
        <f t="shared" ref="L56" si="487">+L55+K56</f>
        <v>6226263.546569855</v>
      </c>
      <c r="M56" s="26">
        <f t="shared" ref="M56" si="488">+M55+L56</f>
        <v>6387990.2683315026</v>
      </c>
      <c r="N56" s="26">
        <f t="shared" ref="N56" si="489">+N55+M56</f>
        <v>6509537.4771071821</v>
      </c>
      <c r="O56" s="26">
        <f t="shared" ref="O56" si="490">+O55+N56</f>
        <v>6628394.3280550139</v>
      </c>
      <c r="P56" s="26">
        <f t="shared" ref="P56" si="491">+P55+O56</f>
        <v>6744549.9427871658</v>
      </c>
      <c r="Q56" s="26">
        <f t="shared" ref="Q56" si="492">+Q55+P56</f>
        <v>6862993.4092771672</v>
      </c>
      <c r="R56" s="26">
        <f t="shared" ref="R56" si="493">+R55+Q56</f>
        <v>6973713.7817669809</v>
      </c>
      <c r="S56" s="26">
        <f t="shared" ref="S56" si="494">+S55+R56</f>
        <v>7080700.0806738334</v>
      </c>
      <c r="T56" s="26">
        <f t="shared" ref="T56" si="495">+T55+S56</f>
        <v>7184941.2924968069</v>
      </c>
      <c r="U56" s="26">
        <f t="shared" ref="U56" si="496">+U55+T56</f>
        <v>7286426.369723185</v>
      </c>
      <c r="V56" s="26">
        <f t="shared" ref="V56" si="497">+V55+U56</f>
        <v>7385144.2307345578</v>
      </c>
      <c r="W56" s="26">
        <f t="shared" ref="W56" si="498">+W55+V56</f>
        <v>7481796.4046476018</v>
      </c>
      <c r="X56" s="26">
        <f t="shared" ref="X56" si="499">+X55+W56</f>
        <v>7578448.5785606457</v>
      </c>
      <c r="Y56" s="26">
        <f t="shared" ref="Y56" si="500">+Y55+X56</f>
        <v>7675100.7524736896</v>
      </c>
      <c r="Z56" s="26">
        <f t="shared" ref="Z56" si="501">+Z55+Y56</f>
        <v>7771752.9263867335</v>
      </c>
      <c r="AA56" s="26">
        <f t="shared" ref="AA56" si="502">+AA55+Z56</f>
        <v>7868405.1002997775</v>
      </c>
      <c r="AB56" s="26">
        <f t="shared" ref="AB56" si="503">+AB55+AA56</f>
        <v>7965057.2742128214</v>
      </c>
      <c r="AC56" s="26">
        <f t="shared" ref="AC56" si="504">+AC55+AB56</f>
        <v>8061709.4481258653</v>
      </c>
      <c r="AD56" s="26">
        <f t="shared" ref="AD56" si="505">+AD55+AC56</f>
        <v>8158361.6220389092</v>
      </c>
      <c r="AE56" s="26">
        <f t="shared" ref="AE56" si="506">+AE55+AD56</f>
        <v>8489313.7959519476</v>
      </c>
      <c r="AF56" s="26">
        <f t="shared" ref="AF56" si="507">+AF55+AE56</f>
        <v>8489313.7959519476</v>
      </c>
      <c r="AG56" s="26">
        <f t="shared" ref="AG56" si="508">+AG55+AF56</f>
        <v>8489313.7959519476</v>
      </c>
      <c r="AH56" s="26">
        <f t="shared" ref="AH56" si="509">+AH55+AG56</f>
        <v>8489313.7959519476</v>
      </c>
      <c r="AI56" s="26">
        <f t="shared" ref="AI56" si="510">+AI55+AH56</f>
        <v>8489313.7959519476</v>
      </c>
      <c r="AJ56" s="26">
        <f t="shared" ref="AJ56" si="511">+AJ55+AI56</f>
        <v>8489313.7959519476</v>
      </c>
      <c r="AK56" s="26">
        <f t="shared" ref="AK56" si="512">+AK55+AJ56</f>
        <v>8489313.7959519476</v>
      </c>
      <c r="AL56" s="26">
        <f t="shared" ref="AL56" si="513">+AL55+AK56</f>
        <v>8489313.7959519476</v>
      </c>
      <c r="AM56" s="26">
        <f t="shared" ref="AM56" si="514">+AM55+AL56</f>
        <v>8489313.7959519476</v>
      </c>
      <c r="AN56" s="26">
        <f t="shared" ref="AN56" si="515">+AN55+AM56</f>
        <v>8489313.7959519476</v>
      </c>
      <c r="AO56" s="26">
        <f t="shared" ref="AO56" si="516">+AO55+AN56</f>
        <v>8489313.7959519476</v>
      </c>
      <c r="AP56" s="26">
        <f t="shared" ref="AP56" si="517">+AP55+AO56</f>
        <v>8489313.7959519476</v>
      </c>
      <c r="AQ56" s="26">
        <f t="shared" ref="AQ56" si="518">+AQ55+AP56</f>
        <v>8489313.7959519476</v>
      </c>
      <c r="AR56" s="26">
        <f t="shared" ref="AR56" si="519">+AR55+AQ56</f>
        <v>8489313.7959519476</v>
      </c>
      <c r="AS56" s="26">
        <f t="shared" ref="AS56" si="520">+AS55+AR56</f>
        <v>8489313.7959519476</v>
      </c>
      <c r="AT56" s="26">
        <f t="shared" ref="AT56" si="521">+AT55+AS56</f>
        <v>8489313.7959519476</v>
      </c>
      <c r="AU56" s="26">
        <f t="shared" ref="AU56" si="522">+AU55+AT56</f>
        <v>8489313.7959519476</v>
      </c>
      <c r="AV56" s="26">
        <f t="shared" ref="AV56" si="523">+AV55+AU56</f>
        <v>8489313.7959519476</v>
      </c>
      <c r="AW56" s="26">
        <f t="shared" ref="AW56" si="524">+AW55+AV56</f>
        <v>8489313.7959519476</v>
      </c>
      <c r="AX56" s="26">
        <f t="shared" ref="AX56" si="525">+AX55+AW56</f>
        <v>8489313.7959519476</v>
      </c>
      <c r="AY56" s="26">
        <f t="shared" ref="AY56" si="526">+AY55+AX56</f>
        <v>8489313.7959519476</v>
      </c>
      <c r="AZ56" s="26">
        <f t="shared" ref="AZ56" si="527">+AZ55+AY56</f>
        <v>8489313.7959519476</v>
      </c>
      <c r="BA56" s="26">
        <f t="shared" ref="BA56" si="528">+BA55+AZ56</f>
        <v>8489313.7959519476</v>
      </c>
      <c r="BB56" s="26">
        <f t="shared" ref="BB56" si="529">+BB55+BA56</f>
        <v>8489313.7959519476</v>
      </c>
      <c r="BC56" s="26">
        <f t="shared" ref="BC56" si="530">+BC55+BB56</f>
        <v>8489313.7959519476</v>
      </c>
      <c r="BD56" s="26">
        <f t="shared" ref="BD56" si="531">+BD55+BC56</f>
        <v>8489313.7959519476</v>
      </c>
      <c r="BE56" s="26">
        <f t="shared" ref="BE56" si="532">+BE55+BD56</f>
        <v>8489313.7959519476</v>
      </c>
      <c r="BF56" s="26">
        <f t="shared" ref="BF56" si="533">+BF55+BE56</f>
        <v>8489313.7959519476</v>
      </c>
      <c r="BG56" s="26">
        <f t="shared" ref="BG56" si="534">+BG55+BF56</f>
        <v>8489313.7959519476</v>
      </c>
      <c r="BH56" s="26">
        <f t="shared" ref="BH56" si="535">+BH55+BG56</f>
        <v>8489313.7959519476</v>
      </c>
      <c r="BI56" s="26">
        <f t="shared" ref="BI56" si="536">+BI55+BH56</f>
        <v>8489313.7959519476</v>
      </c>
      <c r="BJ56" s="26">
        <f t="shared" ref="BJ56" si="537">+BJ55+BI56</f>
        <v>8489313.7959519476</v>
      </c>
      <c r="BK56" s="26">
        <f t="shared" ref="BK56" si="538">+BK55+BJ56</f>
        <v>8489313.7959519476</v>
      </c>
      <c r="BL56" s="26">
        <f t="shared" ref="BL56" si="539">+BL55+BK56</f>
        <v>8489313.7959519476</v>
      </c>
      <c r="BM56" s="26">
        <f t="shared" ref="BM56" si="540">+BM55+BL56</f>
        <v>8489313.7959519476</v>
      </c>
      <c r="BN56" s="26">
        <f t="shared" ref="BN56" si="541">+BN55+BM56</f>
        <v>8489313.7959519476</v>
      </c>
      <c r="BO56" s="26">
        <f t="shared" ref="BO56" si="542">+BO55+BN56</f>
        <v>8489313.7959519476</v>
      </c>
      <c r="BP56" s="26">
        <f t="shared" ref="BP56" si="543">+BP55+BO56</f>
        <v>8489313.7959519476</v>
      </c>
      <c r="BQ56" s="26">
        <f t="shared" ref="BQ56" si="544">+BQ55+BP56</f>
        <v>8489313.7959519476</v>
      </c>
      <c r="BR56" s="26">
        <f t="shared" ref="BR56" si="545">+BR55+BQ56</f>
        <v>8489313.7959519476</v>
      </c>
      <c r="BS56" s="26">
        <f t="shared" ref="BS56" si="546">+BS55+BR56</f>
        <v>8489313.7959519476</v>
      </c>
      <c r="BT56" s="26">
        <f t="shared" ref="BT56" si="547">+BT55+BS56</f>
        <v>8489313.7959519476</v>
      </c>
      <c r="BU56" s="26">
        <f t="shared" ref="BU56" si="548">+BU55+BT56</f>
        <v>8489313.7959519476</v>
      </c>
      <c r="BV56" s="26">
        <f t="shared" ref="BV56" si="549">+BV55+BU56</f>
        <v>8489313.7959519476</v>
      </c>
      <c r="BW56" s="26">
        <f t="shared" ref="BW56" si="550">+BW55+BV56</f>
        <v>8489313.7959519476</v>
      </c>
      <c r="BX56" s="26">
        <f t="shared" ref="BX56" si="551">+BX55+BW56</f>
        <v>8489313.7959519476</v>
      </c>
      <c r="BY56" s="26">
        <f t="shared" ref="BY56" si="552">+BY55+BX56</f>
        <v>8489313.7959519476</v>
      </c>
      <c r="BZ56" s="26">
        <f t="shared" ref="BZ56" si="553">+BZ55+BY56</f>
        <v>8489313.7959519476</v>
      </c>
      <c r="CA56" s="26">
        <f t="shared" ref="CA56" si="554">+CA55+BZ56</f>
        <v>8489313.7959519476</v>
      </c>
      <c r="CB56" s="26">
        <f t="shared" ref="CB56" si="555">+CB55+CA56</f>
        <v>8489313.7959519476</v>
      </c>
      <c r="CC56" s="26">
        <f t="shared" ref="CC56" si="556">+CC55+CB56</f>
        <v>8489313.7959519476</v>
      </c>
      <c r="CD56" s="26">
        <f t="shared" ref="CD56" si="557">+CD55+CC56</f>
        <v>8489313.7959519476</v>
      </c>
      <c r="CE56" s="26">
        <f t="shared" ref="CE56" si="558">+CE55+CD56</f>
        <v>8489313.7959519476</v>
      </c>
      <c r="CF56" s="26">
        <f t="shared" ref="CF56" si="559">+CF55+CE56</f>
        <v>8489313.7959519476</v>
      </c>
      <c r="CG56" s="26">
        <f t="shared" ref="CG56" si="560">+CG55+CF56</f>
        <v>8489313.7959519476</v>
      </c>
      <c r="CH56" s="26">
        <f t="shared" ref="CH56" si="561">+CH55+CG56</f>
        <v>8489313.7959519476</v>
      </c>
      <c r="CI56" s="26">
        <f t="shared" ref="CI56" si="562">+CI55+CH56</f>
        <v>8489313.7959519476</v>
      </c>
      <c r="CJ56" s="26">
        <f t="shared" ref="CJ56" si="563">+CJ55+CI56</f>
        <v>8489313.7959519476</v>
      </c>
      <c r="CK56" s="26">
        <f t="shared" ref="CK56" si="564">+CK55+CJ56</f>
        <v>8489313.7959519476</v>
      </c>
      <c r="CL56" s="26">
        <f t="shared" ref="CL56" si="565">+CL55+CK56</f>
        <v>8489313.7959519476</v>
      </c>
      <c r="CM56" s="26">
        <f t="shared" ref="CM56" si="566">+CM55+CL56</f>
        <v>8489313.7959519476</v>
      </c>
      <c r="CN56" s="26">
        <f t="shared" ref="CN56" si="567">+CN55+CM56</f>
        <v>8489313.7959519476</v>
      </c>
      <c r="CO56" s="26">
        <f t="shared" ref="CO56" si="568">+CO55+CN56</f>
        <v>8489313.7959519476</v>
      </c>
      <c r="CP56" s="26">
        <f t="shared" ref="CP56" si="569">+CP55+CO56</f>
        <v>8489313.7959519476</v>
      </c>
      <c r="CQ56" s="26">
        <f t="shared" ref="CQ56" si="570">+CQ55+CP56</f>
        <v>8489313.7959519476</v>
      </c>
      <c r="CR56" s="26">
        <f t="shared" ref="CR56" si="571">+CR55+CQ56</f>
        <v>8489313.7959519476</v>
      </c>
      <c r="CS56" s="26">
        <f t="shared" ref="CS56" si="572">+CS55+CR56</f>
        <v>8489313.7959519476</v>
      </c>
      <c r="CT56" s="26">
        <f t="shared" ref="CT56" si="573">+CT55+CS56</f>
        <v>8489313.7959519476</v>
      </c>
      <c r="CU56" s="26">
        <f t="shared" ref="CU56" si="574">+CU55+CT56</f>
        <v>8489313.7959519476</v>
      </c>
      <c r="CV56" s="26">
        <f t="shared" ref="CV56" si="575">+CV55+CU56</f>
        <v>8489313.7959519476</v>
      </c>
      <c r="CW56" s="26">
        <f t="shared" ref="CW56" si="576">+CW55+CV56</f>
        <v>8489313.7959519476</v>
      </c>
      <c r="CX56" s="26">
        <f t="shared" ref="CX56" si="577">+CX55+CW56</f>
        <v>8489313.7959519476</v>
      </c>
      <c r="CY56" s="26">
        <f t="shared" ref="CY56" si="578">+CY55+CX56</f>
        <v>8489313.7959519476</v>
      </c>
      <c r="CZ56" s="26">
        <f t="shared" ref="CZ56" si="579">+CZ55+CY56</f>
        <v>8489313.7959519476</v>
      </c>
      <c r="DA56" s="26">
        <f t="shared" ref="DA56" si="580">+DA55+CZ56</f>
        <v>8489313.7959519476</v>
      </c>
      <c r="DB56" s="26">
        <f t="shared" ref="DB56" si="581">+DB55+DA56</f>
        <v>8489313.7959519476</v>
      </c>
      <c r="DC56" s="26">
        <f t="shared" ref="DC56" si="582">+DC55+DB56</f>
        <v>8489313.7959519476</v>
      </c>
      <c r="DD56" s="26">
        <f t="shared" ref="DD56" si="583">+DD55+DC56</f>
        <v>8489313.7959519476</v>
      </c>
      <c r="DE56" s="26">
        <f t="shared" ref="DE56" si="584">+DE55+DD56</f>
        <v>8489313.7959519476</v>
      </c>
      <c r="DF56" s="26">
        <f t="shared" ref="DF56" si="585">+DF55+DE56</f>
        <v>8489313.7959519476</v>
      </c>
      <c r="DG56" s="26">
        <f t="shared" ref="DG56" si="586">+DG55+DF56</f>
        <v>8489313.7959519476</v>
      </c>
      <c r="DH56" s="26">
        <f t="shared" ref="DH56" si="587">+DH55+DG56</f>
        <v>8489313.7959519476</v>
      </c>
      <c r="DI56" s="26">
        <f t="shared" ref="DI56" si="588">+DI55+DH56</f>
        <v>8489313.7959519476</v>
      </c>
      <c r="DJ56" s="26">
        <f t="shared" ref="DJ56" si="589">+DJ55+DI56</f>
        <v>8489313.7959519476</v>
      </c>
      <c r="DK56" s="26">
        <f t="shared" ref="DK56" si="590">+DK55+DJ56</f>
        <v>8489313.7959519476</v>
      </c>
      <c r="DL56" s="26">
        <f t="shared" ref="DL56" si="591">+DL55+DK56</f>
        <v>8489313.7959519476</v>
      </c>
      <c r="DM56" s="26">
        <f t="shared" ref="DM56" si="592">+DM55+DL56</f>
        <v>8489313.7959519476</v>
      </c>
      <c r="DN56" s="26">
        <f t="shared" ref="DN56" si="593">+DN55+DM56</f>
        <v>8489313.7959519476</v>
      </c>
      <c r="DO56" s="26">
        <f t="shared" ref="DO56" si="594">+DO55+DN56</f>
        <v>8489313.7959519476</v>
      </c>
      <c r="DP56" s="26">
        <f t="shared" ref="DP56" si="595">+DP55+DO56</f>
        <v>8489313.7959519476</v>
      </c>
      <c r="DQ56" s="26">
        <f t="shared" ref="DQ56" si="596">+DQ55+DP56</f>
        <v>8489313.7959519476</v>
      </c>
      <c r="DR56" s="26">
        <f t="shared" ref="DR56" si="597">+DR55+DQ56</f>
        <v>8489313.7959519476</v>
      </c>
      <c r="DS56" s="26">
        <f t="shared" ref="DS56" si="598">+DS55+DR56</f>
        <v>8489313.7959519476</v>
      </c>
      <c r="DT56" s="26">
        <f t="shared" ref="DT56" si="599">+DT55+DS56</f>
        <v>8489313.7959519476</v>
      </c>
      <c r="DU56" s="26">
        <f t="shared" ref="DU56" si="600">+DU55+DT56</f>
        <v>8489313.7959519476</v>
      </c>
      <c r="DV56" s="26">
        <f t="shared" ref="DV56" si="601">+DV55+DU56</f>
        <v>8489313.7959519476</v>
      </c>
      <c r="DW56" s="26">
        <f t="shared" ref="DW56" si="602">+DW55+DV56</f>
        <v>8489313.7959519476</v>
      </c>
      <c r="DX56" s="26">
        <f t="shared" ref="DX56" si="603">+DX55+DW56</f>
        <v>8489313.7959519476</v>
      </c>
      <c r="DY56" s="26">
        <f t="shared" ref="DY56" si="604">+DY55+DX56</f>
        <v>8489313.7959519476</v>
      </c>
      <c r="DZ56" s="26">
        <f t="shared" ref="DZ56" si="605">+DZ55+DY56</f>
        <v>8489313.7959519476</v>
      </c>
      <c r="EA56" s="26">
        <f t="shared" ref="EA56" si="606">+EA55+DZ56</f>
        <v>8489313.7959519476</v>
      </c>
      <c r="EB56" s="26">
        <f t="shared" ref="EB56" si="607">+EB55+EA56</f>
        <v>8489313.7959519476</v>
      </c>
      <c r="EC56" s="26">
        <f t="shared" ref="EC56" si="608">+EC55+EB56</f>
        <v>8489313.7959519476</v>
      </c>
      <c r="ED56" s="26">
        <f t="shared" ref="ED56" si="609">+ED55+EC56</f>
        <v>8489313.7959519476</v>
      </c>
      <c r="EE56" s="26">
        <f t="shared" ref="EE56" si="610">+EE55+ED56</f>
        <v>8489313.7959519476</v>
      </c>
      <c r="EF56" s="26">
        <f t="shared" ref="EF56" si="611">+EF55+EE56</f>
        <v>8489313.7959519476</v>
      </c>
      <c r="EG56" s="26">
        <f t="shared" ref="EG56" si="612">+EG55+EF56</f>
        <v>8489313.7959519476</v>
      </c>
      <c r="EH56" s="26">
        <f t="shared" ref="EH56" si="613">+EH55+EG56</f>
        <v>8489313.7959519476</v>
      </c>
      <c r="EI56" s="26">
        <f t="shared" ref="EI56" si="614">+EI55+EH56</f>
        <v>8489313.7959519476</v>
      </c>
      <c r="EM56" s="1" t="s">
        <v>191</v>
      </c>
    </row>
    <row r="57" spans="2:143" x14ac:dyDescent="0.45">
      <c r="B57" s="6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M57" s="1" t="s">
        <v>191</v>
      </c>
    </row>
    <row r="58" spans="2:143" x14ac:dyDescent="0.45">
      <c r="D58" s="1" t="s">
        <v>265</v>
      </c>
      <c r="G58" s="24">
        <f>IF(AND(G4=Assumptions!$G$36,Assumptions!$G$34="Yes"),Assumptions!$L$40,0)</f>
        <v>0</v>
      </c>
      <c r="H58" s="24">
        <f>IF(AND(H4=Assumptions!$G$36,Assumptions!$G$34="Yes"),Assumptions!$L$40,0)</f>
        <v>0</v>
      </c>
      <c r="I58" s="24">
        <f>IF(AND(I4=Assumptions!$G$36,Assumptions!$G$34="Yes"),Assumptions!$L$40,0)</f>
        <v>0</v>
      </c>
      <c r="J58" s="24">
        <f>IF(AND(J4=Assumptions!$G$36,Assumptions!$G$34="Yes"),Assumptions!$L$40,0)</f>
        <v>0</v>
      </c>
      <c r="K58" s="24">
        <f>IF(AND(K4=Assumptions!$G$36,Assumptions!$G$34="Yes"),Assumptions!$L$40,0)</f>
        <v>0</v>
      </c>
      <c r="L58" s="24">
        <f>IF(AND(L4=Assumptions!$G$36,Assumptions!$G$34="Yes"),Assumptions!$L$40,0)</f>
        <v>0</v>
      </c>
      <c r="M58" s="24">
        <f>IF(AND(M4=Assumptions!$G$36,Assumptions!$G$34="Yes"),Assumptions!$L$40,0)</f>
        <v>0</v>
      </c>
      <c r="N58" s="24">
        <f>IF(AND(N4=Assumptions!$G$36,Assumptions!$G$34="Yes"),Assumptions!$L$40,0)</f>
        <v>0</v>
      </c>
      <c r="O58" s="24">
        <f>IF(AND(O4=Assumptions!$G$36,Assumptions!$G$34="Yes"),Assumptions!$L$40,0)</f>
        <v>0</v>
      </c>
      <c r="P58" s="24">
        <f>IF(AND(P4=Assumptions!$G$36,Assumptions!$G$34="Yes"),Assumptions!$L$40,0)</f>
        <v>0</v>
      </c>
      <c r="Q58" s="24">
        <f>IF(AND(Q4=Assumptions!$G$36,Assumptions!$G$34="Yes"),Assumptions!$L$40,0)</f>
        <v>0</v>
      </c>
      <c r="R58" s="24">
        <f>IF(AND(R4=Assumptions!$G$36,Assumptions!$G$34="Yes"),Assumptions!$L$40,0)</f>
        <v>0</v>
      </c>
      <c r="S58" s="24">
        <f>IF(AND(S4=Assumptions!$G$36,Assumptions!$G$34="Yes"),Assumptions!$L$40,0)</f>
        <v>0</v>
      </c>
      <c r="T58" s="24">
        <f>IF(AND(T4=Assumptions!$G$36,Assumptions!$G$34="Yes"),Assumptions!$L$40,0)</f>
        <v>0</v>
      </c>
      <c r="U58" s="24">
        <f>IF(AND(U4=Assumptions!$G$36,Assumptions!$G$34="Yes"),Assumptions!$L$40,0)</f>
        <v>0</v>
      </c>
      <c r="V58" s="24">
        <f>IF(AND(V4=Assumptions!$G$36,Assumptions!$G$34="Yes"),Assumptions!$L$40,0)</f>
        <v>0</v>
      </c>
      <c r="W58" s="24">
        <f>IF(AND(W4=Assumptions!$G$36,Assumptions!$G$34="Yes"),Assumptions!$L$40,0)</f>
        <v>0</v>
      </c>
      <c r="X58" s="24">
        <f>IF(AND(X4=Assumptions!$G$36,Assumptions!$G$34="Yes"),Assumptions!$L$40,0)</f>
        <v>0</v>
      </c>
      <c r="Y58" s="24">
        <f>IF(AND(Y4=Assumptions!$G$36,Assumptions!$G$34="Yes"),Assumptions!$L$40,0)</f>
        <v>0</v>
      </c>
      <c r="Z58" s="24">
        <f>IF(AND(Z4=Assumptions!$G$36,Assumptions!$G$34="Yes"),Assumptions!$L$40,0)</f>
        <v>0</v>
      </c>
      <c r="AA58" s="24">
        <f>IF(AND(AA4=Assumptions!$G$36,Assumptions!$G$34="Yes"),Assumptions!$L$40,0)</f>
        <v>0</v>
      </c>
      <c r="AB58" s="24">
        <f>IF(AND(AB4=Assumptions!$G$36,Assumptions!$G$34="Yes"),Assumptions!$L$40,0)</f>
        <v>0</v>
      </c>
      <c r="AC58" s="24">
        <f>IF(AND(AC4=Assumptions!$G$36,Assumptions!$G$34="Yes"),Assumptions!$L$40,0)</f>
        <v>0</v>
      </c>
      <c r="AD58" s="24">
        <f>IF(AND(AD4=Assumptions!$G$36,Assumptions!$G$34="Yes"),Assumptions!$L$40,0)</f>
        <v>0</v>
      </c>
      <c r="AE58" s="24">
        <f>IF(AND(AE4=Assumptions!$G$36,Assumptions!$G$34="Yes"),Assumptions!$L$40,0)</f>
        <v>0</v>
      </c>
      <c r="AF58" s="24">
        <f>IF(AND(AF4=Assumptions!$G$36,Assumptions!$G$34="Yes"),Assumptions!$L$40,0)</f>
        <v>0</v>
      </c>
      <c r="AG58" s="24">
        <f>IF(AND(AG4=Assumptions!$G$36,Assumptions!$G$34="Yes"),Assumptions!$L$40,0)</f>
        <v>0</v>
      </c>
      <c r="AH58" s="24">
        <f>IF(AND(AH4=Assumptions!$G$36,Assumptions!$G$34="Yes"),Assumptions!$L$40,0)</f>
        <v>0</v>
      </c>
      <c r="AI58" s="24">
        <f>IF(AND(AI4=Assumptions!$G$36,Assumptions!$G$34="Yes"),Assumptions!$L$40,0)</f>
        <v>0</v>
      </c>
      <c r="AJ58" s="24">
        <f>IF(AND(AJ4=Assumptions!$G$36,Assumptions!$G$34="Yes"),Assumptions!$L$40,0)</f>
        <v>0</v>
      </c>
      <c r="AK58" s="24">
        <f>IF(AND(AK4=Assumptions!$G$36,Assumptions!$G$34="Yes"),Assumptions!$L$40,0)</f>
        <v>0</v>
      </c>
      <c r="AL58" s="24">
        <f>IF(AND(AL4=Assumptions!$G$36,Assumptions!$G$34="Yes"),Assumptions!$L$40,0)</f>
        <v>0</v>
      </c>
      <c r="AM58" s="24">
        <f>IF(AND(AM4=Assumptions!$G$36,Assumptions!$G$34="Yes"),Assumptions!$L$40,0)</f>
        <v>0</v>
      </c>
      <c r="AN58" s="24">
        <f>IF(AND(AN4=Assumptions!$G$36,Assumptions!$G$34="Yes"),Assumptions!$L$40,0)</f>
        <v>20471620.410406712</v>
      </c>
      <c r="AO58" s="24">
        <f>IF(AND(AO4=Assumptions!$G$36,Assumptions!$G$34="Yes"),Assumptions!$L$40,0)</f>
        <v>0</v>
      </c>
      <c r="AP58" s="24">
        <f>IF(AND(AP4=Assumptions!$G$36,Assumptions!$G$34="Yes"),Assumptions!$L$40,0)</f>
        <v>0</v>
      </c>
      <c r="AQ58" s="24">
        <f>IF(AND(AQ4=Assumptions!$G$36,Assumptions!$G$34="Yes"),Assumptions!$L$40,0)</f>
        <v>0</v>
      </c>
      <c r="AR58" s="24">
        <f>IF(AND(AR4=Assumptions!$G$36,Assumptions!$G$34="Yes"),Assumptions!$L$40,0)</f>
        <v>0</v>
      </c>
      <c r="AS58" s="24">
        <f>IF(AND(AS4=Assumptions!$G$36,Assumptions!$G$34="Yes"),Assumptions!$L$40,0)</f>
        <v>0</v>
      </c>
      <c r="AT58" s="24">
        <f>IF(AND(AT4=Assumptions!$G$36,Assumptions!$G$34="Yes"),Assumptions!$L$40,0)</f>
        <v>0</v>
      </c>
      <c r="AU58" s="24">
        <f>IF(AND(AU4=Assumptions!$G$36,Assumptions!$G$34="Yes"),Assumptions!$L$40,0)</f>
        <v>0</v>
      </c>
      <c r="AV58" s="24">
        <f>IF(AND(AV4=Assumptions!$G$36,Assumptions!$G$34="Yes"),Assumptions!$L$40,0)</f>
        <v>0</v>
      </c>
      <c r="AW58" s="24">
        <f>IF(AND(AW4=Assumptions!$G$36,Assumptions!$G$34="Yes"),Assumptions!$L$40,0)</f>
        <v>0</v>
      </c>
      <c r="AX58" s="24">
        <f>IF(AND(AX4=Assumptions!$G$36,Assumptions!$G$34="Yes"),Assumptions!$L$40,0)</f>
        <v>0</v>
      </c>
      <c r="AY58" s="24">
        <f>IF(AND(AY4=Assumptions!$G$36,Assumptions!$G$34="Yes"),Assumptions!$L$40,0)</f>
        <v>0</v>
      </c>
      <c r="AZ58" s="24">
        <f>IF(AND(AZ4=Assumptions!$G$36,Assumptions!$G$34="Yes"),Assumptions!$L$40,0)</f>
        <v>0</v>
      </c>
      <c r="BA58" s="24">
        <f>IF(AND(BA4=Assumptions!$G$36,Assumptions!$G$34="Yes"),Assumptions!$L$40,0)</f>
        <v>0</v>
      </c>
      <c r="BB58" s="24">
        <f>IF(AND(BB4=Assumptions!$G$36,Assumptions!$G$34="Yes"),Assumptions!$L$40,0)</f>
        <v>0</v>
      </c>
      <c r="BC58" s="24">
        <f>IF(AND(BC4=Assumptions!$G$36,Assumptions!$G$34="Yes"),Assumptions!$L$40,0)</f>
        <v>0</v>
      </c>
      <c r="BD58" s="24">
        <f>IF(AND(BD4=Assumptions!$G$36,Assumptions!$G$34="Yes"),Assumptions!$L$40,0)</f>
        <v>0</v>
      </c>
      <c r="BE58" s="24">
        <f>IF(AND(BE4=Assumptions!$G$36,Assumptions!$G$34="Yes"),Assumptions!$L$40,0)</f>
        <v>0</v>
      </c>
      <c r="BF58" s="24">
        <f>IF(AND(BF4=Assumptions!$G$36,Assumptions!$G$34="Yes"),Assumptions!$L$40,0)</f>
        <v>0</v>
      </c>
      <c r="BG58" s="24">
        <f>IF(AND(BG4=Assumptions!$G$36,Assumptions!$G$34="Yes"),Assumptions!$L$40,0)</f>
        <v>0</v>
      </c>
      <c r="BH58" s="24">
        <f>IF(AND(BH4=Assumptions!$G$36,Assumptions!$G$34="Yes"),Assumptions!$L$40,0)</f>
        <v>0</v>
      </c>
      <c r="BI58" s="24">
        <f>IF(AND(BI4=Assumptions!$G$36,Assumptions!$G$34="Yes"),Assumptions!$L$40,0)</f>
        <v>0</v>
      </c>
      <c r="BJ58" s="24">
        <f>IF(AND(BJ4=Assumptions!$G$36,Assumptions!$G$34="Yes"),Assumptions!$L$40,0)</f>
        <v>0</v>
      </c>
      <c r="BK58" s="24">
        <f>IF(AND(BK4=Assumptions!$G$36,Assumptions!$G$34="Yes"),Assumptions!$L$40,0)</f>
        <v>0</v>
      </c>
      <c r="BL58" s="24">
        <f>IF(AND(BL4=Assumptions!$G$36,Assumptions!$G$34="Yes"),Assumptions!$L$40,0)</f>
        <v>0</v>
      </c>
      <c r="BM58" s="24">
        <f>IF(AND(BM4=Assumptions!$G$36,Assumptions!$G$34="Yes"),Assumptions!$L$40,0)</f>
        <v>0</v>
      </c>
      <c r="BN58" s="24">
        <f>IF(AND(BN4=Assumptions!$G$36,Assumptions!$G$34="Yes"),Assumptions!$L$40,0)</f>
        <v>0</v>
      </c>
      <c r="BO58" s="24">
        <f>IF(AND(BO4=Assumptions!$G$36,Assumptions!$G$34="Yes"),Assumptions!$L$40,0)</f>
        <v>0</v>
      </c>
      <c r="BP58" s="24">
        <f>IF(AND(BP4=Assumptions!$G$36,Assumptions!$G$34="Yes"),Assumptions!$L$40,0)</f>
        <v>0</v>
      </c>
      <c r="BQ58" s="24">
        <f>IF(AND(BQ4=Assumptions!$G$36,Assumptions!$G$34="Yes"),Assumptions!$L$40,0)</f>
        <v>0</v>
      </c>
      <c r="BR58" s="24">
        <f>IF(AND(BR4=Assumptions!$G$36,Assumptions!$G$34="Yes"),Assumptions!$L$40,0)</f>
        <v>0</v>
      </c>
      <c r="BS58" s="24">
        <f>IF(AND(BS4=Assumptions!$G$36,Assumptions!$G$34="Yes"),Assumptions!$L$40,0)</f>
        <v>0</v>
      </c>
      <c r="BT58" s="24">
        <f>IF(AND(BT4=Assumptions!$G$36,Assumptions!$G$34="Yes"),Assumptions!$L$40,0)</f>
        <v>0</v>
      </c>
      <c r="BU58" s="24">
        <f>IF(AND(BU4=Assumptions!$G$36,Assumptions!$G$34="Yes"),Assumptions!$L$40,0)</f>
        <v>0</v>
      </c>
      <c r="BV58" s="24">
        <f>IF(AND(BV4=Assumptions!$G$36,Assumptions!$G$34="Yes"),Assumptions!$L$40,0)</f>
        <v>0</v>
      </c>
      <c r="BW58" s="24">
        <f>IF(AND(BW4=Assumptions!$G$36,Assumptions!$G$34="Yes"),Assumptions!$L$40,0)</f>
        <v>0</v>
      </c>
      <c r="BX58" s="24">
        <f>IF(AND(BX4=Assumptions!$G$36,Assumptions!$G$34="Yes"),Assumptions!$L$40,0)</f>
        <v>0</v>
      </c>
      <c r="BY58" s="24">
        <f>IF(AND(BY4=Assumptions!$G$36,Assumptions!$G$34="Yes"),Assumptions!$L$40,0)</f>
        <v>0</v>
      </c>
      <c r="BZ58" s="24">
        <f>IF(AND(BZ4=Assumptions!$G$36,Assumptions!$G$34="Yes"),Assumptions!$L$40,0)</f>
        <v>0</v>
      </c>
      <c r="CA58" s="24">
        <f>IF(AND(CA4=Assumptions!$G$36,Assumptions!$G$34="Yes"),Assumptions!$L$40,0)</f>
        <v>0</v>
      </c>
      <c r="CB58" s="24">
        <f>IF(AND(CB4=Assumptions!$G$36,Assumptions!$G$34="Yes"),Assumptions!$L$40,0)</f>
        <v>0</v>
      </c>
      <c r="CC58" s="24">
        <f>IF(AND(CC4=Assumptions!$G$36,Assumptions!$G$34="Yes"),Assumptions!$L$40,0)</f>
        <v>0</v>
      </c>
      <c r="CD58" s="24">
        <f>IF(AND(CD4=Assumptions!$G$36,Assumptions!$G$34="Yes"),Assumptions!$L$40,0)</f>
        <v>0</v>
      </c>
      <c r="CE58" s="24">
        <f>IF(AND(CE4=Assumptions!$G$36,Assumptions!$G$34="Yes"),Assumptions!$L$40,0)</f>
        <v>0</v>
      </c>
      <c r="CF58" s="24">
        <f>IF(AND(CF4=Assumptions!$G$36,Assumptions!$G$34="Yes"),Assumptions!$L$40,0)</f>
        <v>0</v>
      </c>
      <c r="CG58" s="24">
        <f>IF(AND(CG4=Assumptions!$G$36,Assumptions!$G$34="Yes"),Assumptions!$L$40,0)</f>
        <v>0</v>
      </c>
      <c r="CH58" s="24">
        <f>IF(AND(CH4=Assumptions!$G$36,Assumptions!$G$34="Yes"),Assumptions!$L$40,0)</f>
        <v>0</v>
      </c>
      <c r="CI58" s="24">
        <f>IF(AND(CI4=Assumptions!$G$36,Assumptions!$G$34="Yes"),Assumptions!$L$40,0)</f>
        <v>0</v>
      </c>
      <c r="CJ58" s="24">
        <f>IF(AND(CJ4=Assumptions!$G$36,Assumptions!$G$34="Yes"),Assumptions!$L$40,0)</f>
        <v>0</v>
      </c>
      <c r="CK58" s="24">
        <f>IF(AND(CK4=Assumptions!$G$36,Assumptions!$G$34="Yes"),Assumptions!$L$40,0)</f>
        <v>0</v>
      </c>
      <c r="CL58" s="24">
        <f>IF(AND(CL4=Assumptions!$G$36,Assumptions!$G$34="Yes"),Assumptions!$L$40,0)</f>
        <v>0</v>
      </c>
      <c r="CM58" s="24">
        <f>IF(AND(CM4=Assumptions!$G$36,Assumptions!$G$34="Yes"),Assumptions!$L$40,0)</f>
        <v>0</v>
      </c>
      <c r="CN58" s="24">
        <f>IF(AND(CN4=Assumptions!$G$36,Assumptions!$G$34="Yes"),Assumptions!$L$40,0)</f>
        <v>0</v>
      </c>
      <c r="CO58" s="24">
        <f>IF(AND(CO4=Assumptions!$G$36,Assumptions!$G$34="Yes"),Assumptions!$L$40,0)</f>
        <v>0</v>
      </c>
      <c r="CP58" s="24">
        <f>IF(AND(CP4=Assumptions!$G$36,Assumptions!$G$34="Yes"),Assumptions!$L$40,0)</f>
        <v>0</v>
      </c>
      <c r="CQ58" s="24">
        <f>IF(AND(CQ4=Assumptions!$G$36,Assumptions!$G$34="Yes"),Assumptions!$L$40,0)</f>
        <v>0</v>
      </c>
      <c r="CR58" s="24">
        <f>IF(AND(CR4=Assumptions!$G$36,Assumptions!$G$34="Yes"),Assumptions!$L$40,0)</f>
        <v>0</v>
      </c>
      <c r="CS58" s="24">
        <f>IF(AND(CS4=Assumptions!$G$36,Assumptions!$G$34="Yes"),Assumptions!$L$40,0)</f>
        <v>0</v>
      </c>
      <c r="CT58" s="24">
        <f>IF(AND(CT4=Assumptions!$G$36,Assumptions!$G$34="Yes"),Assumptions!$L$40,0)</f>
        <v>0</v>
      </c>
      <c r="CU58" s="24">
        <f>IF(AND(CU4=Assumptions!$G$36,Assumptions!$G$34="Yes"),Assumptions!$L$40,0)</f>
        <v>0</v>
      </c>
      <c r="CV58" s="24">
        <f>IF(AND(CV4=Assumptions!$G$36,Assumptions!$G$34="Yes"),Assumptions!$L$40,0)</f>
        <v>0</v>
      </c>
      <c r="CW58" s="24">
        <f>IF(AND(CW4=Assumptions!$G$36,Assumptions!$G$34="Yes"),Assumptions!$L$40,0)</f>
        <v>0</v>
      </c>
      <c r="CX58" s="24">
        <f>IF(AND(CX4=Assumptions!$G$36,Assumptions!$G$34="Yes"),Assumptions!$L$40,0)</f>
        <v>0</v>
      </c>
      <c r="CY58" s="24">
        <f>IF(AND(CY4=Assumptions!$G$36,Assumptions!$G$34="Yes"),Assumptions!$L$40,0)</f>
        <v>0</v>
      </c>
      <c r="CZ58" s="24">
        <f>IF(AND(CZ4=Assumptions!$G$36,Assumptions!$G$34="Yes"),Assumptions!$L$40,0)</f>
        <v>0</v>
      </c>
      <c r="DA58" s="24">
        <f>IF(AND(DA4=Assumptions!$G$36,Assumptions!$G$34="Yes"),Assumptions!$L$40,0)</f>
        <v>0</v>
      </c>
      <c r="DB58" s="24">
        <f>IF(AND(DB4=Assumptions!$G$36,Assumptions!$G$34="Yes"),Assumptions!$L$40,0)</f>
        <v>0</v>
      </c>
      <c r="DC58" s="24">
        <f>IF(AND(DC4=Assumptions!$G$36,Assumptions!$G$34="Yes"),Assumptions!$L$40,0)</f>
        <v>0</v>
      </c>
      <c r="DD58" s="24">
        <f>IF(AND(DD4=Assumptions!$G$36,Assumptions!$G$34="Yes"),Assumptions!$L$40,0)</f>
        <v>0</v>
      </c>
      <c r="DE58" s="24">
        <f>IF(AND(DE4=Assumptions!$G$36,Assumptions!$G$34="Yes"),Assumptions!$L$40,0)</f>
        <v>0</v>
      </c>
      <c r="DF58" s="24">
        <f>IF(AND(DF4=Assumptions!$G$36,Assumptions!$G$34="Yes"),Assumptions!$L$40,0)</f>
        <v>0</v>
      </c>
      <c r="DG58" s="24">
        <f>IF(AND(DG4=Assumptions!$G$36,Assumptions!$G$34="Yes"),Assumptions!$L$40,0)</f>
        <v>0</v>
      </c>
      <c r="DH58" s="24">
        <f>IF(AND(DH4=Assumptions!$G$36,Assumptions!$G$34="Yes"),Assumptions!$L$40,0)</f>
        <v>0</v>
      </c>
      <c r="DI58" s="24">
        <f>IF(AND(DI4=Assumptions!$G$36,Assumptions!$G$34="Yes"),Assumptions!$L$40,0)</f>
        <v>0</v>
      </c>
      <c r="DJ58" s="24">
        <f>IF(AND(DJ4=Assumptions!$G$36,Assumptions!$G$34="Yes"),Assumptions!$L$40,0)</f>
        <v>0</v>
      </c>
      <c r="DK58" s="24">
        <f>IF(AND(DK4=Assumptions!$G$36,Assumptions!$G$34="Yes"),Assumptions!$L$40,0)</f>
        <v>0</v>
      </c>
      <c r="DL58" s="24">
        <f>IF(AND(DL4=Assumptions!$G$36,Assumptions!$G$34="Yes"),Assumptions!$L$40,0)</f>
        <v>0</v>
      </c>
      <c r="DM58" s="24">
        <f>IF(AND(DM4=Assumptions!$G$36,Assumptions!$G$34="Yes"),Assumptions!$L$40,0)</f>
        <v>0</v>
      </c>
      <c r="DN58" s="24">
        <f>IF(AND(DN4=Assumptions!$G$36,Assumptions!$G$34="Yes"),Assumptions!$L$40,0)</f>
        <v>0</v>
      </c>
      <c r="DO58" s="24">
        <f>IF(AND(DO4=Assumptions!$G$36,Assumptions!$G$34="Yes"),Assumptions!$L$40,0)</f>
        <v>0</v>
      </c>
      <c r="DP58" s="24">
        <f>IF(AND(DP4=Assumptions!$G$36,Assumptions!$G$34="Yes"),Assumptions!$L$40,0)</f>
        <v>0</v>
      </c>
      <c r="DQ58" s="24">
        <f>IF(AND(DQ4=Assumptions!$G$36,Assumptions!$G$34="Yes"),Assumptions!$L$40,0)</f>
        <v>0</v>
      </c>
      <c r="DR58" s="24">
        <f>IF(AND(DR4=Assumptions!$G$36,Assumptions!$G$34="Yes"),Assumptions!$L$40,0)</f>
        <v>0</v>
      </c>
      <c r="DS58" s="24">
        <f>IF(AND(DS4=Assumptions!$G$36,Assumptions!$G$34="Yes"),Assumptions!$L$40,0)</f>
        <v>0</v>
      </c>
      <c r="DT58" s="24">
        <f>IF(AND(DT4=Assumptions!$G$36,Assumptions!$G$34="Yes"),Assumptions!$L$40,0)</f>
        <v>0</v>
      </c>
      <c r="DU58" s="24">
        <f>IF(AND(DU4=Assumptions!$G$36,Assumptions!$G$34="Yes"),Assumptions!$L$40,0)</f>
        <v>0</v>
      </c>
      <c r="DV58" s="24">
        <f>IF(AND(DV4=Assumptions!$G$36,Assumptions!$G$34="Yes"),Assumptions!$L$40,0)</f>
        <v>0</v>
      </c>
      <c r="DW58" s="24">
        <f>IF(AND(DW4=Assumptions!$G$36,Assumptions!$G$34="Yes"),Assumptions!$L$40,0)</f>
        <v>0</v>
      </c>
      <c r="DX58" s="24">
        <f>IF(AND(DX4=Assumptions!$G$36,Assumptions!$G$34="Yes"),Assumptions!$L$40,0)</f>
        <v>0</v>
      </c>
      <c r="DY58" s="24">
        <f>IF(AND(DY4=Assumptions!$G$36,Assumptions!$G$34="Yes"),Assumptions!$L$40,0)</f>
        <v>0</v>
      </c>
      <c r="DZ58" s="24">
        <f>IF(AND(DZ4=Assumptions!$G$36,Assumptions!$G$34="Yes"),Assumptions!$L$40,0)</f>
        <v>0</v>
      </c>
      <c r="EA58" s="24">
        <f>IF(AND(EA4=Assumptions!$G$36,Assumptions!$G$34="Yes"),Assumptions!$L$40,0)</f>
        <v>0</v>
      </c>
      <c r="EB58" s="24">
        <f>IF(AND(EB4=Assumptions!$G$36,Assumptions!$G$34="Yes"),Assumptions!$L$40,0)</f>
        <v>0</v>
      </c>
      <c r="EC58" s="24">
        <f>IF(AND(EC4=Assumptions!$G$36,Assumptions!$G$34="Yes"),Assumptions!$L$40,0)</f>
        <v>0</v>
      </c>
      <c r="ED58" s="24">
        <f>IF(AND(ED4=Assumptions!$G$36,Assumptions!$G$34="Yes"),Assumptions!$L$40,0)</f>
        <v>0</v>
      </c>
      <c r="EE58" s="24">
        <f>IF(AND(EE4=Assumptions!$G$36,Assumptions!$G$34="Yes"),Assumptions!$L$40,0)</f>
        <v>0</v>
      </c>
      <c r="EF58" s="24">
        <f>IF(AND(EF4=Assumptions!$G$36,Assumptions!$G$34="Yes"),Assumptions!$L$40,0)</f>
        <v>0</v>
      </c>
      <c r="EG58" s="24">
        <f>IF(AND(EG4=Assumptions!$G$36,Assumptions!$G$34="Yes"),Assumptions!$L$40,0)</f>
        <v>0</v>
      </c>
      <c r="EH58" s="24">
        <f>IF(AND(EH4=Assumptions!$G$36,Assumptions!$G$34="Yes"),Assumptions!$L$40,0)</f>
        <v>0</v>
      </c>
      <c r="EI58" s="24">
        <f>IF(AND(EI4=Assumptions!$G$36,Assumptions!$G$34="Yes"),Assumptions!$L$40,0)</f>
        <v>0</v>
      </c>
      <c r="EM58" s="1" t="s">
        <v>191</v>
      </c>
    </row>
    <row r="59" spans="2:143" x14ac:dyDescent="0.45">
      <c r="D59" s="1" t="s">
        <v>270</v>
      </c>
      <c r="G59" s="24">
        <f t="shared" ref="G59:X59" si="615">+G32-G51+G55+SUM(G44:G46)</f>
        <v>0</v>
      </c>
      <c r="H59" s="24">
        <f t="shared" si="615"/>
        <v>0</v>
      </c>
      <c r="I59" s="24">
        <f t="shared" si="615"/>
        <v>0</v>
      </c>
      <c r="J59" s="24">
        <f t="shared" si="615"/>
        <v>0</v>
      </c>
      <c r="K59" s="24">
        <f t="shared" si="615"/>
        <v>9.0949470177292824E-12</v>
      </c>
      <c r="L59" s="24">
        <f t="shared" si="615"/>
        <v>0</v>
      </c>
      <c r="M59" s="24">
        <f t="shared" si="615"/>
        <v>0</v>
      </c>
      <c r="N59" s="24">
        <f t="shared" si="615"/>
        <v>0</v>
      </c>
      <c r="O59" s="24">
        <f t="shared" si="615"/>
        <v>0</v>
      </c>
      <c r="P59" s="24">
        <f t="shared" si="615"/>
        <v>0</v>
      </c>
      <c r="Q59" s="24">
        <f t="shared" si="615"/>
        <v>0</v>
      </c>
      <c r="R59" s="24">
        <f t="shared" si="615"/>
        <v>0</v>
      </c>
      <c r="S59" s="24">
        <f t="shared" si="615"/>
        <v>0</v>
      </c>
      <c r="T59" s="24">
        <f t="shared" si="615"/>
        <v>0</v>
      </c>
      <c r="U59" s="24">
        <f t="shared" si="615"/>
        <v>0</v>
      </c>
      <c r="V59" s="24">
        <f t="shared" si="615"/>
        <v>0</v>
      </c>
      <c r="W59" s="24">
        <f t="shared" si="615"/>
        <v>712.64493491802932</v>
      </c>
      <c r="X59" s="24">
        <f t="shared" si="615"/>
        <v>3502.1270806241755</v>
      </c>
      <c r="Y59" s="24">
        <f>+Y32-Y51+Y55+SUM(Y44:Y46)</f>
        <v>6302.7937276330858</v>
      </c>
      <c r="Z59" s="24">
        <f t="shared" ref="Z59:BE59" si="616">+Z32-Z51+Z55+SUM(Z44:Z46)</f>
        <v>9114.6793596626321</v>
      </c>
      <c r="AA59" s="24">
        <f t="shared" si="616"/>
        <v>11937.818555550271</v>
      </c>
      <c r="AB59" s="24">
        <f t="shared" si="616"/>
        <v>14772.245989499514</v>
      </c>
      <c r="AC59" s="24">
        <f t="shared" si="616"/>
        <v>17617.996431327392</v>
      </c>
      <c r="AD59" s="24">
        <f t="shared" si="616"/>
        <v>20475.104746712284</v>
      </c>
      <c r="AE59" s="24">
        <f t="shared" si="616"/>
        <v>23343.605897437221</v>
      </c>
      <c r="AF59" s="24">
        <f t="shared" si="616"/>
        <v>26223.534941664722</v>
      </c>
      <c r="AG59" s="24">
        <f t="shared" si="616"/>
        <v>29114.927034134969</v>
      </c>
      <c r="AH59" s="24">
        <f t="shared" si="616"/>
        <v>32017.817426467787</v>
      </c>
      <c r="AI59" s="24">
        <f t="shared" si="616"/>
        <v>40015.347278823101</v>
      </c>
      <c r="AJ59" s="24">
        <f t="shared" si="616"/>
        <v>48045.385854192238</v>
      </c>
      <c r="AK59" s="24">
        <f t="shared" si="616"/>
        <v>56108.033532665388</v>
      </c>
      <c r="AL59" s="24">
        <f t="shared" si="616"/>
        <v>56446.817602560273</v>
      </c>
      <c r="AM59" s="24">
        <f t="shared" si="616"/>
        <v>56786.334491761838</v>
      </c>
      <c r="AN59" s="24">
        <f t="shared" si="616"/>
        <v>-11004731.599722559</v>
      </c>
      <c r="AO59" s="24">
        <f t="shared" si="616"/>
        <v>156194.37465337949</v>
      </c>
      <c r="AP59" s="24">
        <f t="shared" si="616"/>
        <v>156536.09944433902</v>
      </c>
      <c r="AQ59" s="24">
        <f t="shared" si="616"/>
        <v>156878.56336168613</v>
      </c>
      <c r="AR59" s="24">
        <f t="shared" si="616"/>
        <v>157221.76799060017</v>
      </c>
      <c r="AS59" s="24">
        <f t="shared" si="616"/>
        <v>157565.71491963876</v>
      </c>
      <c r="AT59" s="24">
        <f t="shared" si="616"/>
        <v>157910.40574074458</v>
      </c>
      <c r="AU59" s="24">
        <f t="shared" si="616"/>
        <v>158255.84204925271</v>
      </c>
      <c r="AV59" s="24">
        <f t="shared" si="616"/>
        <v>158602.02544389782</v>
      </c>
      <c r="AW59" s="24">
        <f t="shared" si="616"/>
        <v>158948.95752682129</v>
      </c>
      <c r="AX59" s="24">
        <f t="shared" si="616"/>
        <v>159296.6399035785</v>
      </c>
      <c r="AY59" s="24">
        <f t="shared" si="616"/>
        <v>159645.07418314603</v>
      </c>
      <c r="AZ59" s="24">
        <f t="shared" si="616"/>
        <v>159994.26197792901</v>
      </c>
      <c r="BA59" s="24">
        <f t="shared" si="616"/>
        <v>160344.20490376803</v>
      </c>
      <c r="BB59" s="24">
        <f t="shared" si="616"/>
        <v>160694.90457994718</v>
      </c>
      <c r="BC59" s="24">
        <f t="shared" si="616"/>
        <v>161046.36262920051</v>
      </c>
      <c r="BD59" s="24">
        <f t="shared" si="616"/>
        <v>161398.58067771993</v>
      </c>
      <c r="BE59" s="24">
        <f t="shared" si="616"/>
        <v>161751.56035516207</v>
      </c>
      <c r="BF59" s="24">
        <f t="shared" ref="BF59:CK59" si="617">+BF32-BF51+BF55+SUM(BF44:BF46)</f>
        <v>162105.30329465613</v>
      </c>
      <c r="BG59" s="24">
        <f t="shared" si="617"/>
        <v>162459.81113281101</v>
      </c>
      <c r="BH59" s="24">
        <f t="shared" si="617"/>
        <v>162815.0855097225</v>
      </c>
      <c r="BI59" s="24">
        <f t="shared" si="617"/>
        <v>163171.12806898102</v>
      </c>
      <c r="BJ59" s="24">
        <f t="shared" si="617"/>
        <v>163527.94045767869</v>
      </c>
      <c r="BK59" s="24">
        <f t="shared" si="617"/>
        <v>163885.52432641713</v>
      </c>
      <c r="BL59" s="24">
        <f t="shared" si="617"/>
        <v>164243.88132931446</v>
      </c>
      <c r="BM59" s="24">
        <f t="shared" si="617"/>
        <v>164603.01312401326</v>
      </c>
      <c r="BN59" s="24">
        <f t="shared" si="617"/>
        <v>164962.92137168755</v>
      </c>
      <c r="BO59" s="24">
        <f t="shared" si="617"/>
        <v>33163360.711585846</v>
      </c>
      <c r="BP59" s="24">
        <f t="shared" si="617"/>
        <v>0</v>
      </c>
      <c r="BQ59" s="24">
        <f t="shared" si="617"/>
        <v>0</v>
      </c>
      <c r="BR59" s="24">
        <f t="shared" si="617"/>
        <v>0</v>
      </c>
      <c r="BS59" s="24">
        <f t="shared" si="617"/>
        <v>0</v>
      </c>
      <c r="BT59" s="24">
        <f t="shared" si="617"/>
        <v>0</v>
      </c>
      <c r="BU59" s="24">
        <f t="shared" si="617"/>
        <v>0</v>
      </c>
      <c r="BV59" s="24">
        <f t="shared" si="617"/>
        <v>0</v>
      </c>
      <c r="BW59" s="24">
        <f t="shared" si="617"/>
        <v>0</v>
      </c>
      <c r="BX59" s="24">
        <f t="shared" si="617"/>
        <v>0</v>
      </c>
      <c r="BY59" s="24">
        <f t="shared" si="617"/>
        <v>0</v>
      </c>
      <c r="BZ59" s="24">
        <f t="shared" si="617"/>
        <v>0</v>
      </c>
      <c r="CA59" s="24">
        <f t="shared" si="617"/>
        <v>0</v>
      </c>
      <c r="CB59" s="24">
        <f t="shared" si="617"/>
        <v>0</v>
      </c>
      <c r="CC59" s="24">
        <f t="shared" si="617"/>
        <v>0</v>
      </c>
      <c r="CD59" s="24">
        <f t="shared" si="617"/>
        <v>0</v>
      </c>
      <c r="CE59" s="24">
        <f t="shared" si="617"/>
        <v>0</v>
      </c>
      <c r="CF59" s="24">
        <f t="shared" si="617"/>
        <v>0</v>
      </c>
      <c r="CG59" s="24">
        <f t="shared" si="617"/>
        <v>0</v>
      </c>
      <c r="CH59" s="24">
        <f t="shared" si="617"/>
        <v>0</v>
      </c>
      <c r="CI59" s="24">
        <f t="shared" si="617"/>
        <v>0</v>
      </c>
      <c r="CJ59" s="24">
        <f t="shared" si="617"/>
        <v>0</v>
      </c>
      <c r="CK59" s="24">
        <f t="shared" si="617"/>
        <v>0</v>
      </c>
      <c r="CL59" s="24">
        <f t="shared" ref="CL59:DQ59" si="618">+CL32-CL51+CL55+SUM(CL44:CL46)</f>
        <v>0</v>
      </c>
      <c r="CM59" s="24">
        <f t="shared" si="618"/>
        <v>0</v>
      </c>
      <c r="CN59" s="24">
        <f t="shared" si="618"/>
        <v>0</v>
      </c>
      <c r="CO59" s="24">
        <f t="shared" si="618"/>
        <v>0</v>
      </c>
      <c r="CP59" s="24">
        <f t="shared" si="618"/>
        <v>0</v>
      </c>
      <c r="CQ59" s="24">
        <f t="shared" si="618"/>
        <v>0</v>
      </c>
      <c r="CR59" s="24">
        <f t="shared" si="618"/>
        <v>0</v>
      </c>
      <c r="CS59" s="24">
        <f t="shared" si="618"/>
        <v>0</v>
      </c>
      <c r="CT59" s="24">
        <f t="shared" si="618"/>
        <v>0</v>
      </c>
      <c r="CU59" s="24">
        <f t="shared" si="618"/>
        <v>0</v>
      </c>
      <c r="CV59" s="24">
        <f t="shared" si="618"/>
        <v>0</v>
      </c>
      <c r="CW59" s="24">
        <f t="shared" si="618"/>
        <v>0</v>
      </c>
      <c r="CX59" s="24">
        <f t="shared" si="618"/>
        <v>0</v>
      </c>
      <c r="CY59" s="24">
        <f t="shared" si="618"/>
        <v>0</v>
      </c>
      <c r="CZ59" s="24">
        <f t="shared" si="618"/>
        <v>0</v>
      </c>
      <c r="DA59" s="24">
        <f t="shared" si="618"/>
        <v>0</v>
      </c>
      <c r="DB59" s="24">
        <f t="shared" si="618"/>
        <v>0</v>
      </c>
      <c r="DC59" s="24">
        <f t="shared" si="618"/>
        <v>0</v>
      </c>
      <c r="DD59" s="24">
        <f t="shared" si="618"/>
        <v>0</v>
      </c>
      <c r="DE59" s="24">
        <f t="shared" si="618"/>
        <v>0</v>
      </c>
      <c r="DF59" s="24">
        <f t="shared" si="618"/>
        <v>0</v>
      </c>
      <c r="DG59" s="24">
        <f t="shared" si="618"/>
        <v>0</v>
      </c>
      <c r="DH59" s="24">
        <f t="shared" si="618"/>
        <v>0</v>
      </c>
      <c r="DI59" s="24">
        <f t="shared" si="618"/>
        <v>0</v>
      </c>
      <c r="DJ59" s="24">
        <f t="shared" si="618"/>
        <v>0</v>
      </c>
      <c r="DK59" s="24">
        <f t="shared" si="618"/>
        <v>0</v>
      </c>
      <c r="DL59" s="24">
        <f t="shared" si="618"/>
        <v>0</v>
      </c>
      <c r="DM59" s="24">
        <f t="shared" si="618"/>
        <v>0</v>
      </c>
      <c r="DN59" s="24">
        <f t="shared" si="618"/>
        <v>0</v>
      </c>
      <c r="DO59" s="24">
        <f t="shared" si="618"/>
        <v>0</v>
      </c>
      <c r="DP59" s="24">
        <f t="shared" si="618"/>
        <v>0</v>
      </c>
      <c r="DQ59" s="24">
        <f t="shared" si="618"/>
        <v>0</v>
      </c>
      <c r="DR59" s="24">
        <f t="shared" ref="DR59:EI59" si="619">+DR32-DR51+DR55+SUM(DR44:DR46)</f>
        <v>0</v>
      </c>
      <c r="DS59" s="24">
        <f t="shared" si="619"/>
        <v>0</v>
      </c>
      <c r="DT59" s="24">
        <f t="shared" si="619"/>
        <v>0</v>
      </c>
      <c r="DU59" s="24">
        <f t="shared" si="619"/>
        <v>0</v>
      </c>
      <c r="DV59" s="24">
        <f t="shared" si="619"/>
        <v>0</v>
      </c>
      <c r="DW59" s="24">
        <f t="shared" si="619"/>
        <v>0</v>
      </c>
      <c r="DX59" s="24">
        <f t="shared" si="619"/>
        <v>0</v>
      </c>
      <c r="DY59" s="24">
        <f t="shared" si="619"/>
        <v>0</v>
      </c>
      <c r="DZ59" s="24">
        <f t="shared" si="619"/>
        <v>0</v>
      </c>
      <c r="EA59" s="24">
        <f t="shared" si="619"/>
        <v>0</v>
      </c>
      <c r="EB59" s="24">
        <f t="shared" si="619"/>
        <v>0</v>
      </c>
      <c r="EC59" s="24">
        <f t="shared" si="619"/>
        <v>0</v>
      </c>
      <c r="ED59" s="24">
        <f t="shared" si="619"/>
        <v>0</v>
      </c>
      <c r="EE59" s="24">
        <f t="shared" si="619"/>
        <v>0</v>
      </c>
      <c r="EF59" s="24">
        <f t="shared" si="619"/>
        <v>0</v>
      </c>
      <c r="EG59" s="24">
        <f t="shared" si="619"/>
        <v>0</v>
      </c>
      <c r="EH59" s="24">
        <f t="shared" si="619"/>
        <v>0</v>
      </c>
      <c r="EI59" s="24">
        <f t="shared" si="619"/>
        <v>0</v>
      </c>
      <c r="EM59" s="1" t="s">
        <v>191</v>
      </c>
    </row>
    <row r="60" spans="2:143" x14ac:dyDescent="0.45"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4"/>
      <c r="EI60" s="24"/>
      <c r="EM60" s="1" t="s">
        <v>191</v>
      </c>
    </row>
    <row r="61" spans="2:143" x14ac:dyDescent="0.45">
      <c r="D61" s="8" t="s">
        <v>47</v>
      </c>
      <c r="E61" s="8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4"/>
      <c r="DV61" s="24"/>
      <c r="DW61" s="24"/>
      <c r="DX61" s="24"/>
      <c r="DY61" s="24"/>
      <c r="DZ61" s="24"/>
      <c r="EA61" s="24"/>
      <c r="EB61" s="24"/>
      <c r="EC61" s="24"/>
      <c r="ED61" s="24"/>
      <c r="EE61" s="24"/>
      <c r="EF61" s="24"/>
      <c r="EG61" s="24"/>
      <c r="EH61" s="24"/>
      <c r="EI61" s="24"/>
      <c r="EM61" s="1" t="s">
        <v>191</v>
      </c>
    </row>
    <row r="62" spans="2:143" x14ac:dyDescent="0.45">
      <c r="D62" s="1" t="s">
        <v>36</v>
      </c>
      <c r="G62" s="24">
        <f t="shared" ref="G62" si="620">+F67</f>
        <v>0</v>
      </c>
      <c r="H62" s="24">
        <f t="shared" ref="H62" si="621">+G67</f>
        <v>0</v>
      </c>
      <c r="I62" s="24">
        <f t="shared" ref="I62" si="622">+H67</f>
        <v>0</v>
      </c>
      <c r="J62" s="24">
        <f t="shared" ref="J62" si="623">+I67</f>
        <v>0</v>
      </c>
      <c r="K62" s="24">
        <f t="shared" ref="K62" si="624">+J67</f>
        <v>0</v>
      </c>
      <c r="L62" s="24">
        <f t="shared" ref="L62" si="625">+K67</f>
        <v>0</v>
      </c>
      <c r="M62" s="24">
        <f t="shared" ref="M62" si="626">+L67</f>
        <v>0</v>
      </c>
      <c r="N62" s="24">
        <f t="shared" ref="N62" si="627">+M67</f>
        <v>0</v>
      </c>
      <c r="O62" s="24">
        <f t="shared" ref="O62" si="628">+N67</f>
        <v>0</v>
      </c>
      <c r="P62" s="24">
        <f t="shared" ref="P62" si="629">+O67</f>
        <v>0</v>
      </c>
      <c r="Q62" s="24">
        <f t="shared" ref="Q62" si="630">+P67</f>
        <v>0</v>
      </c>
      <c r="R62" s="24">
        <f t="shared" ref="R62" si="631">+Q67</f>
        <v>0</v>
      </c>
      <c r="S62" s="24">
        <f t="shared" ref="S62" si="632">+R67</f>
        <v>0</v>
      </c>
      <c r="T62" s="24">
        <f t="shared" ref="T62" si="633">+S67</f>
        <v>0</v>
      </c>
      <c r="U62" s="24">
        <f t="shared" ref="U62" si="634">+T67</f>
        <v>0</v>
      </c>
      <c r="V62" s="24">
        <f t="shared" ref="V62" si="635">+U67</f>
        <v>0</v>
      </c>
      <c r="W62" s="24">
        <f t="shared" ref="W62" si="636">+V67</f>
        <v>0</v>
      </c>
      <c r="X62" s="24">
        <f t="shared" ref="X62" si="637">+W67</f>
        <v>0</v>
      </c>
      <c r="Y62" s="24">
        <f t="shared" ref="Y62" si="638">+X67</f>
        <v>0</v>
      </c>
      <c r="Z62" s="24">
        <f t="shared" ref="Z62" si="639">+Y67</f>
        <v>0</v>
      </c>
      <c r="AA62" s="24">
        <f t="shared" ref="AA62" si="640">+Z67</f>
        <v>0</v>
      </c>
      <c r="AB62" s="24">
        <f t="shared" ref="AB62" si="641">+AA67</f>
        <v>0</v>
      </c>
      <c r="AC62" s="24">
        <f t="shared" ref="AC62" si="642">+AB67</f>
        <v>0</v>
      </c>
      <c r="AD62" s="24">
        <f t="shared" ref="AD62" si="643">+AC67</f>
        <v>0</v>
      </c>
      <c r="AE62" s="24">
        <f t="shared" ref="AE62" si="644">+AD67</f>
        <v>0</v>
      </c>
      <c r="AF62" s="24">
        <f t="shared" ref="AF62" si="645">+AE67</f>
        <v>0</v>
      </c>
      <c r="AG62" s="24">
        <f t="shared" ref="AG62" si="646">+AF67</f>
        <v>0</v>
      </c>
      <c r="AH62" s="24">
        <f t="shared" ref="AH62" si="647">+AG67</f>
        <v>0</v>
      </c>
      <c r="AI62" s="24">
        <f t="shared" ref="AI62" si="648">+AH67</f>
        <v>0</v>
      </c>
      <c r="AJ62" s="24">
        <f t="shared" ref="AJ62" si="649">+AI67</f>
        <v>0</v>
      </c>
      <c r="AK62" s="24">
        <f t="shared" ref="AK62" si="650">+AJ67</f>
        <v>0</v>
      </c>
      <c r="AL62" s="24">
        <f t="shared" ref="AL62" si="651">+AK67</f>
        <v>0</v>
      </c>
      <c r="AM62" s="24">
        <f t="shared" ref="AM62" si="652">+AL67</f>
        <v>0</v>
      </c>
      <c r="AN62" s="24">
        <f t="shared" ref="AN62" si="653">+AM67</f>
        <v>0</v>
      </c>
      <c r="AO62" s="24">
        <f t="shared" ref="AO62" si="654">+AN67</f>
        <v>20678404.454956274</v>
      </c>
      <c r="AP62" s="24">
        <f t="shared" ref="AP62" si="655">+AO67</f>
        <v>20658532.700762544</v>
      </c>
      <c r="AQ62" s="24">
        <f t="shared" ref="AQ62" si="656">+AP67</f>
        <v>20638558.541954719</v>
      </c>
      <c r="AR62" s="24">
        <f t="shared" ref="AR62" si="657">+AQ67</f>
        <v>20618481.450813666</v>
      </c>
      <c r="AS62" s="24">
        <f t="shared" ref="AS62" si="658">+AR67</f>
        <v>20598300.896900762</v>
      </c>
      <c r="AT62" s="24">
        <f t="shared" ref="AT62" si="659">+AS67</f>
        <v>20578016.347043891</v>
      </c>
      <c r="AU62" s="24">
        <f t="shared" ref="AU62" si="660">+AT67</f>
        <v>20557627.265323356</v>
      </c>
      <c r="AV62" s="24">
        <f t="shared" ref="AV62" si="661">+AU67</f>
        <v>20537133.113057718</v>
      </c>
      <c r="AW62" s="24">
        <f t="shared" ref="AW62" si="662">+AV67</f>
        <v>20516533.348789565</v>
      </c>
      <c r="AX62" s="24">
        <f t="shared" ref="AX62" si="663">+AW67</f>
        <v>20495827.428271204</v>
      </c>
      <c r="AY62" s="24">
        <f t="shared" ref="AY62" si="664">+AX67</f>
        <v>20475014.804450281</v>
      </c>
      <c r="AZ62" s="24">
        <f t="shared" ref="AZ62" si="665">+AY67</f>
        <v>20454094.92745534</v>
      </c>
      <c r="BA62" s="24">
        <f t="shared" ref="BA62" si="666">+AZ67</f>
        <v>20433067.244581275</v>
      </c>
      <c r="BB62" s="24">
        <f t="shared" ref="BB62" si="667">+BA67</f>
        <v>20411931.200274747</v>
      </c>
      <c r="BC62" s="24">
        <f t="shared" ref="BC62" si="668">+BB67</f>
        <v>20390686.236119498</v>
      </c>
      <c r="BD62" s="24">
        <f t="shared" ref="BD62" si="669">+BC67</f>
        <v>20369331.79082159</v>
      </c>
      <c r="BE62" s="24">
        <f t="shared" ref="BE62" si="670">+BD67</f>
        <v>20347867.300194591</v>
      </c>
      <c r="BF62" s="24">
        <f t="shared" ref="BF62" si="671">+BE67</f>
        <v>20326292.197144657</v>
      </c>
      <c r="BG62" s="24">
        <f t="shared" ref="BG62" si="672">+BF67</f>
        <v>20304605.911655553</v>
      </c>
      <c r="BH62" s="24">
        <f t="shared" ref="BH62" si="673">+BG67</f>
        <v>20282807.870773595</v>
      </c>
      <c r="BI62" s="24">
        <f t="shared" ref="BI62" si="674">+BH67</f>
        <v>20260897.498592511</v>
      </c>
      <c r="BJ62" s="24">
        <f t="shared" ref="BJ62" si="675">+BI67</f>
        <v>20238874.216238223</v>
      </c>
      <c r="BK62" s="24">
        <f t="shared" ref="BK62" si="676">+BJ67</f>
        <v>20216737.441853561</v>
      </c>
      <c r="BL62" s="24">
        <f t="shared" ref="BL62" si="677">+BK67</f>
        <v>20194486.590582881</v>
      </c>
      <c r="BM62" s="24">
        <f t="shared" ref="BM62" si="678">+BL67</f>
        <v>20172121.074556623</v>
      </c>
      <c r="BN62" s="24">
        <f t="shared" ref="BN62" si="679">+BM67</f>
        <v>20149640.302875761</v>
      </c>
      <c r="BO62" s="24">
        <f t="shared" ref="BO62" si="680">+BN67</f>
        <v>20127043.681596216</v>
      </c>
      <c r="BP62" s="24">
        <f t="shared" ref="BP62" si="681">+BO67</f>
        <v>0</v>
      </c>
      <c r="BQ62" s="24">
        <f t="shared" ref="BQ62" si="682">+BP67</f>
        <v>0</v>
      </c>
      <c r="BR62" s="24">
        <f t="shared" ref="BR62" si="683">+BQ67</f>
        <v>0</v>
      </c>
      <c r="BS62" s="24">
        <f t="shared" ref="BS62" si="684">+BR67</f>
        <v>0</v>
      </c>
      <c r="BT62" s="24">
        <f t="shared" ref="BT62" si="685">+BS67</f>
        <v>0</v>
      </c>
      <c r="BU62" s="24">
        <f t="shared" ref="BU62" si="686">+BT67</f>
        <v>0</v>
      </c>
      <c r="BV62" s="24">
        <f t="shared" ref="BV62" si="687">+BU67</f>
        <v>0</v>
      </c>
      <c r="BW62" s="24">
        <f t="shared" ref="BW62" si="688">+BV67</f>
        <v>0</v>
      </c>
      <c r="BX62" s="24">
        <f t="shared" ref="BX62" si="689">+BW67</f>
        <v>0</v>
      </c>
      <c r="BY62" s="24">
        <f t="shared" ref="BY62" si="690">+BX67</f>
        <v>0</v>
      </c>
      <c r="BZ62" s="24">
        <f t="shared" ref="BZ62" si="691">+BY67</f>
        <v>0</v>
      </c>
      <c r="CA62" s="24">
        <f t="shared" ref="CA62" si="692">+BZ67</f>
        <v>0</v>
      </c>
      <c r="CB62" s="24">
        <f t="shared" ref="CB62" si="693">+CA67</f>
        <v>0</v>
      </c>
      <c r="CC62" s="24">
        <f t="shared" ref="CC62" si="694">+CB67</f>
        <v>0</v>
      </c>
      <c r="CD62" s="24">
        <f t="shared" ref="CD62" si="695">+CC67</f>
        <v>0</v>
      </c>
      <c r="CE62" s="24">
        <f t="shared" ref="CE62" si="696">+CD67</f>
        <v>0</v>
      </c>
      <c r="CF62" s="24">
        <f t="shared" ref="CF62" si="697">+CE67</f>
        <v>0</v>
      </c>
      <c r="CG62" s="24">
        <f t="shared" ref="CG62" si="698">+CF67</f>
        <v>0</v>
      </c>
      <c r="CH62" s="24">
        <f t="shared" ref="CH62" si="699">+CG67</f>
        <v>0</v>
      </c>
      <c r="CI62" s="24">
        <f t="shared" ref="CI62" si="700">+CH67</f>
        <v>0</v>
      </c>
      <c r="CJ62" s="24">
        <f t="shared" ref="CJ62" si="701">+CI67</f>
        <v>0</v>
      </c>
      <c r="CK62" s="24">
        <f t="shared" ref="CK62" si="702">+CJ67</f>
        <v>0</v>
      </c>
      <c r="CL62" s="24">
        <f t="shared" ref="CL62" si="703">+CK67</f>
        <v>0</v>
      </c>
      <c r="CM62" s="24">
        <f t="shared" ref="CM62" si="704">+CL67</f>
        <v>0</v>
      </c>
      <c r="CN62" s="24">
        <f t="shared" ref="CN62" si="705">+CM67</f>
        <v>0</v>
      </c>
      <c r="CO62" s="24">
        <f t="shared" ref="CO62" si="706">+CN67</f>
        <v>0</v>
      </c>
      <c r="CP62" s="24">
        <f t="shared" ref="CP62" si="707">+CO67</f>
        <v>0</v>
      </c>
      <c r="CQ62" s="24">
        <f t="shared" ref="CQ62" si="708">+CP67</f>
        <v>0</v>
      </c>
      <c r="CR62" s="24">
        <f t="shared" ref="CR62" si="709">+CQ67</f>
        <v>0</v>
      </c>
      <c r="CS62" s="24">
        <f t="shared" ref="CS62" si="710">+CR67</f>
        <v>0</v>
      </c>
      <c r="CT62" s="24">
        <f t="shared" ref="CT62" si="711">+CS67</f>
        <v>0</v>
      </c>
      <c r="CU62" s="24">
        <f t="shared" ref="CU62" si="712">+CT67</f>
        <v>0</v>
      </c>
      <c r="CV62" s="24">
        <f t="shared" ref="CV62" si="713">+CU67</f>
        <v>0</v>
      </c>
      <c r="CW62" s="24">
        <f t="shared" ref="CW62" si="714">+CV67</f>
        <v>0</v>
      </c>
      <c r="CX62" s="24">
        <f t="shared" ref="CX62" si="715">+CW67</f>
        <v>0</v>
      </c>
      <c r="CY62" s="24">
        <f t="shared" ref="CY62" si="716">+CX67</f>
        <v>0</v>
      </c>
      <c r="CZ62" s="24">
        <f t="shared" ref="CZ62" si="717">+CY67</f>
        <v>0</v>
      </c>
      <c r="DA62" s="24">
        <f t="shared" ref="DA62" si="718">+CZ67</f>
        <v>0</v>
      </c>
      <c r="DB62" s="24">
        <f t="shared" ref="DB62" si="719">+DA67</f>
        <v>0</v>
      </c>
      <c r="DC62" s="24">
        <f t="shared" ref="DC62" si="720">+DB67</f>
        <v>0</v>
      </c>
      <c r="DD62" s="24">
        <f t="shared" ref="DD62" si="721">+DC67</f>
        <v>0</v>
      </c>
      <c r="DE62" s="24">
        <f t="shared" ref="DE62" si="722">+DD67</f>
        <v>0</v>
      </c>
      <c r="DF62" s="24">
        <f t="shared" ref="DF62" si="723">+DE67</f>
        <v>0</v>
      </c>
      <c r="DG62" s="24">
        <f t="shared" ref="DG62" si="724">+DF67</f>
        <v>0</v>
      </c>
      <c r="DH62" s="24">
        <f t="shared" ref="DH62" si="725">+DG67</f>
        <v>0</v>
      </c>
      <c r="DI62" s="24">
        <f t="shared" ref="DI62" si="726">+DH67</f>
        <v>0</v>
      </c>
      <c r="DJ62" s="24">
        <f t="shared" ref="DJ62" si="727">+DI67</f>
        <v>0</v>
      </c>
      <c r="DK62" s="24">
        <f t="shared" ref="DK62" si="728">+DJ67</f>
        <v>0</v>
      </c>
      <c r="DL62" s="24">
        <f t="shared" ref="DL62" si="729">+DK67</f>
        <v>0</v>
      </c>
      <c r="DM62" s="24">
        <f t="shared" ref="DM62" si="730">+DL67</f>
        <v>0</v>
      </c>
      <c r="DN62" s="24">
        <f t="shared" ref="DN62" si="731">+DM67</f>
        <v>0</v>
      </c>
      <c r="DO62" s="24">
        <f t="shared" ref="DO62" si="732">+DN67</f>
        <v>0</v>
      </c>
      <c r="DP62" s="24">
        <f t="shared" ref="DP62" si="733">+DO67</f>
        <v>0</v>
      </c>
      <c r="DQ62" s="24">
        <f t="shared" ref="DQ62" si="734">+DP67</f>
        <v>0</v>
      </c>
      <c r="DR62" s="24">
        <f t="shared" ref="DR62" si="735">+DQ67</f>
        <v>0</v>
      </c>
      <c r="DS62" s="24">
        <f t="shared" ref="DS62" si="736">+DR67</f>
        <v>0</v>
      </c>
      <c r="DT62" s="24">
        <f t="shared" ref="DT62" si="737">+DS67</f>
        <v>0</v>
      </c>
      <c r="DU62" s="24">
        <f t="shared" ref="DU62" si="738">+DT67</f>
        <v>0</v>
      </c>
      <c r="DV62" s="24">
        <f t="shared" ref="DV62" si="739">+DU67</f>
        <v>0</v>
      </c>
      <c r="DW62" s="24">
        <f t="shared" ref="DW62" si="740">+DV67</f>
        <v>0</v>
      </c>
      <c r="DX62" s="24">
        <f t="shared" ref="DX62" si="741">+DW67</f>
        <v>0</v>
      </c>
      <c r="DY62" s="24">
        <f t="shared" ref="DY62" si="742">+DX67</f>
        <v>0</v>
      </c>
      <c r="DZ62" s="24">
        <f t="shared" ref="DZ62" si="743">+DY67</f>
        <v>0</v>
      </c>
      <c r="EA62" s="24">
        <f t="shared" ref="EA62" si="744">+DZ67</f>
        <v>0</v>
      </c>
      <c r="EB62" s="24">
        <f t="shared" ref="EB62" si="745">+EA67</f>
        <v>0</v>
      </c>
      <c r="EC62" s="24">
        <f t="shared" ref="EC62" si="746">+EB67</f>
        <v>0</v>
      </c>
      <c r="ED62" s="24">
        <f t="shared" ref="ED62" si="747">+EC67</f>
        <v>0</v>
      </c>
      <c r="EE62" s="24">
        <f t="shared" ref="EE62" si="748">+ED67</f>
        <v>0</v>
      </c>
      <c r="EF62" s="24">
        <f t="shared" ref="EF62" si="749">+EE67</f>
        <v>0</v>
      </c>
      <c r="EG62" s="24">
        <f t="shared" ref="EG62" si="750">+EF67</f>
        <v>0</v>
      </c>
      <c r="EH62" s="24">
        <f t="shared" ref="EH62" si="751">+EG67</f>
        <v>0</v>
      </c>
      <c r="EI62" s="24">
        <f t="shared" ref="EI62" si="752">+EH67</f>
        <v>0</v>
      </c>
      <c r="EM62" s="1" t="s">
        <v>191</v>
      </c>
    </row>
    <row r="63" spans="2:143" x14ac:dyDescent="0.45">
      <c r="D63" s="1" t="s">
        <v>37</v>
      </c>
      <c r="G63" s="24">
        <f>IF(AND(Assumptions!$G$34="Yes",Model!G4=Assumptions!$G$36),Assumptions!$L$37,0)</f>
        <v>0</v>
      </c>
      <c r="H63" s="24">
        <f>IF(AND(Assumptions!$G$34="Yes",Model!H4=Assumptions!$G$36),Assumptions!$L$37,0)</f>
        <v>0</v>
      </c>
      <c r="I63" s="24">
        <f>IF(AND(Assumptions!$G$34="Yes",Model!I4=Assumptions!$G$36),Assumptions!$L$37,0)</f>
        <v>0</v>
      </c>
      <c r="J63" s="24">
        <f>IF(AND(Assumptions!$G$34="Yes",Model!J4=Assumptions!$G$36),Assumptions!$L$37,0)</f>
        <v>0</v>
      </c>
      <c r="K63" s="24">
        <f>IF(AND(Assumptions!$G$34="Yes",Model!K4=Assumptions!$G$36),Assumptions!$L$37,0)</f>
        <v>0</v>
      </c>
      <c r="L63" s="24">
        <f>IF(AND(Assumptions!$G$34="Yes",Model!L4=Assumptions!$G$36),Assumptions!$L$37,0)</f>
        <v>0</v>
      </c>
      <c r="M63" s="24">
        <f>IF(AND(Assumptions!$G$34="Yes",Model!M4=Assumptions!$G$36),Assumptions!$L$37,0)</f>
        <v>0</v>
      </c>
      <c r="N63" s="24">
        <f>IF(AND(Assumptions!$G$34="Yes",Model!N4=Assumptions!$G$36),Assumptions!$L$37,0)</f>
        <v>0</v>
      </c>
      <c r="O63" s="24">
        <f>IF(AND(Assumptions!$G$34="Yes",Model!O4=Assumptions!$G$36),Assumptions!$L$37,0)</f>
        <v>0</v>
      </c>
      <c r="P63" s="24">
        <f>IF(AND(Assumptions!$G$34="Yes",Model!P4=Assumptions!$G$36),Assumptions!$L$37,0)</f>
        <v>0</v>
      </c>
      <c r="Q63" s="24">
        <f>IF(AND(Assumptions!$G$34="Yes",Model!Q4=Assumptions!$G$36),Assumptions!$L$37,0)</f>
        <v>0</v>
      </c>
      <c r="R63" s="24">
        <f>IF(AND(Assumptions!$G$34="Yes",Model!R4=Assumptions!$G$36),Assumptions!$L$37,0)</f>
        <v>0</v>
      </c>
      <c r="S63" s="24">
        <f>IF(AND(Assumptions!$G$34="Yes",Model!S4=Assumptions!$G$36),Assumptions!$L$37,0)</f>
        <v>0</v>
      </c>
      <c r="T63" s="24">
        <f>IF(AND(Assumptions!$G$34="Yes",Model!T4=Assumptions!$G$36),Assumptions!$L$37,0)</f>
        <v>0</v>
      </c>
      <c r="U63" s="24">
        <f>IF(AND(Assumptions!$G$34="Yes",Model!U4=Assumptions!$G$36),Assumptions!$L$37,0)</f>
        <v>0</v>
      </c>
      <c r="V63" s="24">
        <f>IF(AND(Assumptions!$G$34="Yes",Model!V4=Assumptions!$G$36),Assumptions!$L$37,0)</f>
        <v>0</v>
      </c>
      <c r="W63" s="24">
        <f>IF(AND(Assumptions!$G$34="Yes",Model!W4=Assumptions!$G$36),Assumptions!$L$37,0)</f>
        <v>0</v>
      </c>
      <c r="X63" s="24">
        <f>IF(AND(Assumptions!$G$34="Yes",Model!X4=Assumptions!$G$36),Assumptions!$L$37,0)</f>
        <v>0</v>
      </c>
      <c r="Y63" s="24">
        <f>IF(AND(Assumptions!$G$34="Yes",Model!Y4=Assumptions!$G$36),Assumptions!$L$37,0)</f>
        <v>0</v>
      </c>
      <c r="Z63" s="24">
        <f>IF(AND(Assumptions!$G$34="Yes",Model!Z4=Assumptions!$G$36),Assumptions!$L$37,0)</f>
        <v>0</v>
      </c>
      <c r="AA63" s="24">
        <f>IF(AND(Assumptions!$G$34="Yes",Model!AA4=Assumptions!$G$36),Assumptions!$L$37,0)</f>
        <v>0</v>
      </c>
      <c r="AB63" s="24">
        <f>IF(AND(Assumptions!$G$34="Yes",Model!AB4=Assumptions!$G$36),Assumptions!$L$37,0)</f>
        <v>0</v>
      </c>
      <c r="AC63" s="24">
        <f>IF(AND(Assumptions!$G$34="Yes",Model!AC4=Assumptions!$G$36),Assumptions!$L$37,0)</f>
        <v>0</v>
      </c>
      <c r="AD63" s="24">
        <f>IF(AND(Assumptions!$G$34="Yes",Model!AD4=Assumptions!$G$36),Assumptions!$L$37,0)</f>
        <v>0</v>
      </c>
      <c r="AE63" s="24">
        <f>IF(AND(Assumptions!$G$34="Yes",Model!AE4=Assumptions!$G$36),Assumptions!$L$37,0)</f>
        <v>0</v>
      </c>
      <c r="AF63" s="24">
        <f>IF(AND(Assumptions!$G$34="Yes",Model!AF4=Assumptions!$G$36),Assumptions!$L$37,0)</f>
        <v>0</v>
      </c>
      <c r="AG63" s="24">
        <f>IF(AND(Assumptions!$G$34="Yes",Model!AG4=Assumptions!$G$36),Assumptions!$L$37,0)</f>
        <v>0</v>
      </c>
      <c r="AH63" s="24">
        <f>IF(AND(Assumptions!$G$34="Yes",Model!AH4=Assumptions!$G$36),Assumptions!$L$37,0)</f>
        <v>0</v>
      </c>
      <c r="AI63" s="24">
        <f>IF(AND(Assumptions!$G$34="Yes",Model!AI4=Assumptions!$G$36),Assumptions!$L$37,0)</f>
        <v>0</v>
      </c>
      <c r="AJ63" s="24">
        <f>IF(AND(Assumptions!$G$34="Yes",Model!AJ4=Assumptions!$G$36),Assumptions!$L$37,0)</f>
        <v>0</v>
      </c>
      <c r="AK63" s="24">
        <f>IF(AND(Assumptions!$G$34="Yes",Model!AK4=Assumptions!$G$36),Assumptions!$L$37,0)</f>
        <v>0</v>
      </c>
      <c r="AL63" s="24">
        <f>IF(AND(Assumptions!$G$34="Yes",Model!AL4=Assumptions!$G$36),Assumptions!$L$37,0)</f>
        <v>0</v>
      </c>
      <c r="AM63" s="24">
        <f>IF(AND(Assumptions!$G$34="Yes",Model!AM4=Assumptions!$G$36),Assumptions!$L$37,0)</f>
        <v>0</v>
      </c>
      <c r="AN63" s="24">
        <f>IF(AND(Assumptions!$G$34="Yes",Model!AN4=Assumptions!$G$36),Assumptions!$L$37,0)</f>
        <v>20678404.454956274</v>
      </c>
      <c r="AO63" s="24">
        <f>IF(AND(Assumptions!$G$34="Yes",Model!AO4=Assumptions!$G$36),Assumptions!$L$37,0)</f>
        <v>0</v>
      </c>
      <c r="AP63" s="24">
        <f>IF(AND(Assumptions!$G$34="Yes",Model!AP4=Assumptions!$G$36),Assumptions!$L$37,0)</f>
        <v>0</v>
      </c>
      <c r="AQ63" s="24">
        <f>IF(AND(Assumptions!$G$34="Yes",Model!AQ4=Assumptions!$G$36),Assumptions!$L$37,0)</f>
        <v>0</v>
      </c>
      <c r="AR63" s="24">
        <f>IF(AND(Assumptions!$G$34="Yes",Model!AR4=Assumptions!$G$36),Assumptions!$L$37,0)</f>
        <v>0</v>
      </c>
      <c r="AS63" s="24">
        <f>IF(AND(Assumptions!$G$34="Yes",Model!AS4=Assumptions!$G$36),Assumptions!$L$37,0)</f>
        <v>0</v>
      </c>
      <c r="AT63" s="24">
        <f>IF(AND(Assumptions!$G$34="Yes",Model!AT4=Assumptions!$G$36),Assumptions!$L$37,0)</f>
        <v>0</v>
      </c>
      <c r="AU63" s="24">
        <f>IF(AND(Assumptions!$G$34="Yes",Model!AU4=Assumptions!$G$36),Assumptions!$L$37,0)</f>
        <v>0</v>
      </c>
      <c r="AV63" s="24">
        <f>IF(AND(Assumptions!$G$34="Yes",Model!AV4=Assumptions!$G$36),Assumptions!$L$37,0)</f>
        <v>0</v>
      </c>
      <c r="AW63" s="24">
        <f>IF(AND(Assumptions!$G$34="Yes",Model!AW4=Assumptions!$G$36),Assumptions!$L$37,0)</f>
        <v>0</v>
      </c>
      <c r="AX63" s="24">
        <f>IF(AND(Assumptions!$G$34="Yes",Model!AX4=Assumptions!$G$36),Assumptions!$L$37,0)</f>
        <v>0</v>
      </c>
      <c r="AY63" s="24">
        <f>IF(AND(Assumptions!$G$34="Yes",Model!AY4=Assumptions!$G$36),Assumptions!$L$37,0)</f>
        <v>0</v>
      </c>
      <c r="AZ63" s="24">
        <f>IF(AND(Assumptions!$G$34="Yes",Model!AZ4=Assumptions!$G$36),Assumptions!$L$37,0)</f>
        <v>0</v>
      </c>
      <c r="BA63" s="24">
        <f>IF(AND(Assumptions!$G$34="Yes",Model!BA4=Assumptions!$G$36),Assumptions!$L$37,0)</f>
        <v>0</v>
      </c>
      <c r="BB63" s="24">
        <f>IF(AND(Assumptions!$G$34="Yes",Model!BB4=Assumptions!$G$36),Assumptions!$L$37,0)</f>
        <v>0</v>
      </c>
      <c r="BC63" s="24">
        <f>IF(AND(Assumptions!$G$34="Yes",Model!BC4=Assumptions!$G$36),Assumptions!$L$37,0)</f>
        <v>0</v>
      </c>
      <c r="BD63" s="24">
        <f>IF(AND(Assumptions!$G$34="Yes",Model!BD4=Assumptions!$G$36),Assumptions!$L$37,0)</f>
        <v>0</v>
      </c>
      <c r="BE63" s="24">
        <f>IF(AND(Assumptions!$G$34="Yes",Model!BE4=Assumptions!$G$36),Assumptions!$L$37,0)</f>
        <v>0</v>
      </c>
      <c r="BF63" s="24">
        <f>IF(AND(Assumptions!$G$34="Yes",Model!BF4=Assumptions!$G$36),Assumptions!$L$37,0)</f>
        <v>0</v>
      </c>
      <c r="BG63" s="24">
        <f>IF(AND(Assumptions!$G$34="Yes",Model!BG4=Assumptions!$G$36),Assumptions!$L$37,0)</f>
        <v>0</v>
      </c>
      <c r="BH63" s="24">
        <f>IF(AND(Assumptions!$G$34="Yes",Model!BH4=Assumptions!$G$36),Assumptions!$L$37,0)</f>
        <v>0</v>
      </c>
      <c r="BI63" s="24">
        <f>IF(AND(Assumptions!$G$34="Yes",Model!BI4=Assumptions!$G$36),Assumptions!$L$37,0)</f>
        <v>0</v>
      </c>
      <c r="BJ63" s="24">
        <f>IF(AND(Assumptions!$G$34="Yes",Model!BJ4=Assumptions!$G$36),Assumptions!$L$37,0)</f>
        <v>0</v>
      </c>
      <c r="BK63" s="24">
        <f>IF(AND(Assumptions!$G$34="Yes",Model!BK4=Assumptions!$G$36),Assumptions!$L$37,0)</f>
        <v>0</v>
      </c>
      <c r="BL63" s="24">
        <f>IF(AND(Assumptions!$G$34="Yes",Model!BL4=Assumptions!$G$36),Assumptions!$L$37,0)</f>
        <v>0</v>
      </c>
      <c r="BM63" s="24">
        <f>IF(AND(Assumptions!$G$34="Yes",Model!BM4=Assumptions!$G$36),Assumptions!$L$37,0)</f>
        <v>0</v>
      </c>
      <c r="BN63" s="24">
        <f>IF(AND(Assumptions!$G$34="Yes",Model!BN4=Assumptions!$G$36),Assumptions!$L$37,0)</f>
        <v>0</v>
      </c>
      <c r="BO63" s="24">
        <f>IF(AND(Assumptions!$G$34="Yes",Model!BO4=Assumptions!$G$36),Assumptions!$L$37,0)</f>
        <v>0</v>
      </c>
      <c r="BP63" s="24">
        <f>IF(AND(Assumptions!$G$34="Yes",Model!BP4=Assumptions!$G$36),Assumptions!$L$37,0)</f>
        <v>0</v>
      </c>
      <c r="BQ63" s="24">
        <f>IF(AND(Assumptions!$G$34="Yes",Model!BQ4=Assumptions!$G$36),Assumptions!$L$37,0)</f>
        <v>0</v>
      </c>
      <c r="BR63" s="24">
        <f>IF(AND(Assumptions!$G$34="Yes",Model!BR4=Assumptions!$G$36),Assumptions!$L$37,0)</f>
        <v>0</v>
      </c>
      <c r="BS63" s="24">
        <f>IF(AND(Assumptions!$G$34="Yes",Model!BS4=Assumptions!$G$36),Assumptions!$L$37,0)</f>
        <v>0</v>
      </c>
      <c r="BT63" s="24">
        <f>IF(AND(Assumptions!$G$34="Yes",Model!BT4=Assumptions!$G$36),Assumptions!$L$37,0)</f>
        <v>0</v>
      </c>
      <c r="BU63" s="24">
        <f>IF(AND(Assumptions!$G$34="Yes",Model!BU4=Assumptions!$G$36),Assumptions!$L$37,0)</f>
        <v>0</v>
      </c>
      <c r="BV63" s="24">
        <f>IF(AND(Assumptions!$G$34="Yes",Model!BV4=Assumptions!$G$36),Assumptions!$L$37,0)</f>
        <v>0</v>
      </c>
      <c r="BW63" s="24">
        <f>IF(AND(Assumptions!$G$34="Yes",Model!BW4=Assumptions!$G$36),Assumptions!$L$37,0)</f>
        <v>0</v>
      </c>
      <c r="BX63" s="24">
        <f>IF(AND(Assumptions!$G$34="Yes",Model!BX4=Assumptions!$G$36),Assumptions!$L$37,0)</f>
        <v>0</v>
      </c>
      <c r="BY63" s="24">
        <f>IF(AND(Assumptions!$G$34="Yes",Model!BY4=Assumptions!$G$36),Assumptions!$L$37,0)</f>
        <v>0</v>
      </c>
      <c r="BZ63" s="24">
        <f>IF(AND(Assumptions!$G$34="Yes",Model!BZ4=Assumptions!$G$36),Assumptions!$L$37,0)</f>
        <v>0</v>
      </c>
      <c r="CA63" s="24">
        <f>IF(AND(Assumptions!$G$34="Yes",Model!CA4=Assumptions!$G$36),Assumptions!$L$37,0)</f>
        <v>0</v>
      </c>
      <c r="CB63" s="24">
        <f>IF(AND(Assumptions!$G$34="Yes",Model!CB4=Assumptions!$G$36),Assumptions!$L$37,0)</f>
        <v>0</v>
      </c>
      <c r="CC63" s="24">
        <f>IF(AND(Assumptions!$G$34="Yes",Model!CC4=Assumptions!$G$36),Assumptions!$L$37,0)</f>
        <v>0</v>
      </c>
      <c r="CD63" s="24">
        <f>IF(AND(Assumptions!$G$34="Yes",Model!CD4=Assumptions!$G$36),Assumptions!$L$37,0)</f>
        <v>0</v>
      </c>
      <c r="CE63" s="24">
        <f>IF(AND(Assumptions!$G$34="Yes",Model!CE4=Assumptions!$G$36),Assumptions!$L$37,0)</f>
        <v>0</v>
      </c>
      <c r="CF63" s="24">
        <f>IF(AND(Assumptions!$G$34="Yes",Model!CF4=Assumptions!$G$36),Assumptions!$L$37,0)</f>
        <v>0</v>
      </c>
      <c r="CG63" s="24">
        <f>IF(AND(Assumptions!$G$34="Yes",Model!CG4=Assumptions!$G$36),Assumptions!$L$37,0)</f>
        <v>0</v>
      </c>
      <c r="CH63" s="24">
        <f>IF(AND(Assumptions!$G$34="Yes",Model!CH4=Assumptions!$G$36),Assumptions!$L$37,0)</f>
        <v>0</v>
      </c>
      <c r="CI63" s="24">
        <f>IF(AND(Assumptions!$G$34="Yes",Model!CI4=Assumptions!$G$36),Assumptions!$L$37,0)</f>
        <v>0</v>
      </c>
      <c r="CJ63" s="24">
        <f>IF(AND(Assumptions!$G$34="Yes",Model!CJ4=Assumptions!$G$36),Assumptions!$L$37,0)</f>
        <v>0</v>
      </c>
      <c r="CK63" s="24">
        <f>IF(AND(Assumptions!$G$34="Yes",Model!CK4=Assumptions!$G$36),Assumptions!$L$37,0)</f>
        <v>0</v>
      </c>
      <c r="CL63" s="24">
        <f>IF(AND(Assumptions!$G$34="Yes",Model!CL4=Assumptions!$G$36),Assumptions!$L$37,0)</f>
        <v>0</v>
      </c>
      <c r="CM63" s="24">
        <f>IF(AND(Assumptions!$G$34="Yes",Model!CM4=Assumptions!$G$36),Assumptions!$L$37,0)</f>
        <v>0</v>
      </c>
      <c r="CN63" s="24">
        <f>IF(AND(Assumptions!$G$34="Yes",Model!CN4=Assumptions!$G$36),Assumptions!$L$37,0)</f>
        <v>0</v>
      </c>
      <c r="CO63" s="24">
        <f>IF(AND(Assumptions!$G$34="Yes",Model!CO4=Assumptions!$G$36),Assumptions!$L$37,0)</f>
        <v>0</v>
      </c>
      <c r="CP63" s="24">
        <f>IF(AND(Assumptions!$G$34="Yes",Model!CP4=Assumptions!$G$36),Assumptions!$L$37,0)</f>
        <v>0</v>
      </c>
      <c r="CQ63" s="24">
        <f>IF(AND(Assumptions!$G$34="Yes",Model!CQ4=Assumptions!$G$36),Assumptions!$L$37,0)</f>
        <v>0</v>
      </c>
      <c r="CR63" s="24">
        <f>IF(AND(Assumptions!$G$34="Yes",Model!CR4=Assumptions!$G$36),Assumptions!$L$37,0)</f>
        <v>0</v>
      </c>
      <c r="CS63" s="24">
        <f>IF(AND(Assumptions!$G$34="Yes",Model!CS4=Assumptions!$G$36),Assumptions!$L$37,0)</f>
        <v>0</v>
      </c>
      <c r="CT63" s="24">
        <f>IF(AND(Assumptions!$G$34="Yes",Model!CT4=Assumptions!$G$36),Assumptions!$L$37,0)</f>
        <v>0</v>
      </c>
      <c r="CU63" s="24">
        <f>IF(AND(Assumptions!$G$34="Yes",Model!CU4=Assumptions!$G$36),Assumptions!$L$37,0)</f>
        <v>0</v>
      </c>
      <c r="CV63" s="24">
        <f>IF(AND(Assumptions!$G$34="Yes",Model!CV4=Assumptions!$G$36),Assumptions!$L$37,0)</f>
        <v>0</v>
      </c>
      <c r="CW63" s="24">
        <f>IF(AND(Assumptions!$G$34="Yes",Model!CW4=Assumptions!$G$36),Assumptions!$L$37,0)</f>
        <v>0</v>
      </c>
      <c r="CX63" s="24">
        <f>IF(AND(Assumptions!$G$34="Yes",Model!CX4=Assumptions!$G$36),Assumptions!$L$37,0)</f>
        <v>0</v>
      </c>
      <c r="CY63" s="24">
        <f>IF(AND(Assumptions!$G$34="Yes",Model!CY4=Assumptions!$G$36),Assumptions!$L$37,0)</f>
        <v>0</v>
      </c>
      <c r="CZ63" s="24">
        <f>IF(AND(Assumptions!$G$34="Yes",Model!CZ4=Assumptions!$G$36),Assumptions!$L$37,0)</f>
        <v>0</v>
      </c>
      <c r="DA63" s="24">
        <f>IF(AND(Assumptions!$G$34="Yes",Model!DA4=Assumptions!$G$36),Assumptions!$L$37,0)</f>
        <v>0</v>
      </c>
      <c r="DB63" s="24">
        <f>IF(AND(Assumptions!$G$34="Yes",Model!DB4=Assumptions!$G$36),Assumptions!$L$37,0)</f>
        <v>0</v>
      </c>
      <c r="DC63" s="24">
        <f>IF(AND(Assumptions!$G$34="Yes",Model!DC4=Assumptions!$G$36),Assumptions!$L$37,0)</f>
        <v>0</v>
      </c>
      <c r="DD63" s="24">
        <f>IF(AND(Assumptions!$G$34="Yes",Model!DD4=Assumptions!$G$36),Assumptions!$L$37,0)</f>
        <v>0</v>
      </c>
      <c r="DE63" s="24">
        <f>IF(AND(Assumptions!$G$34="Yes",Model!DE4=Assumptions!$G$36),Assumptions!$L$37,0)</f>
        <v>0</v>
      </c>
      <c r="DF63" s="24">
        <f>IF(AND(Assumptions!$G$34="Yes",Model!DF4=Assumptions!$G$36),Assumptions!$L$37,0)</f>
        <v>0</v>
      </c>
      <c r="DG63" s="24">
        <f>IF(AND(Assumptions!$G$34="Yes",Model!DG4=Assumptions!$G$36),Assumptions!$L$37,0)</f>
        <v>0</v>
      </c>
      <c r="DH63" s="24">
        <f>IF(AND(Assumptions!$G$34="Yes",Model!DH4=Assumptions!$G$36),Assumptions!$L$37,0)</f>
        <v>0</v>
      </c>
      <c r="DI63" s="24">
        <f>IF(AND(Assumptions!$G$34="Yes",Model!DI4=Assumptions!$G$36),Assumptions!$L$37,0)</f>
        <v>0</v>
      </c>
      <c r="DJ63" s="24">
        <f>IF(AND(Assumptions!$G$34="Yes",Model!DJ4=Assumptions!$G$36),Assumptions!$L$37,0)</f>
        <v>0</v>
      </c>
      <c r="DK63" s="24">
        <f>IF(AND(Assumptions!$G$34="Yes",Model!DK4=Assumptions!$G$36),Assumptions!$L$37,0)</f>
        <v>0</v>
      </c>
      <c r="DL63" s="24">
        <f>IF(AND(Assumptions!$G$34="Yes",Model!DL4=Assumptions!$G$36),Assumptions!$L$37,0)</f>
        <v>0</v>
      </c>
      <c r="DM63" s="24">
        <f>IF(AND(Assumptions!$G$34="Yes",Model!DM4=Assumptions!$G$36),Assumptions!$L$37,0)</f>
        <v>0</v>
      </c>
      <c r="DN63" s="24">
        <f>IF(AND(Assumptions!$G$34="Yes",Model!DN4=Assumptions!$G$36),Assumptions!$L$37,0)</f>
        <v>0</v>
      </c>
      <c r="DO63" s="24">
        <f>IF(AND(Assumptions!$G$34="Yes",Model!DO4=Assumptions!$G$36),Assumptions!$L$37,0)</f>
        <v>0</v>
      </c>
      <c r="DP63" s="24">
        <f>IF(AND(Assumptions!$G$34="Yes",Model!DP4=Assumptions!$G$36),Assumptions!$L$37,0)</f>
        <v>0</v>
      </c>
      <c r="DQ63" s="24">
        <f>IF(AND(Assumptions!$G$34="Yes",Model!DQ4=Assumptions!$G$36),Assumptions!$L$37,0)</f>
        <v>0</v>
      </c>
      <c r="DR63" s="24">
        <f>IF(AND(Assumptions!$G$34="Yes",Model!DR4=Assumptions!$G$36),Assumptions!$L$37,0)</f>
        <v>0</v>
      </c>
      <c r="DS63" s="24">
        <f>IF(AND(Assumptions!$G$34="Yes",Model!DS4=Assumptions!$G$36),Assumptions!$L$37,0)</f>
        <v>0</v>
      </c>
      <c r="DT63" s="24">
        <f>IF(AND(Assumptions!$G$34="Yes",Model!DT4=Assumptions!$G$36),Assumptions!$L$37,0)</f>
        <v>0</v>
      </c>
      <c r="DU63" s="24">
        <f>IF(AND(Assumptions!$G$34="Yes",Model!DU4=Assumptions!$G$36),Assumptions!$L$37,0)</f>
        <v>0</v>
      </c>
      <c r="DV63" s="24">
        <f>IF(AND(Assumptions!$G$34="Yes",Model!DV4=Assumptions!$G$36),Assumptions!$L$37,0)</f>
        <v>0</v>
      </c>
      <c r="DW63" s="24">
        <f>IF(AND(Assumptions!$G$34="Yes",Model!DW4=Assumptions!$G$36),Assumptions!$L$37,0)</f>
        <v>0</v>
      </c>
      <c r="DX63" s="24">
        <f>IF(AND(Assumptions!$G$34="Yes",Model!DX4=Assumptions!$G$36),Assumptions!$L$37,0)</f>
        <v>0</v>
      </c>
      <c r="DY63" s="24">
        <f>IF(AND(Assumptions!$G$34="Yes",Model!DY4=Assumptions!$G$36),Assumptions!$L$37,0)</f>
        <v>0</v>
      </c>
      <c r="DZ63" s="24">
        <f>IF(AND(Assumptions!$G$34="Yes",Model!DZ4=Assumptions!$G$36),Assumptions!$L$37,0)</f>
        <v>0</v>
      </c>
      <c r="EA63" s="24">
        <f>IF(AND(Assumptions!$G$34="Yes",Model!EA4=Assumptions!$G$36),Assumptions!$L$37,0)</f>
        <v>0</v>
      </c>
      <c r="EB63" s="24">
        <f>IF(AND(Assumptions!$G$34="Yes",Model!EB4=Assumptions!$G$36),Assumptions!$L$37,0)</f>
        <v>0</v>
      </c>
      <c r="EC63" s="24">
        <f>IF(AND(Assumptions!$G$34="Yes",Model!EC4=Assumptions!$G$36),Assumptions!$L$37,0)</f>
        <v>0</v>
      </c>
      <c r="ED63" s="24">
        <f>IF(AND(Assumptions!$G$34="Yes",Model!ED4=Assumptions!$G$36),Assumptions!$L$37,0)</f>
        <v>0</v>
      </c>
      <c r="EE63" s="24">
        <f>IF(AND(Assumptions!$G$34="Yes",Model!EE4=Assumptions!$G$36),Assumptions!$L$37,0)</f>
        <v>0</v>
      </c>
      <c r="EF63" s="24">
        <f>IF(AND(Assumptions!$G$34="Yes",Model!EF4=Assumptions!$G$36),Assumptions!$L$37,0)</f>
        <v>0</v>
      </c>
      <c r="EG63" s="24">
        <f>IF(AND(Assumptions!$G$34="Yes",Model!EG4=Assumptions!$G$36),Assumptions!$L$37,0)</f>
        <v>0</v>
      </c>
      <c r="EH63" s="24">
        <f>IF(AND(Assumptions!$G$34="Yes",Model!EH4=Assumptions!$G$36),Assumptions!$L$37,0)</f>
        <v>0</v>
      </c>
      <c r="EI63" s="24">
        <f>IF(AND(Assumptions!$G$34="Yes",Model!EI4=Assumptions!$G$36),Assumptions!$L$37,0)</f>
        <v>0</v>
      </c>
      <c r="EM63" s="1" t="s">
        <v>191</v>
      </c>
    </row>
    <row r="64" spans="2:143" x14ac:dyDescent="0.45">
      <c r="D64" s="1" t="s">
        <v>277</v>
      </c>
      <c r="G64" s="24">
        <f>+IFERROR(INDEX('Debt Schedule'!$P$12:$P$108,MATCH(Model!G4,'Debt Schedule'!$M$12:$M$108,0)),0)</f>
        <v>0</v>
      </c>
      <c r="H64" s="24">
        <f>+IFERROR(INDEX('Debt Schedule'!$P$12:$P$108,MATCH(Model!H4,'Debt Schedule'!$M$12:$M$108,0)),0)</f>
        <v>0</v>
      </c>
      <c r="I64" s="24">
        <f>+IFERROR(INDEX('Debt Schedule'!$P$12:$P$108,MATCH(Model!I4,'Debt Schedule'!$M$12:$M$108,0)),0)</f>
        <v>0</v>
      </c>
      <c r="J64" s="24">
        <f>+IFERROR(INDEX('Debt Schedule'!$P$12:$P$108,MATCH(Model!J4,'Debt Schedule'!$M$12:$M$108,0)),0)</f>
        <v>0</v>
      </c>
      <c r="K64" s="24">
        <f>+IFERROR(INDEX('Debt Schedule'!$P$12:$P$108,MATCH(Model!K4,'Debt Schedule'!$M$12:$M$108,0)),0)</f>
        <v>0</v>
      </c>
      <c r="L64" s="24">
        <f>+IFERROR(INDEX('Debt Schedule'!$P$12:$P$108,MATCH(Model!L4,'Debt Schedule'!$M$12:$M$108,0)),0)</f>
        <v>0</v>
      </c>
      <c r="M64" s="24">
        <f>+IFERROR(INDEX('Debt Schedule'!$P$12:$P$108,MATCH(Model!M4,'Debt Schedule'!$M$12:$M$108,0)),0)</f>
        <v>0</v>
      </c>
      <c r="N64" s="24">
        <f>+IFERROR(INDEX('Debt Schedule'!$P$12:$P$108,MATCH(Model!N4,'Debt Schedule'!$M$12:$M$108,0)),0)</f>
        <v>0</v>
      </c>
      <c r="O64" s="24">
        <f>+IFERROR(INDEX('Debt Schedule'!$P$12:$P$108,MATCH(Model!O4,'Debt Schedule'!$M$12:$M$108,0)),0)</f>
        <v>0</v>
      </c>
      <c r="P64" s="24">
        <f>+IFERROR(INDEX('Debt Schedule'!$P$12:$P$108,MATCH(Model!P4,'Debt Schedule'!$M$12:$M$108,0)),0)</f>
        <v>0</v>
      </c>
      <c r="Q64" s="24">
        <f>+IFERROR(INDEX('Debt Schedule'!$P$12:$P$108,MATCH(Model!Q4,'Debt Schedule'!$M$12:$M$108,0)),0)</f>
        <v>0</v>
      </c>
      <c r="R64" s="24">
        <f>+IFERROR(INDEX('Debt Schedule'!$P$12:$P$108,MATCH(Model!R4,'Debt Schedule'!$M$12:$M$108,0)),0)</f>
        <v>0</v>
      </c>
      <c r="S64" s="24">
        <f>+IFERROR(INDEX('Debt Schedule'!$P$12:$P$108,MATCH(Model!S4,'Debt Schedule'!$M$12:$M$108,0)),0)</f>
        <v>0</v>
      </c>
      <c r="T64" s="24">
        <f>+IFERROR(INDEX('Debt Schedule'!$P$12:$P$108,MATCH(Model!T4,'Debt Schedule'!$M$12:$M$108,0)),0)</f>
        <v>0</v>
      </c>
      <c r="U64" s="24">
        <f>+IFERROR(INDEX('Debt Schedule'!$P$12:$P$108,MATCH(Model!U4,'Debt Schedule'!$M$12:$M$108,0)),0)</f>
        <v>0</v>
      </c>
      <c r="V64" s="24">
        <f>+IFERROR(INDEX('Debt Schedule'!$P$12:$P$108,MATCH(Model!V4,'Debt Schedule'!$M$12:$M$108,0)),0)</f>
        <v>0</v>
      </c>
      <c r="W64" s="24">
        <f>+IFERROR(INDEX('Debt Schedule'!$P$12:$P$108,MATCH(Model!W4,'Debt Schedule'!$M$12:$M$108,0)),0)</f>
        <v>0</v>
      </c>
      <c r="X64" s="24">
        <f>+IFERROR(INDEX('Debt Schedule'!$P$12:$P$108,MATCH(Model!X4,'Debt Schedule'!$M$12:$M$108,0)),0)</f>
        <v>0</v>
      </c>
      <c r="Y64" s="24">
        <f>+IFERROR(INDEX('Debt Schedule'!$P$12:$P$108,MATCH(Model!Y4,'Debt Schedule'!$M$12:$M$108,0)),0)</f>
        <v>0</v>
      </c>
      <c r="Z64" s="24">
        <f>+IFERROR(INDEX('Debt Schedule'!$P$12:$P$108,MATCH(Model!Z4,'Debt Schedule'!$M$12:$M$108,0)),0)</f>
        <v>0</v>
      </c>
      <c r="AA64" s="24">
        <f>+IFERROR(INDEX('Debt Schedule'!$P$12:$P$108,MATCH(Model!AA4,'Debt Schedule'!$M$12:$M$108,0)),0)</f>
        <v>0</v>
      </c>
      <c r="AB64" s="24">
        <f>+IFERROR(INDEX('Debt Schedule'!$P$12:$P$108,MATCH(Model!AB4,'Debt Schedule'!$M$12:$M$108,0)),0)</f>
        <v>0</v>
      </c>
      <c r="AC64" s="24">
        <f>+IFERROR(INDEX('Debt Schedule'!$P$12:$P$108,MATCH(Model!AC4,'Debt Schedule'!$M$12:$M$108,0)),0)</f>
        <v>0</v>
      </c>
      <c r="AD64" s="24">
        <f>+IFERROR(INDEX('Debt Schedule'!$P$12:$P$108,MATCH(Model!AD4,'Debt Schedule'!$M$12:$M$108,0)),0)</f>
        <v>0</v>
      </c>
      <c r="AE64" s="24">
        <f>+IFERROR(INDEX('Debt Schedule'!$P$12:$P$108,MATCH(Model!AE4,'Debt Schedule'!$M$12:$M$108,0)),0)</f>
        <v>0</v>
      </c>
      <c r="AF64" s="24">
        <f>+IFERROR(INDEX('Debt Schedule'!$P$12:$P$108,MATCH(Model!AF4,'Debt Schedule'!$M$12:$M$108,0)),0)</f>
        <v>0</v>
      </c>
      <c r="AG64" s="24">
        <f>+IFERROR(INDEX('Debt Schedule'!$P$12:$P$108,MATCH(Model!AG4,'Debt Schedule'!$M$12:$M$108,0)),0)</f>
        <v>0</v>
      </c>
      <c r="AH64" s="24">
        <f>+IFERROR(INDEX('Debt Schedule'!$P$12:$P$108,MATCH(Model!AH4,'Debt Schedule'!$M$12:$M$108,0)),0)</f>
        <v>0</v>
      </c>
      <c r="AI64" s="24">
        <f>+IFERROR(INDEX('Debt Schedule'!$P$12:$P$108,MATCH(Model!AI4,'Debt Schedule'!$M$12:$M$108,0)),0)</f>
        <v>0</v>
      </c>
      <c r="AJ64" s="24">
        <f>+IFERROR(INDEX('Debt Schedule'!$P$12:$P$108,MATCH(Model!AJ4,'Debt Schedule'!$M$12:$M$108,0)),0)</f>
        <v>0</v>
      </c>
      <c r="AK64" s="24">
        <f>+IFERROR(INDEX('Debt Schedule'!$P$12:$P$108,MATCH(Model!AK4,'Debt Schedule'!$M$12:$M$108,0)),0)</f>
        <v>0</v>
      </c>
      <c r="AL64" s="24">
        <f>+IFERROR(INDEX('Debt Schedule'!$P$12:$P$108,MATCH(Model!AL4,'Debt Schedule'!$M$12:$M$108,0)),0)</f>
        <v>0</v>
      </c>
      <c r="AM64" s="24">
        <f>+IFERROR(INDEX('Debt Schedule'!$P$12:$P$108,MATCH(Model!AM4,'Debt Schedule'!$M$12:$M$108,0)),0)</f>
        <v>0</v>
      </c>
      <c r="AN64" s="24">
        <f>+IFERROR(INDEX('Debt Schedule'!$P$12:$P$108,MATCH(Model!AN4,'Debt Schedule'!$M$12:$M$108,0)),0)</f>
        <v>0</v>
      </c>
      <c r="AO64" s="24">
        <f>+IFERROR(INDEX('Debt Schedule'!$P$12:$P$108,MATCH(Model!AO4,'Debt Schedule'!$M$12:$M$108,0)),0)</f>
        <v>-19871.754193731202</v>
      </c>
      <c r="AP64" s="24">
        <f>+IFERROR(INDEX('Debt Schedule'!$P$12:$P$108,MATCH(Model!AP4,'Debt Schedule'!$M$12:$M$108,0)),0)</f>
        <v>-19974.1588078239</v>
      </c>
      <c r="AQ64" s="24">
        <f>+IFERROR(INDEX('Debt Schedule'!$P$12:$P$108,MATCH(Model!AQ4,'Debt Schedule'!$M$12:$M$108,0)),0)</f>
        <v>-20077.091141054287</v>
      </c>
      <c r="AR64" s="24">
        <f>+IFERROR(INDEX('Debt Schedule'!$P$12:$P$108,MATCH(Model!AR4,'Debt Schedule'!$M$12:$M$108,0)),0)</f>
        <v>-20180.553912904204</v>
      </c>
      <c r="AS64" s="24">
        <f>+IFERROR(INDEX('Debt Schedule'!$P$12:$P$108,MATCH(Model!AS4,'Debt Schedule'!$M$12:$M$108,0)),0)</f>
        <v>-20284.549856869729</v>
      </c>
      <c r="AT64" s="24">
        <f>+IFERROR(INDEX('Debt Schedule'!$P$12:$P$108,MATCH(Model!AT4,'Debt Schedule'!$M$12:$M$108,0)),0)</f>
        <v>-20389.081720533381</v>
      </c>
      <c r="AU64" s="24">
        <f>+IFERROR(INDEX('Debt Schedule'!$P$12:$P$108,MATCH(Model!AU4,'Debt Schedule'!$M$12:$M$108,0)),0)</f>
        <v>-20494.152265636763</v>
      </c>
      <c r="AV64" s="24">
        <f>+IFERROR(INDEX('Debt Schedule'!$P$12:$P$108,MATCH(Model!AV4,'Debt Schedule'!$M$12:$M$108,0)),0)</f>
        <v>-20599.764268153463</v>
      </c>
      <c r="AW64" s="24">
        <f>+IFERROR(INDEX('Debt Schedule'!$P$12:$P$108,MATCH(Model!AW4,'Debt Schedule'!$M$12:$M$108,0)),0)</f>
        <v>-20705.920518362429</v>
      </c>
      <c r="AX64" s="24">
        <f>+IFERROR(INDEX('Debt Schedule'!$P$12:$P$108,MATCH(Model!AX4,'Debt Schedule'!$M$12:$M$108,0)),0)</f>
        <v>-20812.623820921697</v>
      </c>
      <c r="AY64" s="24">
        <f>+IFERROR(INDEX('Debt Schedule'!$P$12:$P$108,MATCH(Model!AY4,'Debt Schedule'!$M$12:$M$108,0)),0)</f>
        <v>-20919.876994942457</v>
      </c>
      <c r="AZ64" s="24">
        <f>+IFERROR(INDEX('Debt Schedule'!$P$12:$P$108,MATCH(Model!AZ4,'Debt Schedule'!$M$12:$M$108,0)),0)</f>
        <v>-21027.682874063568</v>
      </c>
      <c r="BA64" s="24">
        <f>+IFERROR(INDEX('Debt Schedule'!$P$12:$P$108,MATCH(Model!BA4,'Debt Schedule'!$M$12:$M$108,0)),0)</f>
        <v>-21136.044306526408</v>
      </c>
      <c r="BB64" s="24">
        <f>+IFERROR(INDEX('Debt Schedule'!$P$12:$P$108,MATCH(Model!BB4,'Debt Schedule'!$M$12:$M$108,0)),0)</f>
        <v>-21244.964155250123</v>
      </c>
      <c r="BC64" s="24">
        <f>+IFERROR(INDEX('Debt Schedule'!$P$12:$P$108,MATCH(Model!BC4,'Debt Schedule'!$M$12:$M$108,0)),0)</f>
        <v>-21354.44529790727</v>
      </c>
      <c r="BD64" s="24">
        <f>+IFERROR(INDEX('Debt Schedule'!$P$12:$P$108,MATCH(Model!BD4,'Debt Schedule'!$M$12:$M$108,0)),0)</f>
        <v>-21464.490626999846</v>
      </c>
      <c r="BE64" s="24">
        <f>+IFERROR(INDEX('Debt Schedule'!$P$12:$P$108,MATCH(Model!BE4,'Debt Schedule'!$M$12:$M$108,0)),0)</f>
        <v>-21575.103049935697</v>
      </c>
      <c r="BF64" s="24">
        <f>+IFERROR(INDEX('Debt Schedule'!$P$12:$P$108,MATCH(Model!BF4,'Debt Schedule'!$M$12:$M$108,0)),0)</f>
        <v>-21686.285489105354</v>
      </c>
      <c r="BG64" s="24">
        <f>+IFERROR(INDEX('Debt Schedule'!$P$12:$P$108,MATCH(Model!BG4,'Debt Schedule'!$M$12:$M$108,0)),0)</f>
        <v>-21798.040881959223</v>
      </c>
      <c r="BH64" s="24">
        <f>+IFERROR(INDEX('Debt Schedule'!$P$12:$P$108,MATCH(Model!BH4,'Debt Schedule'!$M$12:$M$108,0)),0)</f>
        <v>-21910.372181085204</v>
      </c>
      <c r="BI64" s="24">
        <f>+IFERROR(INDEX('Debt Schedule'!$P$12:$P$108,MATCH(Model!BI4,'Debt Schedule'!$M$12:$M$108,0)),0)</f>
        <v>-22023.282354286686</v>
      </c>
      <c r="BJ64" s="24">
        <f>+IFERROR(INDEX('Debt Schedule'!$P$12:$P$108,MATCH(Model!BJ4,'Debt Schedule'!$M$12:$M$108,0)),0)</f>
        <v>-22136.774384660974</v>
      </c>
      <c r="BK64" s="24">
        <f>+IFERROR(INDEX('Debt Schedule'!$P$12:$P$108,MATCH(Model!BK4,'Debt Schedule'!$M$12:$M$108,0)),0)</f>
        <v>-22250.851270678086</v>
      </c>
      <c r="BL64" s="24">
        <f>+IFERROR(INDEX('Debt Schedule'!$P$12:$P$108,MATCH(Model!BL4,'Debt Schedule'!$M$12:$M$108,0)),0)</f>
        <v>-22365.516026259989</v>
      </c>
      <c r="BM64" s="24">
        <f>+IFERROR(INDEX('Debt Schedule'!$P$12:$P$108,MATCH(Model!BM4,'Debt Schedule'!$M$12:$M$108,0)),0)</f>
        <v>-22480.771680860213</v>
      </c>
      <c r="BN64" s="24">
        <f>+IFERROR(INDEX('Debt Schedule'!$P$12:$P$108,MATCH(Model!BN4,'Debt Schedule'!$M$12:$M$108,0)),0)</f>
        <v>-22596.621279543899</v>
      </c>
      <c r="BO64" s="24">
        <f>+IFERROR(INDEX('Debt Schedule'!$P$12:$P$108,MATCH(Model!BO4,'Debt Schedule'!$M$12:$M$108,0)),0)</f>
        <v>-22713.067883068237</v>
      </c>
      <c r="BP64" s="24">
        <f>+IFERROR(INDEX('Debt Schedule'!$P$12:$P$108,MATCH(Model!BP4,'Debt Schedule'!$M$12:$M$108,0)),0)</f>
        <v>0</v>
      </c>
      <c r="BQ64" s="24">
        <f>+IFERROR(INDEX('Debt Schedule'!$P$12:$P$108,MATCH(Model!BQ4,'Debt Schedule'!$M$12:$M$108,0)),0)</f>
        <v>0</v>
      </c>
      <c r="BR64" s="24">
        <f>+IFERROR(INDEX('Debt Schedule'!$P$12:$P$108,MATCH(Model!BR4,'Debt Schedule'!$M$12:$M$108,0)),0)</f>
        <v>0</v>
      </c>
      <c r="BS64" s="24">
        <f>+IFERROR(INDEX('Debt Schedule'!$P$12:$P$108,MATCH(Model!BS4,'Debt Schedule'!$M$12:$M$108,0)),0)</f>
        <v>0</v>
      </c>
      <c r="BT64" s="24">
        <f>+IFERROR(INDEX('Debt Schedule'!$P$12:$P$108,MATCH(Model!BT4,'Debt Schedule'!$M$12:$M$108,0)),0)</f>
        <v>0</v>
      </c>
      <c r="BU64" s="24">
        <f>+IFERROR(INDEX('Debt Schedule'!$P$12:$P$108,MATCH(Model!BU4,'Debt Schedule'!$M$12:$M$108,0)),0)</f>
        <v>0</v>
      </c>
      <c r="BV64" s="24">
        <f>+IFERROR(INDEX('Debt Schedule'!$P$12:$P$108,MATCH(Model!BV4,'Debt Schedule'!$M$12:$M$108,0)),0)</f>
        <v>0</v>
      </c>
      <c r="BW64" s="24">
        <f>+IFERROR(INDEX('Debt Schedule'!$P$12:$P$108,MATCH(Model!BW4,'Debt Schedule'!$M$12:$M$108,0)),0)</f>
        <v>0</v>
      </c>
      <c r="BX64" s="24">
        <f>+IFERROR(INDEX('Debt Schedule'!$P$12:$P$108,MATCH(Model!BX4,'Debt Schedule'!$M$12:$M$108,0)),0)</f>
        <v>0</v>
      </c>
      <c r="BY64" s="24">
        <f>+IFERROR(INDEX('Debt Schedule'!$P$12:$P$108,MATCH(Model!BY4,'Debt Schedule'!$M$12:$M$108,0)),0)</f>
        <v>0</v>
      </c>
      <c r="BZ64" s="24">
        <f>+IFERROR(INDEX('Debt Schedule'!$P$12:$P$108,MATCH(Model!BZ4,'Debt Schedule'!$M$12:$M$108,0)),0)</f>
        <v>0</v>
      </c>
      <c r="CA64" s="24">
        <f>+IFERROR(INDEX('Debt Schedule'!$P$12:$P$108,MATCH(Model!CA4,'Debt Schedule'!$M$12:$M$108,0)),0)</f>
        <v>0</v>
      </c>
      <c r="CB64" s="24">
        <f>+IFERROR(INDEX('Debt Schedule'!$P$12:$P$108,MATCH(Model!CB4,'Debt Schedule'!$M$12:$M$108,0)),0)</f>
        <v>0</v>
      </c>
      <c r="CC64" s="24">
        <f>+IFERROR(INDEX('Debt Schedule'!$P$12:$P$108,MATCH(Model!CC4,'Debt Schedule'!$M$12:$M$108,0)),0)</f>
        <v>0</v>
      </c>
      <c r="CD64" s="24">
        <f>+IFERROR(INDEX('Debt Schedule'!$P$12:$P$108,MATCH(Model!CD4,'Debt Schedule'!$M$12:$M$108,0)),0)</f>
        <v>0</v>
      </c>
      <c r="CE64" s="24">
        <f>+IFERROR(INDEX('Debt Schedule'!$P$12:$P$108,MATCH(Model!CE4,'Debt Schedule'!$M$12:$M$108,0)),0)</f>
        <v>0</v>
      </c>
      <c r="CF64" s="24">
        <f>+IFERROR(INDEX('Debt Schedule'!$P$12:$P$108,MATCH(Model!CF4,'Debt Schedule'!$M$12:$M$108,0)),0)</f>
        <v>0</v>
      </c>
      <c r="CG64" s="24">
        <f>+IFERROR(INDEX('Debt Schedule'!$P$12:$P$108,MATCH(Model!CG4,'Debt Schedule'!$M$12:$M$108,0)),0)</f>
        <v>0</v>
      </c>
      <c r="CH64" s="24">
        <f>+IFERROR(INDEX('Debt Schedule'!$P$12:$P$108,MATCH(Model!CH4,'Debt Schedule'!$M$12:$M$108,0)),0)</f>
        <v>0</v>
      </c>
      <c r="CI64" s="24">
        <f>+IFERROR(INDEX('Debt Schedule'!$P$12:$P$108,MATCH(Model!CI4,'Debt Schedule'!$M$12:$M$108,0)),0)</f>
        <v>0</v>
      </c>
      <c r="CJ64" s="24">
        <f>+IFERROR(INDEX('Debt Schedule'!$P$12:$P$108,MATCH(Model!CJ4,'Debt Schedule'!$M$12:$M$108,0)),0)</f>
        <v>0</v>
      </c>
      <c r="CK64" s="24">
        <f>+IFERROR(INDEX('Debt Schedule'!$P$12:$P$108,MATCH(Model!CK4,'Debt Schedule'!$M$12:$M$108,0)),0)</f>
        <v>0</v>
      </c>
      <c r="CL64" s="24">
        <f>+IFERROR(INDEX('Debt Schedule'!$P$12:$P$108,MATCH(Model!CL4,'Debt Schedule'!$M$12:$M$108,0)),0)</f>
        <v>0</v>
      </c>
      <c r="CM64" s="24">
        <f>+IFERROR(INDEX('Debt Schedule'!$P$12:$P$108,MATCH(Model!CM4,'Debt Schedule'!$M$12:$M$108,0)),0)</f>
        <v>0</v>
      </c>
      <c r="CN64" s="24">
        <f>+IFERROR(INDEX('Debt Schedule'!$P$12:$P$108,MATCH(Model!CN4,'Debt Schedule'!$M$12:$M$108,0)),0)</f>
        <v>0</v>
      </c>
      <c r="CO64" s="24">
        <f>+IFERROR(INDEX('Debt Schedule'!$P$12:$P$108,MATCH(Model!CO4,'Debt Schedule'!$M$12:$M$108,0)),0)</f>
        <v>0</v>
      </c>
      <c r="CP64" s="24">
        <f>+IFERROR(INDEX('Debt Schedule'!$P$12:$P$108,MATCH(Model!CP4,'Debt Schedule'!$M$12:$M$108,0)),0)</f>
        <v>0</v>
      </c>
      <c r="CQ64" s="24">
        <f>+IFERROR(INDEX('Debt Schedule'!$P$12:$P$108,MATCH(Model!CQ4,'Debt Schedule'!$M$12:$M$108,0)),0)</f>
        <v>0</v>
      </c>
      <c r="CR64" s="24">
        <f>+IFERROR(INDEX('Debt Schedule'!$P$12:$P$108,MATCH(Model!CR4,'Debt Schedule'!$M$12:$M$108,0)),0)</f>
        <v>0</v>
      </c>
      <c r="CS64" s="24">
        <f>+IFERROR(INDEX('Debt Schedule'!$P$12:$P$108,MATCH(Model!CS4,'Debt Schedule'!$M$12:$M$108,0)),0)</f>
        <v>0</v>
      </c>
      <c r="CT64" s="24">
        <f>+IFERROR(INDEX('Debt Schedule'!$P$12:$P$108,MATCH(Model!CT4,'Debt Schedule'!$M$12:$M$108,0)),0)</f>
        <v>0</v>
      </c>
      <c r="CU64" s="24">
        <f>+IFERROR(INDEX('Debt Schedule'!$P$12:$P$108,MATCH(Model!CU4,'Debt Schedule'!$M$12:$M$108,0)),0)</f>
        <v>0</v>
      </c>
      <c r="CV64" s="24">
        <f>+IFERROR(INDEX('Debt Schedule'!$P$12:$P$108,MATCH(Model!CV4,'Debt Schedule'!$M$12:$M$108,0)),0)</f>
        <v>0</v>
      </c>
      <c r="CW64" s="24">
        <f>+IFERROR(INDEX('Debt Schedule'!$P$12:$P$108,MATCH(Model!CW4,'Debt Schedule'!$M$12:$M$108,0)),0)</f>
        <v>0</v>
      </c>
      <c r="CX64" s="24">
        <f>+IFERROR(INDEX('Debt Schedule'!$P$12:$P$108,MATCH(Model!CX4,'Debt Schedule'!$M$12:$M$108,0)),0)</f>
        <v>0</v>
      </c>
      <c r="CY64" s="24">
        <f>+IFERROR(INDEX('Debt Schedule'!$P$12:$P$108,MATCH(Model!CY4,'Debt Schedule'!$M$12:$M$108,0)),0)</f>
        <v>0</v>
      </c>
      <c r="CZ64" s="24">
        <f>+IFERROR(INDEX('Debt Schedule'!$P$12:$P$108,MATCH(Model!CZ4,'Debt Schedule'!$M$12:$M$108,0)),0)</f>
        <v>0</v>
      </c>
      <c r="DA64" s="24">
        <f>+IFERROR(INDEX('Debt Schedule'!$P$12:$P$108,MATCH(Model!DA4,'Debt Schedule'!$M$12:$M$108,0)),0)</f>
        <v>0</v>
      </c>
      <c r="DB64" s="24">
        <f>+IFERROR(INDEX('Debt Schedule'!$P$12:$P$108,MATCH(Model!DB4,'Debt Schedule'!$M$12:$M$108,0)),0)</f>
        <v>0</v>
      </c>
      <c r="DC64" s="24">
        <f>+IFERROR(INDEX('Debt Schedule'!$P$12:$P$108,MATCH(Model!DC4,'Debt Schedule'!$M$12:$M$108,0)),0)</f>
        <v>0</v>
      </c>
      <c r="DD64" s="24">
        <f>+IFERROR(INDEX('Debt Schedule'!$P$12:$P$108,MATCH(Model!DD4,'Debt Schedule'!$M$12:$M$108,0)),0)</f>
        <v>0</v>
      </c>
      <c r="DE64" s="24">
        <f>+IFERROR(INDEX('Debt Schedule'!$P$12:$P$108,MATCH(Model!DE4,'Debt Schedule'!$M$12:$M$108,0)),0)</f>
        <v>0</v>
      </c>
      <c r="DF64" s="24">
        <f>+IFERROR(INDEX('Debt Schedule'!$P$12:$P$108,MATCH(Model!DF4,'Debt Schedule'!$M$12:$M$108,0)),0)</f>
        <v>0</v>
      </c>
      <c r="DG64" s="24">
        <f>+IFERROR(INDEX('Debt Schedule'!$P$12:$P$108,MATCH(Model!DG4,'Debt Schedule'!$M$12:$M$108,0)),0)</f>
        <v>0</v>
      </c>
      <c r="DH64" s="24">
        <f>+IFERROR(INDEX('Debt Schedule'!$P$12:$P$108,MATCH(Model!DH4,'Debt Schedule'!$M$12:$M$108,0)),0)</f>
        <v>0</v>
      </c>
      <c r="DI64" s="24">
        <f>+IFERROR(INDEX('Debt Schedule'!$P$12:$P$108,MATCH(Model!DI4,'Debt Schedule'!$M$12:$M$108,0)),0)</f>
        <v>0</v>
      </c>
      <c r="DJ64" s="24">
        <f>+IFERROR(INDEX('Debt Schedule'!$P$12:$P$108,MATCH(Model!DJ4,'Debt Schedule'!$M$12:$M$108,0)),0)</f>
        <v>0</v>
      </c>
      <c r="DK64" s="24">
        <f>+IFERROR(INDEX('Debt Schedule'!$P$12:$P$108,MATCH(Model!DK4,'Debt Schedule'!$M$12:$M$108,0)),0)</f>
        <v>0</v>
      </c>
      <c r="DL64" s="24">
        <f>+IFERROR(INDEX('Debt Schedule'!$P$12:$P$108,MATCH(Model!DL4,'Debt Schedule'!$M$12:$M$108,0)),0)</f>
        <v>0</v>
      </c>
      <c r="DM64" s="24">
        <f>+IFERROR(INDEX('Debt Schedule'!$P$12:$P$108,MATCH(Model!DM4,'Debt Schedule'!$M$12:$M$108,0)),0)</f>
        <v>0</v>
      </c>
      <c r="DN64" s="24">
        <f>+IFERROR(INDEX('Debt Schedule'!$P$12:$P$108,MATCH(Model!DN4,'Debt Schedule'!$M$12:$M$108,0)),0)</f>
        <v>0</v>
      </c>
      <c r="DO64" s="24">
        <f>+IFERROR(INDEX('Debt Schedule'!$P$12:$P$108,MATCH(Model!DO4,'Debt Schedule'!$M$12:$M$108,0)),0)</f>
        <v>0</v>
      </c>
      <c r="DP64" s="24">
        <f>+IFERROR(INDEX('Debt Schedule'!$P$12:$P$108,MATCH(Model!DP4,'Debt Schedule'!$M$12:$M$108,0)),0)</f>
        <v>0</v>
      </c>
      <c r="DQ64" s="24">
        <f>+IFERROR(INDEX('Debt Schedule'!$P$12:$P$108,MATCH(Model!DQ4,'Debt Schedule'!$M$12:$M$108,0)),0)</f>
        <v>0</v>
      </c>
      <c r="DR64" s="24">
        <f>+IFERROR(INDEX('Debt Schedule'!$P$12:$P$108,MATCH(Model!DR4,'Debt Schedule'!$M$12:$M$108,0)),0)</f>
        <v>0</v>
      </c>
      <c r="DS64" s="24">
        <f>+IFERROR(INDEX('Debt Schedule'!$P$12:$P$108,MATCH(Model!DS4,'Debt Schedule'!$M$12:$M$108,0)),0)</f>
        <v>0</v>
      </c>
      <c r="DT64" s="24">
        <f>+IFERROR(INDEX('Debt Schedule'!$P$12:$P$108,MATCH(Model!DT4,'Debt Schedule'!$M$12:$M$108,0)),0)</f>
        <v>0</v>
      </c>
      <c r="DU64" s="24">
        <f>+IFERROR(INDEX('Debt Schedule'!$P$12:$P$108,MATCH(Model!DU4,'Debt Schedule'!$M$12:$M$108,0)),0)</f>
        <v>0</v>
      </c>
      <c r="DV64" s="24">
        <f>+IFERROR(INDEX('Debt Schedule'!$P$12:$P$108,MATCH(Model!DV4,'Debt Schedule'!$M$12:$M$108,0)),0)</f>
        <v>0</v>
      </c>
      <c r="DW64" s="24">
        <f>+IFERROR(INDEX('Debt Schedule'!$P$12:$P$108,MATCH(Model!DW4,'Debt Schedule'!$M$12:$M$108,0)),0)</f>
        <v>0</v>
      </c>
      <c r="DX64" s="24">
        <f>+IFERROR(INDEX('Debt Schedule'!$P$12:$P$108,MATCH(Model!DX4,'Debt Schedule'!$M$12:$M$108,0)),0)</f>
        <v>0</v>
      </c>
      <c r="DY64" s="24">
        <f>+IFERROR(INDEX('Debt Schedule'!$P$12:$P$108,MATCH(Model!DY4,'Debt Schedule'!$M$12:$M$108,0)),0)</f>
        <v>0</v>
      </c>
      <c r="DZ64" s="24">
        <f>+IFERROR(INDEX('Debt Schedule'!$P$12:$P$108,MATCH(Model!DZ4,'Debt Schedule'!$M$12:$M$108,0)),0)</f>
        <v>0</v>
      </c>
      <c r="EA64" s="24">
        <f>+IFERROR(INDEX('Debt Schedule'!$P$12:$P$108,MATCH(Model!EA4,'Debt Schedule'!$M$12:$M$108,0)),0)</f>
        <v>0</v>
      </c>
      <c r="EB64" s="24">
        <f>+IFERROR(INDEX('Debt Schedule'!$P$12:$P$108,MATCH(Model!EB4,'Debt Schedule'!$M$12:$M$108,0)),0)</f>
        <v>0</v>
      </c>
      <c r="EC64" s="24">
        <f>+IFERROR(INDEX('Debt Schedule'!$P$12:$P$108,MATCH(Model!EC4,'Debt Schedule'!$M$12:$M$108,0)),0)</f>
        <v>0</v>
      </c>
      <c r="ED64" s="24">
        <f>+IFERROR(INDEX('Debt Schedule'!$P$12:$P$108,MATCH(Model!ED4,'Debt Schedule'!$M$12:$M$108,0)),0)</f>
        <v>0</v>
      </c>
      <c r="EE64" s="24">
        <f>+IFERROR(INDEX('Debt Schedule'!$P$12:$P$108,MATCH(Model!EE4,'Debt Schedule'!$M$12:$M$108,0)),0)</f>
        <v>0</v>
      </c>
      <c r="EF64" s="24">
        <f>+IFERROR(INDEX('Debt Schedule'!$P$12:$P$108,MATCH(Model!EF4,'Debt Schedule'!$M$12:$M$108,0)),0)</f>
        <v>0</v>
      </c>
      <c r="EG64" s="24">
        <f>+IFERROR(INDEX('Debt Schedule'!$P$12:$P$108,MATCH(Model!EG4,'Debt Schedule'!$M$12:$M$108,0)),0)</f>
        <v>0</v>
      </c>
      <c r="EH64" s="24">
        <f>+IFERROR(INDEX('Debt Schedule'!$P$12:$P$108,MATCH(Model!EH4,'Debt Schedule'!$M$12:$M$108,0)),0)</f>
        <v>0</v>
      </c>
      <c r="EI64" s="24">
        <f>+IFERROR(INDEX('Debt Schedule'!$P$12:$P$108,MATCH(Model!EI4,'Debt Schedule'!$M$12:$M$108,0)),0)</f>
        <v>0</v>
      </c>
      <c r="EM64" s="1" t="s">
        <v>191</v>
      </c>
    </row>
    <row r="65" spans="2:143" x14ac:dyDescent="0.45">
      <c r="D65" s="1" t="s">
        <v>38</v>
      </c>
      <c r="G65" s="24">
        <f>IF(G4=Assumptions!$E$174,-MIN(G59,G62+G64),0)</f>
        <v>0</v>
      </c>
      <c r="H65" s="24">
        <f>IF(H4=Assumptions!$E$174,-MIN(H59,H62+H64),0)</f>
        <v>0</v>
      </c>
      <c r="I65" s="24">
        <f>IF(I4=Assumptions!$E$174,-MIN(I59,I62+I64),0)</f>
        <v>0</v>
      </c>
      <c r="J65" s="24">
        <f>IF(J4=Assumptions!$E$174,-MIN(J59,J62+J64),0)</f>
        <v>0</v>
      </c>
      <c r="K65" s="24">
        <f>IF(K4=Assumptions!$E$174,-MIN(K59,K62+K64),0)</f>
        <v>0</v>
      </c>
      <c r="L65" s="24">
        <f>IF(L4=Assumptions!$E$174,-MIN(L59,L62+L64),0)</f>
        <v>0</v>
      </c>
      <c r="M65" s="24">
        <f>IF(M4=Assumptions!$E$174,-MIN(M59,M62+M64),0)</f>
        <v>0</v>
      </c>
      <c r="N65" s="24">
        <f>IF(N4=Assumptions!$E$174,-MIN(N59,N62+N64),0)</f>
        <v>0</v>
      </c>
      <c r="O65" s="24">
        <f>IF(O4=Assumptions!$E$174,-MIN(O59,O62+O64),0)</f>
        <v>0</v>
      </c>
      <c r="P65" s="24">
        <f>IF(P4=Assumptions!$E$174,-MIN(P59,P62+P64),0)</f>
        <v>0</v>
      </c>
      <c r="Q65" s="24">
        <f>IF(Q4=Assumptions!$E$174,-MIN(Q59,Q62+Q64),0)</f>
        <v>0</v>
      </c>
      <c r="R65" s="24">
        <f>IF(R4=Assumptions!$E$174,-MIN(R59,R62+R64),0)</f>
        <v>0</v>
      </c>
      <c r="S65" s="24">
        <f>IF(S4=Assumptions!$E$174,-MIN(S59,S62+S64),0)</f>
        <v>0</v>
      </c>
      <c r="T65" s="24">
        <f>IF(T4=Assumptions!$E$174,-MIN(T59,T62+T64),0)</f>
        <v>0</v>
      </c>
      <c r="U65" s="24">
        <f>IF(U4=Assumptions!$E$174,-MIN(U59,U62+U64),0)</f>
        <v>0</v>
      </c>
      <c r="V65" s="24">
        <f>IF(V4=Assumptions!$E$174,-MIN(V59,V62+V64),0)</f>
        <v>0</v>
      </c>
      <c r="W65" s="24">
        <f>IF(W4=Assumptions!$E$174,-MIN(W59,W62+W64),0)</f>
        <v>0</v>
      </c>
      <c r="X65" s="24">
        <f>IF(X4=Assumptions!$E$174,-MIN(X59,X62+X64),0)</f>
        <v>0</v>
      </c>
      <c r="Y65" s="24">
        <f>IF(Y4=Assumptions!$E$174,-MIN(Y59,Y62+Y64),0)</f>
        <v>0</v>
      </c>
      <c r="Z65" s="24">
        <f>IF(Z4=Assumptions!$E$174,-MIN(Z59,Z62+Z64),0)</f>
        <v>0</v>
      </c>
      <c r="AA65" s="24">
        <f>IF(AA4=Assumptions!$E$174,-MIN(AA59,AA62+AA64),0)</f>
        <v>0</v>
      </c>
      <c r="AB65" s="24">
        <f>IF(AB4=Assumptions!$E$174,-MIN(AB59,AB62+AB64),0)</f>
        <v>0</v>
      </c>
      <c r="AC65" s="24">
        <f>IF(AC4=Assumptions!$E$174,-MIN(AC59,AC62+AC64),0)</f>
        <v>0</v>
      </c>
      <c r="AD65" s="24">
        <f>IF(AD4=Assumptions!$E$174,-MIN(AD59,AD62+AD64),0)</f>
        <v>0</v>
      </c>
      <c r="AE65" s="24">
        <f>IF(AE4=Assumptions!$E$174,-MIN(AE59,AE62+AE64),0)</f>
        <v>0</v>
      </c>
      <c r="AF65" s="24">
        <f>IF(AF4=Assumptions!$E$174,-MIN(AF59,AF62+AF64),0)</f>
        <v>0</v>
      </c>
      <c r="AG65" s="24">
        <f>IF(AG4=Assumptions!$E$174,-MIN(AG59,AG62+AG64),0)</f>
        <v>0</v>
      </c>
      <c r="AH65" s="24">
        <f>IF(AH4=Assumptions!$E$174,-MIN(AH59,AH62+AH64),0)</f>
        <v>0</v>
      </c>
      <c r="AI65" s="24">
        <f>IF(AI4=Assumptions!$E$174,-MIN(AI59,AI62+AI64),0)</f>
        <v>0</v>
      </c>
      <c r="AJ65" s="24">
        <f>IF(AJ4=Assumptions!$E$174,-MIN(AJ59,AJ62+AJ64),0)</f>
        <v>0</v>
      </c>
      <c r="AK65" s="24">
        <f>IF(AK4=Assumptions!$E$174,-MIN(AK59,AK62+AK64),0)</f>
        <v>0</v>
      </c>
      <c r="AL65" s="24">
        <f>IF(AL4=Assumptions!$E$174,-MIN(AL59,AL62+AL64),0)</f>
        <v>0</v>
      </c>
      <c r="AM65" s="24">
        <f>IF(AM4=Assumptions!$E$174,-MIN(AM59,AM62+AM64),0)</f>
        <v>0</v>
      </c>
      <c r="AN65" s="24">
        <f>IF(AN4=Assumptions!$E$174,-MIN(AN59,AN62+AN64),0)</f>
        <v>0</v>
      </c>
      <c r="AO65" s="24">
        <f>IF(AO4=Assumptions!$E$174,-MIN(AO59,AO62+AO64),0)</f>
        <v>0</v>
      </c>
      <c r="AP65" s="24">
        <f>IF(AP4=Assumptions!$E$174,-MIN(AP59,AP62+AP64),0)</f>
        <v>0</v>
      </c>
      <c r="AQ65" s="24">
        <f>IF(AQ4=Assumptions!$E$174,-MIN(AQ59,AQ62+AQ64),0)</f>
        <v>0</v>
      </c>
      <c r="AR65" s="24">
        <f>IF(AR4=Assumptions!$E$174,-MIN(AR59,AR62+AR64),0)</f>
        <v>0</v>
      </c>
      <c r="AS65" s="24">
        <f>IF(AS4=Assumptions!$E$174,-MIN(AS59,AS62+AS64),0)</f>
        <v>0</v>
      </c>
      <c r="AT65" s="24">
        <f>IF(AT4=Assumptions!$E$174,-MIN(AT59,AT62+AT64),0)</f>
        <v>0</v>
      </c>
      <c r="AU65" s="24">
        <f>IF(AU4=Assumptions!$E$174,-MIN(AU59,AU62+AU64),0)</f>
        <v>0</v>
      </c>
      <c r="AV65" s="24">
        <f>IF(AV4=Assumptions!$E$174,-MIN(AV59,AV62+AV64),0)</f>
        <v>0</v>
      </c>
      <c r="AW65" s="24">
        <f>IF(AW4=Assumptions!$E$174,-MIN(AW59,AW62+AW64),0)</f>
        <v>0</v>
      </c>
      <c r="AX65" s="24">
        <f>IF(AX4=Assumptions!$E$174,-MIN(AX59,AX62+AX64),0)</f>
        <v>0</v>
      </c>
      <c r="AY65" s="24">
        <f>IF(AY4=Assumptions!$E$174,-MIN(AY59,AY62+AY64),0)</f>
        <v>0</v>
      </c>
      <c r="AZ65" s="24">
        <f>IF(AZ4=Assumptions!$E$174,-MIN(AZ59,AZ62+AZ64),0)</f>
        <v>0</v>
      </c>
      <c r="BA65" s="24">
        <f>IF(BA4=Assumptions!$E$174,-MIN(BA59,BA62+BA64),0)</f>
        <v>0</v>
      </c>
      <c r="BB65" s="24">
        <f>IF(BB4=Assumptions!$E$174,-MIN(BB59,BB62+BB64),0)</f>
        <v>0</v>
      </c>
      <c r="BC65" s="24">
        <f>IF(BC4=Assumptions!$E$174,-MIN(BC59,BC62+BC64),0)</f>
        <v>0</v>
      </c>
      <c r="BD65" s="24">
        <f>IF(BD4=Assumptions!$E$174,-MIN(BD59,BD62+BD64),0)</f>
        <v>0</v>
      </c>
      <c r="BE65" s="24">
        <f>IF(BE4=Assumptions!$E$174,-MIN(BE59,BE62+BE64),0)</f>
        <v>0</v>
      </c>
      <c r="BF65" s="24">
        <f>IF(BF4=Assumptions!$E$174,-MIN(BF59,BF62+BF64),0)</f>
        <v>0</v>
      </c>
      <c r="BG65" s="24">
        <f>IF(BG4=Assumptions!$E$174,-MIN(BG59,BG62+BG64),0)</f>
        <v>0</v>
      </c>
      <c r="BH65" s="24">
        <f>IF(BH4=Assumptions!$E$174,-MIN(BH59,BH62+BH64),0)</f>
        <v>0</v>
      </c>
      <c r="BI65" s="24">
        <f>IF(BI4=Assumptions!$E$174,-MIN(BI59,BI62+BI64),0)</f>
        <v>0</v>
      </c>
      <c r="BJ65" s="24">
        <f>IF(BJ4=Assumptions!$E$174,-MIN(BJ59,BJ62+BJ64),0)</f>
        <v>0</v>
      </c>
      <c r="BK65" s="24">
        <f>IF(BK4=Assumptions!$E$174,-MIN(BK59,BK62+BK64),0)</f>
        <v>0</v>
      </c>
      <c r="BL65" s="24">
        <f>IF(BL4=Assumptions!$E$174,-MIN(BL59,BL62+BL64),0)</f>
        <v>0</v>
      </c>
      <c r="BM65" s="24">
        <f>IF(BM4=Assumptions!$E$174,-MIN(BM59,BM62+BM64),0)</f>
        <v>0</v>
      </c>
      <c r="BN65" s="24">
        <f>IF(BN4=Assumptions!$E$174,-MIN(BN59,BN62+BN64),0)</f>
        <v>0</v>
      </c>
      <c r="BO65" s="24">
        <f>IF(BO4=Assumptions!$E$174,-MIN(BO59,BO62+BO64),0)</f>
        <v>-20104330.613713149</v>
      </c>
      <c r="BP65" s="24">
        <f>IF(BP4=Assumptions!$E$174,-MIN(BP59,BP62+BP64),0)</f>
        <v>0</v>
      </c>
      <c r="BQ65" s="24">
        <f>IF(BQ4=Assumptions!$E$174,-MIN(BQ59,BQ62+BQ64),0)</f>
        <v>0</v>
      </c>
      <c r="BR65" s="24">
        <f>IF(BR4=Assumptions!$E$174,-MIN(BR59,BR62+BR64),0)</f>
        <v>0</v>
      </c>
      <c r="BS65" s="24">
        <f>IF(BS4=Assumptions!$E$174,-MIN(BS59,BS62+BS64),0)</f>
        <v>0</v>
      </c>
      <c r="BT65" s="24">
        <f>IF(BT4=Assumptions!$E$174,-MIN(BT59,BT62+BT64),0)</f>
        <v>0</v>
      </c>
      <c r="BU65" s="24">
        <f>IF(BU4=Assumptions!$E$174,-MIN(BU59,BU62+BU64),0)</f>
        <v>0</v>
      </c>
      <c r="BV65" s="24">
        <f>IF(BV4=Assumptions!$E$174,-MIN(BV59,BV62+BV64),0)</f>
        <v>0</v>
      </c>
      <c r="BW65" s="24">
        <f>IF(BW4=Assumptions!$E$174,-MIN(BW59,BW62+BW64),0)</f>
        <v>0</v>
      </c>
      <c r="BX65" s="24">
        <f>IF(BX4=Assumptions!$E$174,-MIN(BX59,BX62+BX64),0)</f>
        <v>0</v>
      </c>
      <c r="BY65" s="24">
        <f>IF(BY4=Assumptions!$E$174,-MIN(BY59,BY62+BY64),0)</f>
        <v>0</v>
      </c>
      <c r="BZ65" s="24">
        <f>IF(BZ4=Assumptions!$E$174,-MIN(BZ59,BZ62+BZ64),0)</f>
        <v>0</v>
      </c>
      <c r="CA65" s="24">
        <f>IF(CA4=Assumptions!$E$174,-MIN(CA59,CA62+CA64),0)</f>
        <v>0</v>
      </c>
      <c r="CB65" s="24">
        <f>IF(CB4=Assumptions!$E$174,-MIN(CB59,CB62+CB64),0)</f>
        <v>0</v>
      </c>
      <c r="CC65" s="24">
        <f>IF(CC4=Assumptions!$E$174,-MIN(CC59,CC62+CC64),0)</f>
        <v>0</v>
      </c>
      <c r="CD65" s="24">
        <f>IF(CD4=Assumptions!$E$174,-MIN(CD59,CD62+CD64),0)</f>
        <v>0</v>
      </c>
      <c r="CE65" s="24">
        <f>IF(CE4=Assumptions!$E$174,-MIN(CE59,CE62+CE64),0)</f>
        <v>0</v>
      </c>
      <c r="CF65" s="24">
        <f>IF(CF4=Assumptions!$E$174,-MIN(CF59,CF62+CF64),0)</f>
        <v>0</v>
      </c>
      <c r="CG65" s="24">
        <f>IF(CG4=Assumptions!$E$174,-MIN(CG59,CG62+CG64),0)</f>
        <v>0</v>
      </c>
      <c r="CH65" s="24">
        <f>IF(CH4=Assumptions!$E$174,-MIN(CH59,CH62+CH64),0)</f>
        <v>0</v>
      </c>
      <c r="CI65" s="24">
        <f>IF(CI4=Assumptions!$E$174,-MIN(CI59,CI62+CI64),0)</f>
        <v>0</v>
      </c>
      <c r="CJ65" s="24">
        <f>IF(CJ4=Assumptions!$E$174,-MIN(CJ59,CJ62+CJ64),0)</f>
        <v>0</v>
      </c>
      <c r="CK65" s="24">
        <f>IF(CK4=Assumptions!$E$174,-MIN(CK59,CK62+CK64),0)</f>
        <v>0</v>
      </c>
      <c r="CL65" s="24">
        <f>IF(CL4=Assumptions!$E$174,-MIN(CL59,CL62+CL64),0)</f>
        <v>0</v>
      </c>
      <c r="CM65" s="24">
        <f>IF(CM4=Assumptions!$E$174,-MIN(CM59,CM62+CM64),0)</f>
        <v>0</v>
      </c>
      <c r="CN65" s="24">
        <f>IF(CN4=Assumptions!$E$174,-MIN(CN59,CN62+CN64),0)</f>
        <v>0</v>
      </c>
      <c r="CO65" s="24">
        <f>IF(CO4=Assumptions!$E$174,-MIN(CO59,CO62+CO64),0)</f>
        <v>0</v>
      </c>
      <c r="CP65" s="24">
        <f>IF(CP4=Assumptions!$E$174,-MIN(CP59,CP62+CP64),0)</f>
        <v>0</v>
      </c>
      <c r="CQ65" s="24">
        <f>IF(CQ4=Assumptions!$E$174,-MIN(CQ59,CQ62+CQ64),0)</f>
        <v>0</v>
      </c>
      <c r="CR65" s="24">
        <f>IF(CR4=Assumptions!$E$174,-MIN(CR59,CR62+CR64),0)</f>
        <v>0</v>
      </c>
      <c r="CS65" s="24">
        <f>IF(CS4=Assumptions!$E$174,-MIN(CS59,CS62+CS64),0)</f>
        <v>0</v>
      </c>
      <c r="CT65" s="24">
        <f>IF(CT4=Assumptions!$E$174,-MIN(CT59,CT62+CT64),0)</f>
        <v>0</v>
      </c>
      <c r="CU65" s="24">
        <f>IF(CU4=Assumptions!$E$174,-MIN(CU59,CU62+CU64),0)</f>
        <v>0</v>
      </c>
      <c r="CV65" s="24">
        <f>IF(CV4=Assumptions!$E$174,-MIN(CV59,CV62+CV64),0)</f>
        <v>0</v>
      </c>
      <c r="CW65" s="24">
        <f>IF(CW4=Assumptions!$E$174,-MIN(CW59,CW62+CW64),0)</f>
        <v>0</v>
      </c>
      <c r="CX65" s="24">
        <f>IF(CX4=Assumptions!$E$174,-MIN(CX59,CX62+CX64),0)</f>
        <v>0</v>
      </c>
      <c r="CY65" s="24">
        <f>IF(CY4=Assumptions!$E$174,-MIN(CY59,CY62+CY64),0)</f>
        <v>0</v>
      </c>
      <c r="CZ65" s="24">
        <f>IF(CZ4=Assumptions!$E$174,-MIN(CZ59,CZ62+CZ64),0)</f>
        <v>0</v>
      </c>
      <c r="DA65" s="24">
        <f>IF(DA4=Assumptions!$E$174,-MIN(DA59,DA62+DA64),0)</f>
        <v>0</v>
      </c>
      <c r="DB65" s="24">
        <f>IF(DB4=Assumptions!$E$174,-MIN(DB59,DB62+DB64),0)</f>
        <v>0</v>
      </c>
      <c r="DC65" s="24">
        <f>IF(DC4=Assumptions!$E$174,-MIN(DC59,DC62+DC64),0)</f>
        <v>0</v>
      </c>
      <c r="DD65" s="24">
        <f>IF(DD4=Assumptions!$E$174,-MIN(DD59,DD62+DD64),0)</f>
        <v>0</v>
      </c>
      <c r="DE65" s="24">
        <f>IF(DE4=Assumptions!$E$174,-MIN(DE59,DE62+DE64),0)</f>
        <v>0</v>
      </c>
      <c r="DF65" s="24">
        <f>IF(DF4=Assumptions!$E$174,-MIN(DF59,DF62+DF64),0)</f>
        <v>0</v>
      </c>
      <c r="DG65" s="24">
        <f>IF(DG4=Assumptions!$E$174,-MIN(DG59,DG62+DG64),0)</f>
        <v>0</v>
      </c>
      <c r="DH65" s="24">
        <f>IF(DH4=Assumptions!$E$174,-MIN(DH59,DH62+DH64),0)</f>
        <v>0</v>
      </c>
      <c r="DI65" s="24">
        <f>IF(DI4=Assumptions!$E$174,-MIN(DI59,DI62+DI64),0)</f>
        <v>0</v>
      </c>
      <c r="DJ65" s="24">
        <f>IF(DJ4=Assumptions!$E$174,-MIN(DJ59,DJ62+DJ64),0)</f>
        <v>0</v>
      </c>
      <c r="DK65" s="24">
        <f>IF(DK4=Assumptions!$E$174,-MIN(DK59,DK62+DK64),0)</f>
        <v>0</v>
      </c>
      <c r="DL65" s="24">
        <f>IF(DL4=Assumptions!$E$174,-MIN(DL59,DL62+DL64),0)</f>
        <v>0</v>
      </c>
      <c r="DM65" s="24">
        <f>IF(DM4=Assumptions!$E$174,-MIN(DM59,DM62+DM64),0)</f>
        <v>0</v>
      </c>
      <c r="DN65" s="24">
        <f>IF(DN4=Assumptions!$E$174,-MIN(DN59,DN62+DN64),0)</f>
        <v>0</v>
      </c>
      <c r="DO65" s="24">
        <f>IF(DO4=Assumptions!$E$174,-MIN(DO59,DO62+DO64),0)</f>
        <v>0</v>
      </c>
      <c r="DP65" s="24">
        <f>IF(DP4=Assumptions!$E$174,-MIN(DP59,DP62+DP64),0)</f>
        <v>0</v>
      </c>
      <c r="DQ65" s="24">
        <f>IF(DQ4=Assumptions!$E$174,-MIN(DQ59,DQ62+DQ64),0)</f>
        <v>0</v>
      </c>
      <c r="DR65" s="24">
        <f>IF(DR4=Assumptions!$E$174,-MIN(DR59,DR62+DR64),0)</f>
        <v>0</v>
      </c>
      <c r="DS65" s="24">
        <f>IF(DS4=Assumptions!$E$174,-MIN(DS59,DS62+DS64),0)</f>
        <v>0</v>
      </c>
      <c r="DT65" s="24">
        <f>IF(DT4=Assumptions!$E$174,-MIN(DT59,DT62+DT64),0)</f>
        <v>0</v>
      </c>
      <c r="DU65" s="24">
        <f>IF(DU4=Assumptions!$E$174,-MIN(DU59,DU62+DU64),0)</f>
        <v>0</v>
      </c>
      <c r="DV65" s="24">
        <f>IF(DV4=Assumptions!$E$174,-MIN(DV59,DV62+DV64),0)</f>
        <v>0</v>
      </c>
      <c r="DW65" s="24">
        <f>IF(DW4=Assumptions!$E$174,-MIN(DW59,DW62+DW64),0)</f>
        <v>0</v>
      </c>
      <c r="DX65" s="24">
        <f>IF(DX4=Assumptions!$E$174,-MIN(DX59,DX62+DX64),0)</f>
        <v>0</v>
      </c>
      <c r="DY65" s="24">
        <f>IF(DY4=Assumptions!$E$174,-MIN(DY59,DY62+DY64),0)</f>
        <v>0</v>
      </c>
      <c r="DZ65" s="24">
        <f>IF(DZ4=Assumptions!$E$174,-MIN(DZ59,DZ62+DZ64),0)</f>
        <v>0</v>
      </c>
      <c r="EA65" s="24">
        <f>IF(EA4=Assumptions!$E$174,-MIN(EA59,EA62+EA64),0)</f>
        <v>0</v>
      </c>
      <c r="EB65" s="24">
        <f>IF(EB4=Assumptions!$E$174,-MIN(EB59,EB62+EB64),0)</f>
        <v>0</v>
      </c>
      <c r="EC65" s="24">
        <f>IF(EC4=Assumptions!$E$174,-MIN(EC59,EC62+EC64),0)</f>
        <v>0</v>
      </c>
      <c r="ED65" s="24">
        <f>IF(ED4=Assumptions!$E$174,-MIN(ED59,ED62+ED64),0)</f>
        <v>0</v>
      </c>
      <c r="EE65" s="24">
        <f>IF(EE4=Assumptions!$E$174,-MIN(EE59,EE62+EE64),0)</f>
        <v>0</v>
      </c>
      <c r="EF65" s="24">
        <f>IF(EF4=Assumptions!$E$174,-MIN(EF59,EF62+EF64),0)</f>
        <v>0</v>
      </c>
      <c r="EG65" s="24">
        <f>IF(EG4=Assumptions!$E$174,-MIN(EG59,EG62+EG64),0)</f>
        <v>0</v>
      </c>
      <c r="EH65" s="24">
        <f>IF(EH4=Assumptions!$E$174,-MIN(EH59,EH62+EH64),0)</f>
        <v>0</v>
      </c>
      <c r="EI65" s="24">
        <f>IF(EI4=Assumptions!$E$174,-MIN(EI59,EI62+EI64),0)</f>
        <v>0</v>
      </c>
      <c r="EM65" s="1" t="s">
        <v>191</v>
      </c>
    </row>
    <row r="66" spans="2:143" x14ac:dyDescent="0.45">
      <c r="D66" s="1" t="s">
        <v>166</v>
      </c>
      <c r="G66" s="24">
        <f t="shared" ref="G66:S66" si="753">+G84</f>
        <v>0</v>
      </c>
      <c r="H66" s="24">
        <f t="shared" si="753"/>
        <v>0</v>
      </c>
      <c r="I66" s="24">
        <f t="shared" si="753"/>
        <v>0</v>
      </c>
      <c r="J66" s="24">
        <f t="shared" si="753"/>
        <v>0</v>
      </c>
      <c r="K66" s="24">
        <f t="shared" si="753"/>
        <v>0</v>
      </c>
      <c r="L66" s="24">
        <f t="shared" si="753"/>
        <v>0</v>
      </c>
      <c r="M66" s="24">
        <f t="shared" si="753"/>
        <v>0</v>
      </c>
      <c r="N66" s="24">
        <f t="shared" si="753"/>
        <v>0</v>
      </c>
      <c r="O66" s="24">
        <f t="shared" si="753"/>
        <v>0</v>
      </c>
      <c r="P66" s="24">
        <f t="shared" si="753"/>
        <v>0</v>
      </c>
      <c r="Q66" s="24">
        <f t="shared" si="753"/>
        <v>0</v>
      </c>
      <c r="R66" s="24">
        <f t="shared" si="753"/>
        <v>0</v>
      </c>
      <c r="S66" s="24">
        <f t="shared" si="753"/>
        <v>0</v>
      </c>
      <c r="T66" s="24">
        <f t="shared" ref="T66" si="754">+T84</f>
        <v>0</v>
      </c>
      <c r="U66" s="24">
        <f t="shared" ref="U66:CF66" si="755">+U84</f>
        <v>0</v>
      </c>
      <c r="V66" s="24">
        <f t="shared" si="755"/>
        <v>0</v>
      </c>
      <c r="W66" s="24">
        <f t="shared" si="755"/>
        <v>0</v>
      </c>
      <c r="X66" s="24">
        <f t="shared" ref="X66:BM66" si="756">+X84</f>
        <v>0</v>
      </c>
      <c r="Y66" s="24">
        <f t="shared" si="756"/>
        <v>0</v>
      </c>
      <c r="Z66" s="24">
        <f t="shared" si="756"/>
        <v>0</v>
      </c>
      <c r="AA66" s="24">
        <f t="shared" si="756"/>
        <v>0</v>
      </c>
      <c r="AB66" s="24">
        <f t="shared" si="756"/>
        <v>0</v>
      </c>
      <c r="AC66" s="24">
        <f t="shared" si="756"/>
        <v>0</v>
      </c>
      <c r="AD66" s="24">
        <f t="shared" si="756"/>
        <v>0</v>
      </c>
      <c r="AE66" s="24">
        <f t="shared" si="756"/>
        <v>0</v>
      </c>
      <c r="AF66" s="24">
        <f t="shared" si="756"/>
        <v>0</v>
      </c>
      <c r="AG66" s="24">
        <f t="shared" si="756"/>
        <v>0</v>
      </c>
      <c r="AH66" s="24">
        <f t="shared" si="756"/>
        <v>0</v>
      </c>
      <c r="AI66" s="24">
        <f t="shared" si="756"/>
        <v>0</v>
      </c>
      <c r="AJ66" s="24">
        <f t="shared" si="756"/>
        <v>0</v>
      </c>
      <c r="AK66" s="24">
        <f t="shared" si="756"/>
        <v>0</v>
      </c>
      <c r="AL66" s="24">
        <f t="shared" si="756"/>
        <v>0</v>
      </c>
      <c r="AM66" s="24">
        <f t="shared" si="756"/>
        <v>0</v>
      </c>
      <c r="AN66" s="24">
        <f t="shared" si="756"/>
        <v>0</v>
      </c>
      <c r="AO66" s="24">
        <f t="shared" si="756"/>
        <v>106561.50471761479</v>
      </c>
      <c r="AP66" s="24">
        <f t="shared" si="756"/>
        <v>106459.1001035221</v>
      </c>
      <c r="AQ66" s="24">
        <f t="shared" si="756"/>
        <v>106356.16777029172</v>
      </c>
      <c r="AR66" s="24">
        <f t="shared" si="756"/>
        <v>106252.70499844178</v>
      </c>
      <c r="AS66" s="24">
        <f t="shared" si="756"/>
        <v>106148.70905447626</v>
      </c>
      <c r="AT66" s="24">
        <f t="shared" si="756"/>
        <v>106044.17719081262</v>
      </c>
      <c r="AU66" s="24">
        <f t="shared" si="756"/>
        <v>105939.10664570925</v>
      </c>
      <c r="AV66" s="24">
        <f t="shared" si="756"/>
        <v>105833.49464319252</v>
      </c>
      <c r="AW66" s="24">
        <f t="shared" si="756"/>
        <v>105727.33839298355</v>
      </c>
      <c r="AX66" s="24">
        <f t="shared" si="756"/>
        <v>105620.6350904243</v>
      </c>
      <c r="AY66" s="24">
        <f t="shared" si="756"/>
        <v>105513.38191640354</v>
      </c>
      <c r="AZ66" s="24">
        <f t="shared" si="756"/>
        <v>105405.57603728243</v>
      </c>
      <c r="BA66" s="24">
        <f t="shared" si="756"/>
        <v>105297.2146048196</v>
      </c>
      <c r="BB66" s="24">
        <f t="shared" si="756"/>
        <v>105188.29475609589</v>
      </c>
      <c r="BC66" s="24">
        <f t="shared" si="756"/>
        <v>105078.81361343873</v>
      </c>
      <c r="BD66" s="24">
        <f t="shared" si="756"/>
        <v>104968.76828434617</v>
      </c>
      <c r="BE66" s="24">
        <f t="shared" si="756"/>
        <v>104858.1558614103</v>
      </c>
      <c r="BF66" s="24">
        <f t="shared" si="756"/>
        <v>104746.97342224064</v>
      </c>
      <c r="BG66" s="24">
        <f t="shared" si="756"/>
        <v>104635.21802938679</v>
      </c>
      <c r="BH66" s="24">
        <f t="shared" si="756"/>
        <v>104522.8867302608</v>
      </c>
      <c r="BI66" s="24">
        <f t="shared" si="756"/>
        <v>104409.97655705932</v>
      </c>
      <c r="BJ66" s="24">
        <f t="shared" si="756"/>
        <v>104296.48452668502</v>
      </c>
      <c r="BK66" s="24">
        <f t="shared" si="756"/>
        <v>104182.40764066792</v>
      </c>
      <c r="BL66" s="24">
        <f t="shared" si="756"/>
        <v>104067.74288508602</v>
      </c>
      <c r="BM66" s="24">
        <f t="shared" si="756"/>
        <v>103952.4872304858</v>
      </c>
      <c r="BN66" s="24">
        <f t="shared" si="755"/>
        <v>103836.63763180211</v>
      </c>
      <c r="BO66" s="24">
        <f t="shared" si="755"/>
        <v>103720.19102827777</v>
      </c>
      <c r="BP66" s="24">
        <f t="shared" si="755"/>
        <v>0</v>
      </c>
      <c r="BQ66" s="24">
        <f t="shared" si="755"/>
        <v>0</v>
      </c>
      <c r="BR66" s="24">
        <f t="shared" si="755"/>
        <v>0</v>
      </c>
      <c r="BS66" s="24">
        <f t="shared" si="755"/>
        <v>0</v>
      </c>
      <c r="BT66" s="24">
        <f t="shared" si="755"/>
        <v>0</v>
      </c>
      <c r="BU66" s="24">
        <f t="shared" si="755"/>
        <v>0</v>
      </c>
      <c r="BV66" s="24">
        <f t="shared" si="755"/>
        <v>0</v>
      </c>
      <c r="BW66" s="24">
        <f t="shared" si="755"/>
        <v>0</v>
      </c>
      <c r="BX66" s="24">
        <f t="shared" si="755"/>
        <v>0</v>
      </c>
      <c r="BY66" s="24">
        <f t="shared" si="755"/>
        <v>0</v>
      </c>
      <c r="BZ66" s="24">
        <f t="shared" si="755"/>
        <v>0</v>
      </c>
      <c r="CA66" s="24">
        <f t="shared" si="755"/>
        <v>0</v>
      </c>
      <c r="CB66" s="24">
        <f t="shared" si="755"/>
        <v>0</v>
      </c>
      <c r="CC66" s="24">
        <f t="shared" si="755"/>
        <v>0</v>
      </c>
      <c r="CD66" s="24">
        <f t="shared" si="755"/>
        <v>0</v>
      </c>
      <c r="CE66" s="24">
        <f t="shared" si="755"/>
        <v>0</v>
      </c>
      <c r="CF66" s="24">
        <f t="shared" si="755"/>
        <v>0</v>
      </c>
      <c r="CG66" s="24">
        <f t="shared" ref="CG66:CV66" si="757">+CG84</f>
        <v>0</v>
      </c>
      <c r="CH66" s="24">
        <f t="shared" si="757"/>
        <v>0</v>
      </c>
      <c r="CI66" s="24">
        <f t="shared" si="757"/>
        <v>0</v>
      </c>
      <c r="CJ66" s="24">
        <f t="shared" si="757"/>
        <v>0</v>
      </c>
      <c r="CK66" s="24">
        <f t="shared" si="757"/>
        <v>0</v>
      </c>
      <c r="CL66" s="24">
        <f t="shared" si="757"/>
        <v>0</v>
      </c>
      <c r="CM66" s="24">
        <f t="shared" si="757"/>
        <v>0</v>
      </c>
      <c r="CN66" s="24">
        <f t="shared" si="757"/>
        <v>0</v>
      </c>
      <c r="CO66" s="24">
        <f t="shared" si="757"/>
        <v>0</v>
      </c>
      <c r="CP66" s="24">
        <f t="shared" si="757"/>
        <v>0</v>
      </c>
      <c r="CQ66" s="24">
        <f t="shared" si="757"/>
        <v>0</v>
      </c>
      <c r="CR66" s="24">
        <f t="shared" si="757"/>
        <v>0</v>
      </c>
      <c r="CS66" s="24">
        <f t="shared" si="757"/>
        <v>0</v>
      </c>
      <c r="CT66" s="24">
        <f t="shared" si="757"/>
        <v>0</v>
      </c>
      <c r="CU66" s="24">
        <f t="shared" si="757"/>
        <v>0</v>
      </c>
      <c r="CV66" s="24">
        <f t="shared" si="757"/>
        <v>0</v>
      </c>
      <c r="CW66" s="24">
        <f t="shared" ref="CW66:EI66" si="758">+CW84</f>
        <v>0</v>
      </c>
      <c r="CX66" s="24">
        <f t="shared" si="758"/>
        <v>0</v>
      </c>
      <c r="CY66" s="24">
        <f t="shared" si="758"/>
        <v>0</v>
      </c>
      <c r="CZ66" s="24">
        <f t="shared" si="758"/>
        <v>0</v>
      </c>
      <c r="DA66" s="24">
        <f t="shared" si="758"/>
        <v>0</v>
      </c>
      <c r="DB66" s="24">
        <f t="shared" si="758"/>
        <v>0</v>
      </c>
      <c r="DC66" s="24">
        <f t="shared" si="758"/>
        <v>0</v>
      </c>
      <c r="DD66" s="24">
        <f t="shared" si="758"/>
        <v>0</v>
      </c>
      <c r="DE66" s="24">
        <f t="shared" si="758"/>
        <v>0</v>
      </c>
      <c r="DF66" s="24">
        <f t="shared" si="758"/>
        <v>0</v>
      </c>
      <c r="DG66" s="24">
        <f t="shared" si="758"/>
        <v>0</v>
      </c>
      <c r="DH66" s="24">
        <f t="shared" si="758"/>
        <v>0</v>
      </c>
      <c r="DI66" s="24">
        <f t="shared" si="758"/>
        <v>0</v>
      </c>
      <c r="DJ66" s="24">
        <f t="shared" si="758"/>
        <v>0</v>
      </c>
      <c r="DK66" s="24">
        <f t="shared" si="758"/>
        <v>0</v>
      </c>
      <c r="DL66" s="24">
        <f t="shared" si="758"/>
        <v>0</v>
      </c>
      <c r="DM66" s="24">
        <f t="shared" si="758"/>
        <v>0</v>
      </c>
      <c r="DN66" s="24">
        <f t="shared" si="758"/>
        <v>0</v>
      </c>
      <c r="DO66" s="24">
        <f t="shared" si="758"/>
        <v>0</v>
      </c>
      <c r="DP66" s="24">
        <f t="shared" si="758"/>
        <v>0</v>
      </c>
      <c r="DQ66" s="24">
        <f t="shared" si="758"/>
        <v>0</v>
      </c>
      <c r="DR66" s="24">
        <f t="shared" si="758"/>
        <v>0</v>
      </c>
      <c r="DS66" s="24">
        <f t="shared" si="758"/>
        <v>0</v>
      </c>
      <c r="DT66" s="24">
        <f t="shared" si="758"/>
        <v>0</v>
      </c>
      <c r="DU66" s="24">
        <f t="shared" si="758"/>
        <v>0</v>
      </c>
      <c r="DV66" s="24">
        <f t="shared" si="758"/>
        <v>0</v>
      </c>
      <c r="DW66" s="24">
        <f t="shared" si="758"/>
        <v>0</v>
      </c>
      <c r="DX66" s="24">
        <f t="shared" si="758"/>
        <v>0</v>
      </c>
      <c r="DY66" s="24">
        <f t="shared" si="758"/>
        <v>0</v>
      </c>
      <c r="DZ66" s="24">
        <f t="shared" si="758"/>
        <v>0</v>
      </c>
      <c r="EA66" s="24">
        <f t="shared" si="758"/>
        <v>0</v>
      </c>
      <c r="EB66" s="24">
        <f t="shared" si="758"/>
        <v>0</v>
      </c>
      <c r="EC66" s="24">
        <f t="shared" si="758"/>
        <v>0</v>
      </c>
      <c r="ED66" s="24">
        <f t="shared" si="758"/>
        <v>0</v>
      </c>
      <c r="EE66" s="24">
        <f t="shared" si="758"/>
        <v>0</v>
      </c>
      <c r="EF66" s="24">
        <f t="shared" si="758"/>
        <v>0</v>
      </c>
      <c r="EG66" s="24">
        <f t="shared" si="758"/>
        <v>0</v>
      </c>
      <c r="EH66" s="24">
        <f t="shared" si="758"/>
        <v>0</v>
      </c>
      <c r="EI66" s="24">
        <f t="shared" si="758"/>
        <v>0</v>
      </c>
      <c r="EM66" s="1" t="s">
        <v>191</v>
      </c>
    </row>
    <row r="67" spans="2:143" s="8" customFormat="1" x14ac:dyDescent="0.45">
      <c r="D67" s="4" t="s">
        <v>39</v>
      </c>
      <c r="E67" s="4"/>
      <c r="F67" s="4"/>
      <c r="G67" s="26">
        <f t="shared" ref="G67:S67" si="759">SUM(G62:G65)</f>
        <v>0</v>
      </c>
      <c r="H67" s="26">
        <f t="shared" si="759"/>
        <v>0</v>
      </c>
      <c r="I67" s="26">
        <f t="shared" si="759"/>
        <v>0</v>
      </c>
      <c r="J67" s="26">
        <f t="shared" si="759"/>
        <v>0</v>
      </c>
      <c r="K67" s="26">
        <f t="shared" si="759"/>
        <v>0</v>
      </c>
      <c r="L67" s="26">
        <f t="shared" si="759"/>
        <v>0</v>
      </c>
      <c r="M67" s="26">
        <f t="shared" si="759"/>
        <v>0</v>
      </c>
      <c r="N67" s="26">
        <f t="shared" si="759"/>
        <v>0</v>
      </c>
      <c r="O67" s="26">
        <f t="shared" si="759"/>
        <v>0</v>
      </c>
      <c r="P67" s="26">
        <f t="shared" si="759"/>
        <v>0</v>
      </c>
      <c r="Q67" s="26">
        <f t="shared" si="759"/>
        <v>0</v>
      </c>
      <c r="R67" s="26">
        <f t="shared" si="759"/>
        <v>0</v>
      </c>
      <c r="S67" s="26">
        <f t="shared" si="759"/>
        <v>0</v>
      </c>
      <c r="T67" s="26">
        <f t="shared" ref="T67" si="760">SUM(T62:T65)</f>
        <v>0</v>
      </c>
      <c r="U67" s="26">
        <f t="shared" ref="U67:CF67" si="761">SUM(U62:U65)</f>
        <v>0</v>
      </c>
      <c r="V67" s="26">
        <f t="shared" si="761"/>
        <v>0</v>
      </c>
      <c r="W67" s="26">
        <f t="shared" si="761"/>
        <v>0</v>
      </c>
      <c r="X67" s="26">
        <f t="shared" ref="X67:BM67" si="762">SUM(X62:X65)</f>
        <v>0</v>
      </c>
      <c r="Y67" s="26">
        <f t="shared" si="762"/>
        <v>0</v>
      </c>
      <c r="Z67" s="26">
        <f t="shared" si="762"/>
        <v>0</v>
      </c>
      <c r="AA67" s="26">
        <f t="shared" si="762"/>
        <v>0</v>
      </c>
      <c r="AB67" s="26">
        <f t="shared" si="762"/>
        <v>0</v>
      </c>
      <c r="AC67" s="26">
        <f t="shared" si="762"/>
        <v>0</v>
      </c>
      <c r="AD67" s="26">
        <f t="shared" si="762"/>
        <v>0</v>
      </c>
      <c r="AE67" s="26">
        <f t="shared" si="762"/>
        <v>0</v>
      </c>
      <c r="AF67" s="26">
        <f t="shared" si="762"/>
        <v>0</v>
      </c>
      <c r="AG67" s="26">
        <f t="shared" si="762"/>
        <v>0</v>
      </c>
      <c r="AH67" s="26">
        <f t="shared" si="762"/>
        <v>0</v>
      </c>
      <c r="AI67" s="26">
        <f t="shared" si="762"/>
        <v>0</v>
      </c>
      <c r="AJ67" s="26">
        <f t="shared" si="762"/>
        <v>0</v>
      </c>
      <c r="AK67" s="26">
        <f t="shared" si="762"/>
        <v>0</v>
      </c>
      <c r="AL67" s="26">
        <f t="shared" si="762"/>
        <v>0</v>
      </c>
      <c r="AM67" s="26">
        <f t="shared" si="762"/>
        <v>0</v>
      </c>
      <c r="AN67" s="26">
        <f t="shared" si="762"/>
        <v>20678404.454956274</v>
      </c>
      <c r="AO67" s="26">
        <f t="shared" si="762"/>
        <v>20658532.700762544</v>
      </c>
      <c r="AP67" s="26">
        <f t="shared" si="762"/>
        <v>20638558.541954719</v>
      </c>
      <c r="AQ67" s="26">
        <f t="shared" si="762"/>
        <v>20618481.450813666</v>
      </c>
      <c r="AR67" s="26">
        <f t="shared" si="762"/>
        <v>20598300.896900762</v>
      </c>
      <c r="AS67" s="26">
        <f t="shared" si="762"/>
        <v>20578016.347043891</v>
      </c>
      <c r="AT67" s="26">
        <f t="shared" si="762"/>
        <v>20557627.265323356</v>
      </c>
      <c r="AU67" s="26">
        <f t="shared" si="762"/>
        <v>20537133.113057718</v>
      </c>
      <c r="AV67" s="26">
        <f t="shared" si="762"/>
        <v>20516533.348789565</v>
      </c>
      <c r="AW67" s="26">
        <f t="shared" si="762"/>
        <v>20495827.428271204</v>
      </c>
      <c r="AX67" s="26">
        <f t="shared" si="762"/>
        <v>20475014.804450281</v>
      </c>
      <c r="AY67" s="26">
        <f t="shared" si="762"/>
        <v>20454094.92745534</v>
      </c>
      <c r="AZ67" s="26">
        <f t="shared" si="762"/>
        <v>20433067.244581275</v>
      </c>
      <c r="BA67" s="26">
        <f t="shared" si="762"/>
        <v>20411931.200274747</v>
      </c>
      <c r="BB67" s="26">
        <f t="shared" si="762"/>
        <v>20390686.236119498</v>
      </c>
      <c r="BC67" s="26">
        <f t="shared" si="762"/>
        <v>20369331.79082159</v>
      </c>
      <c r="BD67" s="26">
        <f t="shared" si="762"/>
        <v>20347867.300194591</v>
      </c>
      <c r="BE67" s="26">
        <f t="shared" si="762"/>
        <v>20326292.197144657</v>
      </c>
      <c r="BF67" s="26">
        <f t="shared" si="762"/>
        <v>20304605.911655553</v>
      </c>
      <c r="BG67" s="26">
        <f t="shared" si="762"/>
        <v>20282807.870773595</v>
      </c>
      <c r="BH67" s="26">
        <f t="shared" si="762"/>
        <v>20260897.498592511</v>
      </c>
      <c r="BI67" s="26">
        <f t="shared" si="762"/>
        <v>20238874.216238223</v>
      </c>
      <c r="BJ67" s="26">
        <f t="shared" si="762"/>
        <v>20216737.441853561</v>
      </c>
      <c r="BK67" s="26">
        <f t="shared" si="762"/>
        <v>20194486.590582881</v>
      </c>
      <c r="BL67" s="26">
        <f t="shared" si="762"/>
        <v>20172121.074556623</v>
      </c>
      <c r="BM67" s="26">
        <f t="shared" si="762"/>
        <v>20149640.302875761</v>
      </c>
      <c r="BN67" s="26">
        <f t="shared" si="761"/>
        <v>20127043.681596216</v>
      </c>
      <c r="BO67" s="26">
        <f t="shared" si="761"/>
        <v>0</v>
      </c>
      <c r="BP67" s="26">
        <f t="shared" si="761"/>
        <v>0</v>
      </c>
      <c r="BQ67" s="26">
        <f t="shared" si="761"/>
        <v>0</v>
      </c>
      <c r="BR67" s="26">
        <f t="shared" si="761"/>
        <v>0</v>
      </c>
      <c r="BS67" s="26">
        <f t="shared" si="761"/>
        <v>0</v>
      </c>
      <c r="BT67" s="26">
        <f t="shared" si="761"/>
        <v>0</v>
      </c>
      <c r="BU67" s="26">
        <f t="shared" si="761"/>
        <v>0</v>
      </c>
      <c r="BV67" s="26">
        <f t="shared" si="761"/>
        <v>0</v>
      </c>
      <c r="BW67" s="26">
        <f t="shared" si="761"/>
        <v>0</v>
      </c>
      <c r="BX67" s="26">
        <f t="shared" si="761"/>
        <v>0</v>
      </c>
      <c r="BY67" s="26">
        <f t="shared" si="761"/>
        <v>0</v>
      </c>
      <c r="BZ67" s="26">
        <f t="shared" si="761"/>
        <v>0</v>
      </c>
      <c r="CA67" s="26">
        <f t="shared" si="761"/>
        <v>0</v>
      </c>
      <c r="CB67" s="26">
        <f t="shared" si="761"/>
        <v>0</v>
      </c>
      <c r="CC67" s="26">
        <f t="shared" si="761"/>
        <v>0</v>
      </c>
      <c r="CD67" s="26">
        <f t="shared" si="761"/>
        <v>0</v>
      </c>
      <c r="CE67" s="26">
        <f t="shared" si="761"/>
        <v>0</v>
      </c>
      <c r="CF67" s="26">
        <f t="shared" si="761"/>
        <v>0</v>
      </c>
      <c r="CG67" s="26">
        <f t="shared" ref="CG67:CV67" si="763">SUM(CG62:CG65)</f>
        <v>0</v>
      </c>
      <c r="CH67" s="26">
        <f t="shared" si="763"/>
        <v>0</v>
      </c>
      <c r="CI67" s="26">
        <f t="shared" si="763"/>
        <v>0</v>
      </c>
      <c r="CJ67" s="26">
        <f t="shared" si="763"/>
        <v>0</v>
      </c>
      <c r="CK67" s="26">
        <f t="shared" si="763"/>
        <v>0</v>
      </c>
      <c r="CL67" s="26">
        <f t="shared" si="763"/>
        <v>0</v>
      </c>
      <c r="CM67" s="26">
        <f t="shared" si="763"/>
        <v>0</v>
      </c>
      <c r="CN67" s="26">
        <f t="shared" si="763"/>
        <v>0</v>
      </c>
      <c r="CO67" s="26">
        <f t="shared" si="763"/>
        <v>0</v>
      </c>
      <c r="CP67" s="26">
        <f t="shared" si="763"/>
        <v>0</v>
      </c>
      <c r="CQ67" s="26">
        <f t="shared" si="763"/>
        <v>0</v>
      </c>
      <c r="CR67" s="26">
        <f t="shared" si="763"/>
        <v>0</v>
      </c>
      <c r="CS67" s="26">
        <f t="shared" si="763"/>
        <v>0</v>
      </c>
      <c r="CT67" s="26">
        <f t="shared" si="763"/>
        <v>0</v>
      </c>
      <c r="CU67" s="26">
        <f t="shared" si="763"/>
        <v>0</v>
      </c>
      <c r="CV67" s="26">
        <f t="shared" si="763"/>
        <v>0</v>
      </c>
      <c r="CW67" s="26">
        <f t="shared" ref="CW67:EI67" si="764">SUM(CW62:CW65)</f>
        <v>0</v>
      </c>
      <c r="CX67" s="26">
        <f t="shared" si="764"/>
        <v>0</v>
      </c>
      <c r="CY67" s="26">
        <f t="shared" si="764"/>
        <v>0</v>
      </c>
      <c r="CZ67" s="26">
        <f t="shared" si="764"/>
        <v>0</v>
      </c>
      <c r="DA67" s="26">
        <f t="shared" si="764"/>
        <v>0</v>
      </c>
      <c r="DB67" s="26">
        <f t="shared" si="764"/>
        <v>0</v>
      </c>
      <c r="DC67" s="26">
        <f t="shared" si="764"/>
        <v>0</v>
      </c>
      <c r="DD67" s="26">
        <f t="shared" si="764"/>
        <v>0</v>
      </c>
      <c r="DE67" s="26">
        <f t="shared" si="764"/>
        <v>0</v>
      </c>
      <c r="DF67" s="26">
        <f t="shared" si="764"/>
        <v>0</v>
      </c>
      <c r="DG67" s="26">
        <f t="shared" si="764"/>
        <v>0</v>
      </c>
      <c r="DH67" s="26">
        <f t="shared" si="764"/>
        <v>0</v>
      </c>
      <c r="DI67" s="26">
        <f t="shared" si="764"/>
        <v>0</v>
      </c>
      <c r="DJ67" s="26">
        <f t="shared" si="764"/>
        <v>0</v>
      </c>
      <c r="DK67" s="26">
        <f t="shared" si="764"/>
        <v>0</v>
      </c>
      <c r="DL67" s="26">
        <f t="shared" si="764"/>
        <v>0</v>
      </c>
      <c r="DM67" s="26">
        <f t="shared" si="764"/>
        <v>0</v>
      </c>
      <c r="DN67" s="26">
        <f t="shared" si="764"/>
        <v>0</v>
      </c>
      <c r="DO67" s="26">
        <f t="shared" si="764"/>
        <v>0</v>
      </c>
      <c r="DP67" s="26">
        <f t="shared" si="764"/>
        <v>0</v>
      </c>
      <c r="DQ67" s="26">
        <f t="shared" si="764"/>
        <v>0</v>
      </c>
      <c r="DR67" s="26">
        <f t="shared" si="764"/>
        <v>0</v>
      </c>
      <c r="DS67" s="26">
        <f t="shared" si="764"/>
        <v>0</v>
      </c>
      <c r="DT67" s="26">
        <f t="shared" si="764"/>
        <v>0</v>
      </c>
      <c r="DU67" s="26">
        <f t="shared" si="764"/>
        <v>0</v>
      </c>
      <c r="DV67" s="26">
        <f t="shared" si="764"/>
        <v>0</v>
      </c>
      <c r="DW67" s="26">
        <f t="shared" si="764"/>
        <v>0</v>
      </c>
      <c r="DX67" s="26">
        <f t="shared" si="764"/>
        <v>0</v>
      </c>
      <c r="DY67" s="26">
        <f t="shared" si="764"/>
        <v>0</v>
      </c>
      <c r="DZ67" s="26">
        <f t="shared" si="764"/>
        <v>0</v>
      </c>
      <c r="EA67" s="26">
        <f t="shared" si="764"/>
        <v>0</v>
      </c>
      <c r="EB67" s="26">
        <f t="shared" si="764"/>
        <v>0</v>
      </c>
      <c r="EC67" s="26">
        <f t="shared" si="764"/>
        <v>0</v>
      </c>
      <c r="ED67" s="26">
        <f t="shared" si="764"/>
        <v>0</v>
      </c>
      <c r="EE67" s="26">
        <f t="shared" si="764"/>
        <v>0</v>
      </c>
      <c r="EF67" s="26">
        <f t="shared" si="764"/>
        <v>0</v>
      </c>
      <c r="EG67" s="26">
        <f t="shared" si="764"/>
        <v>0</v>
      </c>
      <c r="EH67" s="26">
        <f t="shared" si="764"/>
        <v>0</v>
      </c>
      <c r="EI67" s="26">
        <f t="shared" si="764"/>
        <v>0</v>
      </c>
      <c r="EM67" s="1" t="s">
        <v>191</v>
      </c>
    </row>
    <row r="68" spans="2:143" s="8" customFormat="1" x14ac:dyDescent="0.45"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  <c r="CF68" s="41"/>
      <c r="CG68" s="41"/>
      <c r="CH68" s="41"/>
      <c r="CI68" s="41"/>
      <c r="CJ68" s="41"/>
      <c r="CK68" s="41"/>
      <c r="CL68" s="41"/>
      <c r="CM68" s="41"/>
      <c r="CN68" s="41"/>
      <c r="CO68" s="41"/>
      <c r="CP68" s="41"/>
      <c r="CQ68" s="41"/>
      <c r="CR68" s="41"/>
      <c r="CS68" s="41"/>
      <c r="CT68" s="41"/>
      <c r="CU68" s="41"/>
      <c r="CV68" s="41"/>
      <c r="CW68" s="41"/>
      <c r="CX68" s="41"/>
      <c r="CY68" s="41"/>
      <c r="CZ68" s="41"/>
      <c r="DA68" s="41"/>
      <c r="DB68" s="41"/>
      <c r="DC68" s="41"/>
      <c r="DD68" s="41"/>
      <c r="DE68" s="41"/>
      <c r="DF68" s="41"/>
      <c r="DG68" s="41"/>
      <c r="DH68" s="41"/>
      <c r="DI68" s="41"/>
      <c r="DJ68" s="41"/>
      <c r="DK68" s="41"/>
      <c r="DL68" s="41"/>
      <c r="DM68" s="41"/>
      <c r="DN68" s="41"/>
      <c r="DO68" s="41"/>
      <c r="DP68" s="41"/>
      <c r="DQ68" s="41"/>
      <c r="DR68" s="41"/>
      <c r="DS68" s="41"/>
      <c r="DT68" s="41"/>
      <c r="DU68" s="41"/>
      <c r="DV68" s="41"/>
      <c r="DW68" s="41"/>
      <c r="DX68" s="41"/>
      <c r="DY68" s="41"/>
      <c r="DZ68" s="41"/>
      <c r="EA68" s="41"/>
      <c r="EB68" s="41"/>
      <c r="EC68" s="41"/>
      <c r="ED68" s="41"/>
      <c r="EE68" s="41"/>
      <c r="EF68" s="41"/>
      <c r="EG68" s="41"/>
      <c r="EH68" s="41"/>
      <c r="EI68" s="41"/>
      <c r="EM68" s="1"/>
    </row>
    <row r="69" spans="2:143" s="8" customFormat="1" x14ac:dyDescent="0.45">
      <c r="B69" s="41">
        <f>-SUM(G69:S69)</f>
        <v>7080700.0806738334</v>
      </c>
      <c r="D69" s="140" t="s">
        <v>176</v>
      </c>
      <c r="E69" s="141"/>
      <c r="F69" s="141"/>
      <c r="G69" s="142">
        <f t="shared" ref="G69:AL69" si="765">SUM(-G55,G58:G59,-G66,G64:G65)</f>
        <v>-5651390.8349986859</v>
      </c>
      <c r="H69" s="142">
        <f t="shared" si="765"/>
        <v>-19626.674599434264</v>
      </c>
      <c r="I69" s="142">
        <f t="shared" si="765"/>
        <v>-121851.22229520208</v>
      </c>
      <c r="J69" s="142">
        <f t="shared" si="765"/>
        <v>-126442.82205085598</v>
      </c>
      <c r="K69" s="142">
        <f t="shared" si="765"/>
        <v>-131053.70779737552</v>
      </c>
      <c r="L69" s="142">
        <f>SUM(-L55,L58:L59,-L66,L64:L65)</f>
        <v>-175898.28482830088</v>
      </c>
      <c r="M69" s="142">
        <f t="shared" si="765"/>
        <v>-161726.7217616479</v>
      </c>
      <c r="N69" s="142">
        <f t="shared" si="765"/>
        <v>-121547.20877567919</v>
      </c>
      <c r="O69" s="142">
        <f t="shared" si="765"/>
        <v>-118856.85094783136</v>
      </c>
      <c r="P69" s="142">
        <f t="shared" si="765"/>
        <v>-116155.61473215195</v>
      </c>
      <c r="Q69" s="142">
        <f t="shared" si="765"/>
        <v>-118443.46649000145</v>
      </c>
      <c r="R69" s="142">
        <f t="shared" si="765"/>
        <v>-110720.37248981325</v>
      </c>
      <c r="S69" s="142">
        <f t="shared" si="765"/>
        <v>-106986.29890685235</v>
      </c>
      <c r="T69" s="142">
        <f t="shared" si="765"/>
        <v>-104241.21182297324</v>
      </c>
      <c r="U69" s="142">
        <f t="shared" si="765"/>
        <v>-101485.07722637792</v>
      </c>
      <c r="V69" s="142">
        <f t="shared" si="765"/>
        <v>-98717.861011372937</v>
      </c>
      <c r="W69" s="142">
        <f t="shared" si="765"/>
        <v>-95939.52897812544</v>
      </c>
      <c r="X69" s="142">
        <f t="shared" si="765"/>
        <v>-93150.046832419292</v>
      </c>
      <c r="Y69" s="142">
        <f t="shared" si="765"/>
        <v>-90349.38018541038</v>
      </c>
      <c r="Z69" s="142">
        <f t="shared" si="765"/>
        <v>-87537.494553380835</v>
      </c>
      <c r="AA69" s="142">
        <f t="shared" si="765"/>
        <v>-84714.355357493201</v>
      </c>
      <c r="AB69" s="142">
        <f t="shared" si="765"/>
        <v>-81879.927923543961</v>
      </c>
      <c r="AC69" s="142">
        <f t="shared" si="765"/>
        <v>-79034.177481716077</v>
      </c>
      <c r="AD69" s="142">
        <f t="shared" si="765"/>
        <v>-76177.069166331188</v>
      </c>
      <c r="AE69" s="142">
        <f t="shared" si="765"/>
        <v>-307608.56801560114</v>
      </c>
      <c r="AF69" s="142">
        <f t="shared" si="765"/>
        <v>26223.534941664722</v>
      </c>
      <c r="AG69" s="142">
        <f t="shared" si="765"/>
        <v>29114.927034134969</v>
      </c>
      <c r="AH69" s="142">
        <f t="shared" si="765"/>
        <v>32017.817426467787</v>
      </c>
      <c r="AI69" s="142">
        <f t="shared" si="765"/>
        <v>40015.347278823101</v>
      </c>
      <c r="AJ69" s="142">
        <f t="shared" si="765"/>
        <v>48045.385854192238</v>
      </c>
      <c r="AK69" s="142">
        <f t="shared" si="765"/>
        <v>56108.033532665388</v>
      </c>
      <c r="AL69" s="142">
        <f t="shared" si="765"/>
        <v>56446.817602560273</v>
      </c>
      <c r="AM69" s="142">
        <f t="shared" ref="AM69:BR69" si="766">SUM(-AM55,AM58:AM59,-AM66,AM64:AM65)</f>
        <v>56786.334491761838</v>
      </c>
      <c r="AN69" s="142">
        <f t="shared" si="766"/>
        <v>9466888.8106841538</v>
      </c>
      <c r="AO69" s="142">
        <f t="shared" si="766"/>
        <v>29761.115742033497</v>
      </c>
      <c r="AP69" s="142">
        <f t="shared" si="766"/>
        <v>30102.840532993025</v>
      </c>
      <c r="AQ69" s="142">
        <f t="shared" si="766"/>
        <v>30445.304450340122</v>
      </c>
      <c r="AR69" s="142">
        <f t="shared" si="766"/>
        <v>30788.509079254185</v>
      </c>
      <c r="AS69" s="142">
        <f t="shared" si="766"/>
        <v>31132.456008292771</v>
      </c>
      <c r="AT69" s="142">
        <f t="shared" si="766"/>
        <v>31477.146829398574</v>
      </c>
      <c r="AU69" s="142">
        <f t="shared" si="766"/>
        <v>31822.583137906691</v>
      </c>
      <c r="AV69" s="142">
        <f t="shared" si="766"/>
        <v>32168.766532551832</v>
      </c>
      <c r="AW69" s="142">
        <f t="shared" si="766"/>
        <v>32515.69861547531</v>
      </c>
      <c r="AX69" s="142">
        <f t="shared" si="766"/>
        <v>32863.380992232502</v>
      </c>
      <c r="AY69" s="142">
        <f t="shared" si="766"/>
        <v>33211.815271800035</v>
      </c>
      <c r="AZ69" s="142">
        <f t="shared" si="766"/>
        <v>33561.003066583013</v>
      </c>
      <c r="BA69" s="142">
        <f t="shared" si="766"/>
        <v>33910.945992422014</v>
      </c>
      <c r="BB69" s="142">
        <f t="shared" si="766"/>
        <v>34261.645668601166</v>
      </c>
      <c r="BC69" s="142">
        <f t="shared" si="766"/>
        <v>34613.103717854508</v>
      </c>
      <c r="BD69" s="142">
        <f t="shared" si="766"/>
        <v>34965.32176637392</v>
      </c>
      <c r="BE69" s="142">
        <f t="shared" si="766"/>
        <v>35318.301443816075</v>
      </c>
      <c r="BF69" s="142">
        <f t="shared" si="766"/>
        <v>35672.044383310131</v>
      </c>
      <c r="BG69" s="142">
        <f t="shared" si="766"/>
        <v>36026.552221464997</v>
      </c>
      <c r="BH69" s="142">
        <f t="shared" si="766"/>
        <v>36381.826598376501</v>
      </c>
      <c r="BI69" s="142">
        <f t="shared" si="766"/>
        <v>36737.869157635025</v>
      </c>
      <c r="BJ69" s="142">
        <f t="shared" si="766"/>
        <v>37094.6815463327</v>
      </c>
      <c r="BK69" s="142">
        <f t="shared" si="766"/>
        <v>37452.265415071117</v>
      </c>
      <c r="BL69" s="142">
        <f t="shared" si="766"/>
        <v>37810.622417968458</v>
      </c>
      <c r="BM69" s="142">
        <f t="shared" si="766"/>
        <v>38169.754212667249</v>
      </c>
      <c r="BN69" s="142">
        <f t="shared" si="766"/>
        <v>38529.662460341548</v>
      </c>
      <c r="BO69" s="142">
        <f t="shared" si="766"/>
        <v>12932596.838961352</v>
      </c>
      <c r="BP69" s="142">
        <f t="shared" si="766"/>
        <v>0</v>
      </c>
      <c r="BQ69" s="142">
        <f t="shared" si="766"/>
        <v>0</v>
      </c>
      <c r="BR69" s="142">
        <f t="shared" si="766"/>
        <v>0</v>
      </c>
      <c r="BS69" s="142">
        <f t="shared" ref="BS69:CV69" si="767">SUM(-BS55,BS58:BS59,-BS66,BS64:BS65)</f>
        <v>0</v>
      </c>
      <c r="BT69" s="142">
        <f t="shared" si="767"/>
        <v>0</v>
      </c>
      <c r="BU69" s="142">
        <f t="shared" si="767"/>
        <v>0</v>
      </c>
      <c r="BV69" s="142">
        <f t="shared" si="767"/>
        <v>0</v>
      </c>
      <c r="BW69" s="142">
        <f t="shared" si="767"/>
        <v>0</v>
      </c>
      <c r="BX69" s="142">
        <f t="shared" si="767"/>
        <v>0</v>
      </c>
      <c r="BY69" s="142">
        <f t="shared" si="767"/>
        <v>0</v>
      </c>
      <c r="BZ69" s="142">
        <f t="shared" si="767"/>
        <v>0</v>
      </c>
      <c r="CA69" s="142">
        <f t="shared" si="767"/>
        <v>0</v>
      </c>
      <c r="CB69" s="142">
        <f t="shared" si="767"/>
        <v>0</v>
      </c>
      <c r="CC69" s="142">
        <f t="shared" si="767"/>
        <v>0</v>
      </c>
      <c r="CD69" s="142">
        <f t="shared" si="767"/>
        <v>0</v>
      </c>
      <c r="CE69" s="142">
        <f t="shared" si="767"/>
        <v>0</v>
      </c>
      <c r="CF69" s="142">
        <f t="shared" si="767"/>
        <v>0</v>
      </c>
      <c r="CG69" s="142">
        <f t="shared" si="767"/>
        <v>0</v>
      </c>
      <c r="CH69" s="142">
        <f t="shared" si="767"/>
        <v>0</v>
      </c>
      <c r="CI69" s="142">
        <f t="shared" si="767"/>
        <v>0</v>
      </c>
      <c r="CJ69" s="142">
        <f t="shared" si="767"/>
        <v>0</v>
      </c>
      <c r="CK69" s="142">
        <f t="shared" si="767"/>
        <v>0</v>
      </c>
      <c r="CL69" s="142">
        <f t="shared" si="767"/>
        <v>0</v>
      </c>
      <c r="CM69" s="142">
        <f t="shared" si="767"/>
        <v>0</v>
      </c>
      <c r="CN69" s="142">
        <f t="shared" si="767"/>
        <v>0</v>
      </c>
      <c r="CO69" s="142">
        <f t="shared" si="767"/>
        <v>0</v>
      </c>
      <c r="CP69" s="142">
        <f t="shared" si="767"/>
        <v>0</v>
      </c>
      <c r="CQ69" s="142">
        <f t="shared" si="767"/>
        <v>0</v>
      </c>
      <c r="CR69" s="142">
        <f t="shared" si="767"/>
        <v>0</v>
      </c>
      <c r="CS69" s="142">
        <f t="shared" si="767"/>
        <v>0</v>
      </c>
      <c r="CT69" s="142">
        <f t="shared" si="767"/>
        <v>0</v>
      </c>
      <c r="CU69" s="142">
        <f t="shared" si="767"/>
        <v>0</v>
      </c>
      <c r="CV69" s="142">
        <f t="shared" si="767"/>
        <v>0</v>
      </c>
      <c r="CW69" s="142">
        <f t="shared" ref="CW69:EI69" si="768">SUM(-CW55,CW58:CW59,-CW66,CW64:CW65)</f>
        <v>0</v>
      </c>
      <c r="CX69" s="142">
        <f t="shared" si="768"/>
        <v>0</v>
      </c>
      <c r="CY69" s="142">
        <f t="shared" si="768"/>
        <v>0</v>
      </c>
      <c r="CZ69" s="142">
        <f t="shared" si="768"/>
        <v>0</v>
      </c>
      <c r="DA69" s="142">
        <f t="shared" si="768"/>
        <v>0</v>
      </c>
      <c r="DB69" s="142">
        <f t="shared" si="768"/>
        <v>0</v>
      </c>
      <c r="DC69" s="142">
        <f t="shared" si="768"/>
        <v>0</v>
      </c>
      <c r="DD69" s="142">
        <f t="shared" si="768"/>
        <v>0</v>
      </c>
      <c r="DE69" s="142">
        <f t="shared" si="768"/>
        <v>0</v>
      </c>
      <c r="DF69" s="142">
        <f t="shared" si="768"/>
        <v>0</v>
      </c>
      <c r="DG69" s="142">
        <f t="shared" si="768"/>
        <v>0</v>
      </c>
      <c r="DH69" s="142">
        <f t="shared" si="768"/>
        <v>0</v>
      </c>
      <c r="DI69" s="142">
        <f t="shared" si="768"/>
        <v>0</v>
      </c>
      <c r="DJ69" s="142">
        <f t="shared" si="768"/>
        <v>0</v>
      </c>
      <c r="DK69" s="142">
        <f t="shared" si="768"/>
        <v>0</v>
      </c>
      <c r="DL69" s="142">
        <f t="shared" si="768"/>
        <v>0</v>
      </c>
      <c r="DM69" s="142">
        <f t="shared" si="768"/>
        <v>0</v>
      </c>
      <c r="DN69" s="142">
        <f t="shared" si="768"/>
        <v>0</v>
      </c>
      <c r="DO69" s="142">
        <f t="shared" si="768"/>
        <v>0</v>
      </c>
      <c r="DP69" s="142">
        <f t="shared" si="768"/>
        <v>0</v>
      </c>
      <c r="DQ69" s="142">
        <f t="shared" si="768"/>
        <v>0</v>
      </c>
      <c r="DR69" s="142">
        <f t="shared" si="768"/>
        <v>0</v>
      </c>
      <c r="DS69" s="142">
        <f t="shared" si="768"/>
        <v>0</v>
      </c>
      <c r="DT69" s="142">
        <f t="shared" si="768"/>
        <v>0</v>
      </c>
      <c r="DU69" s="142">
        <f t="shared" si="768"/>
        <v>0</v>
      </c>
      <c r="DV69" s="142">
        <f t="shared" si="768"/>
        <v>0</v>
      </c>
      <c r="DW69" s="142">
        <f t="shared" si="768"/>
        <v>0</v>
      </c>
      <c r="DX69" s="142">
        <f t="shared" si="768"/>
        <v>0</v>
      </c>
      <c r="DY69" s="142">
        <f t="shared" si="768"/>
        <v>0</v>
      </c>
      <c r="DZ69" s="142">
        <f t="shared" si="768"/>
        <v>0</v>
      </c>
      <c r="EA69" s="142">
        <f t="shared" si="768"/>
        <v>0</v>
      </c>
      <c r="EB69" s="142">
        <f t="shared" si="768"/>
        <v>0</v>
      </c>
      <c r="EC69" s="142">
        <f t="shared" si="768"/>
        <v>0</v>
      </c>
      <c r="ED69" s="142">
        <f t="shared" si="768"/>
        <v>0</v>
      </c>
      <c r="EE69" s="142">
        <f t="shared" si="768"/>
        <v>0</v>
      </c>
      <c r="EF69" s="142">
        <f t="shared" si="768"/>
        <v>0</v>
      </c>
      <c r="EG69" s="142">
        <f t="shared" si="768"/>
        <v>0</v>
      </c>
      <c r="EH69" s="142">
        <f t="shared" si="768"/>
        <v>0</v>
      </c>
      <c r="EI69" s="142">
        <f t="shared" si="768"/>
        <v>0</v>
      </c>
      <c r="EM69" s="1" t="s">
        <v>191</v>
      </c>
    </row>
    <row r="70" spans="2:143" x14ac:dyDescent="0.45">
      <c r="D70" s="137" t="s">
        <v>153</v>
      </c>
      <c r="G70" s="138">
        <f>SUM(B55:B55)</f>
        <v>-8489313.7959519476</v>
      </c>
      <c r="H70" s="239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36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  <c r="DU70" s="24"/>
      <c r="DV70" s="24"/>
      <c r="DW70" s="24"/>
      <c r="DX70" s="24"/>
      <c r="DY70" s="24"/>
      <c r="DZ70" s="24"/>
      <c r="EA70" s="24"/>
      <c r="EB70" s="24"/>
      <c r="EC70" s="24"/>
      <c r="ED70" s="24"/>
      <c r="EE70" s="24"/>
      <c r="EF70" s="24"/>
      <c r="EG70" s="24"/>
      <c r="EH70" s="24"/>
      <c r="EI70" s="24"/>
      <c r="EM70" s="1" t="s">
        <v>191</v>
      </c>
    </row>
    <row r="71" spans="2:143" x14ac:dyDescent="0.45">
      <c r="D71" s="137" t="s">
        <v>154</v>
      </c>
      <c r="G71" s="138">
        <f>SUMIF(G69:EI69,"&gt;0",G69:EI69)+G70</f>
        <v>15141725.269116923</v>
      </c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4"/>
      <c r="DR71" s="24"/>
      <c r="DS71" s="24"/>
      <c r="DT71" s="24"/>
      <c r="DU71" s="24"/>
      <c r="DV71" s="24"/>
      <c r="DW71" s="24"/>
      <c r="DX71" s="24"/>
      <c r="DY71" s="24"/>
      <c r="DZ71" s="24"/>
      <c r="EA71" s="24"/>
      <c r="EB71" s="24"/>
      <c r="EC71" s="24"/>
      <c r="ED71" s="24"/>
      <c r="EE71" s="24"/>
      <c r="EF71" s="24"/>
      <c r="EG71" s="24"/>
      <c r="EH71" s="24"/>
      <c r="EI71" s="24"/>
      <c r="EM71" s="1" t="s">
        <v>191</v>
      </c>
    </row>
    <row r="72" spans="2:143" x14ac:dyDescent="0.45">
      <c r="D72" s="137" t="s">
        <v>177</v>
      </c>
      <c r="G72" s="165">
        <f>XIRR(G69:EI69,$G$2:$EI$2)</f>
        <v>0.33942088484764099</v>
      </c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36"/>
      <c r="AS72" s="24"/>
      <c r="AT72" s="24"/>
      <c r="AU72" s="24"/>
      <c r="AV72" s="24"/>
      <c r="AW72" s="24"/>
      <c r="AX72" s="24"/>
      <c r="AY72" s="194"/>
      <c r="AZ72" s="194"/>
      <c r="BA72" s="194"/>
      <c r="BB72" s="194"/>
      <c r="BC72" s="194"/>
      <c r="BD72" s="194"/>
      <c r="BE72" s="194"/>
      <c r="BF72" s="194"/>
      <c r="BG72" s="194"/>
      <c r="BH72" s="194"/>
      <c r="BI72" s="194"/>
      <c r="BJ72" s="194"/>
      <c r="BK72" s="194"/>
      <c r="BL72" s="194"/>
      <c r="BM72" s="194"/>
      <c r="BN72" s="194"/>
      <c r="BO72" s="194"/>
      <c r="BP72" s="194"/>
      <c r="BQ72" s="194"/>
      <c r="BR72" s="194"/>
      <c r="BS72" s="194"/>
      <c r="BT72" s="194"/>
      <c r="BU72" s="194"/>
      <c r="BV72" s="194"/>
      <c r="BW72" s="194"/>
      <c r="BX72" s="194"/>
      <c r="BY72" s="194"/>
      <c r="BZ72" s="194"/>
      <c r="CA72" s="194"/>
      <c r="CB72" s="194"/>
      <c r="CC72" s="194"/>
      <c r="CD72" s="194"/>
      <c r="CE72" s="194"/>
      <c r="CF72" s="19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/>
      <c r="DU72" s="24"/>
      <c r="DV72" s="24"/>
      <c r="DW72" s="24"/>
      <c r="DX72" s="24"/>
      <c r="DY72" s="24"/>
      <c r="DZ72" s="24"/>
      <c r="EA72" s="24"/>
      <c r="EB72" s="24"/>
      <c r="EC72" s="24"/>
      <c r="ED72" s="24"/>
      <c r="EE72" s="24"/>
      <c r="EF72" s="24"/>
      <c r="EG72" s="24"/>
      <c r="EH72" s="24"/>
      <c r="EI72" s="24"/>
      <c r="EM72" s="1" t="s">
        <v>191</v>
      </c>
    </row>
    <row r="73" spans="2:143" x14ac:dyDescent="0.45">
      <c r="D73" s="139" t="s">
        <v>178</v>
      </c>
      <c r="E73" s="2"/>
      <c r="F73" s="2"/>
      <c r="G73" s="166">
        <f>-(G71-G70)/G70</f>
        <v>2.7836218136190367</v>
      </c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M73" s="1" t="s">
        <v>191</v>
      </c>
    </row>
    <row r="74" spans="2:143" x14ac:dyDescent="0.45"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4"/>
      <c r="DV74" s="24"/>
      <c r="DW74" s="24"/>
      <c r="DX74" s="24"/>
      <c r="DY74" s="24"/>
      <c r="DZ74" s="24"/>
      <c r="EA74" s="24"/>
      <c r="EB74" s="24"/>
      <c r="EC74" s="24"/>
      <c r="ED74" s="24"/>
      <c r="EE74" s="24"/>
      <c r="EF74" s="24"/>
      <c r="EG74" s="24"/>
      <c r="EH74" s="24"/>
      <c r="EI74" s="24"/>
      <c r="EM74" s="1" t="s">
        <v>191</v>
      </c>
    </row>
    <row r="75" spans="2:143" x14ac:dyDescent="0.45"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24"/>
      <c r="ED75" s="24"/>
      <c r="EE75" s="24"/>
      <c r="EF75" s="24"/>
      <c r="EG75" s="24"/>
      <c r="EH75" s="24"/>
      <c r="EI75" s="24"/>
      <c r="EM75" s="1" t="s">
        <v>191</v>
      </c>
    </row>
    <row r="76" spans="2:143" x14ac:dyDescent="0.45">
      <c r="D76" s="1" t="s">
        <v>44</v>
      </c>
      <c r="G76" s="40">
        <f>IFERROR(INDEX('1-month Term SOFR'!$Q$12:$Q$132,MATCH(Model!G$2,'1-month Term SOFR'!$O$12:$O$132,0)),F76)</f>
        <v>4.1257700000000001E-2</v>
      </c>
      <c r="H76" s="40">
        <f>IFERROR(INDEX('1-month Term SOFR'!$Q$12:$Q$132,MATCH(Model!H$2,'1-month Term SOFR'!$O$12:$O$132,0)),G76)</f>
        <v>4.0362500000000003E-2</v>
      </c>
      <c r="I76" s="40">
        <f>IFERROR(INDEX('1-month Term SOFR'!$Q$12:$Q$132,MATCH(Model!I$2,'1-month Term SOFR'!$O$12:$O$132,0)),H76)</f>
        <v>3.9592599999999999E-2</v>
      </c>
      <c r="J76" s="40">
        <f>IFERROR(INDEX('1-month Term SOFR'!$Q$12:$Q$132,MATCH(Model!J$2,'1-month Term SOFR'!$O$12:$O$132,0)),I76)</f>
        <v>3.8102499999999997E-2</v>
      </c>
      <c r="K76" s="40">
        <f>IFERROR(INDEX('1-month Term SOFR'!$Q$12:$Q$132,MATCH(Model!K$2,'1-month Term SOFR'!$O$12:$O$132,0)),J76)</f>
        <v>3.78538E-2</v>
      </c>
      <c r="L76" s="40">
        <f>IFERROR(INDEX('1-month Term SOFR'!$Q$12:$Q$132,MATCH(Model!L$2,'1-month Term SOFR'!$O$12:$O$132,0)),K76)</f>
        <v>3.7851799999999998E-2</v>
      </c>
      <c r="M76" s="40">
        <f>IFERROR(INDEX('1-month Term SOFR'!$Q$12:$Q$132,MATCH(Model!M$2,'1-month Term SOFR'!$O$12:$O$132,0)),L76)</f>
        <v>3.6711399999999998E-2</v>
      </c>
      <c r="N76" s="40">
        <f>IFERROR(INDEX('1-month Term SOFR'!$Q$12:$Q$132,MATCH(Model!N$2,'1-month Term SOFR'!$O$12:$O$132,0)),M76)</f>
        <v>3.6445499999999999E-2</v>
      </c>
      <c r="O76" s="40">
        <f>IFERROR(INDEX('1-month Term SOFR'!$Q$12:$Q$132,MATCH(Model!O$2,'1-month Term SOFR'!$O$12:$O$132,0)),N76)</f>
        <v>3.644E-2</v>
      </c>
      <c r="P76" s="40">
        <f>IFERROR(INDEX('1-month Term SOFR'!$Q$12:$Q$132,MATCH(Model!P$2,'1-month Term SOFR'!$O$12:$O$132,0)),O76)</f>
        <v>3.5883900000000003E-2</v>
      </c>
      <c r="Q76" s="40">
        <f>IFERROR(INDEX('1-month Term SOFR'!$Q$12:$Q$132,MATCH(Model!Q$2,'1-month Term SOFR'!$O$12:$O$132,0)),P76)</f>
        <v>3.5726399999999998E-2</v>
      </c>
      <c r="R76" s="40">
        <f>IFERROR(INDEX('1-month Term SOFR'!$Q$12:$Q$132,MATCH(Model!R$2,'1-month Term SOFR'!$O$12:$O$132,0)),Q76)</f>
        <v>3.5728200000000002E-2</v>
      </c>
      <c r="S76" s="40">
        <f>IFERROR(INDEX('1-month Term SOFR'!$Q$12:$Q$132,MATCH(Model!S$2,'1-month Term SOFR'!$O$12:$O$132,0)),R76)</f>
        <v>3.5572600000000003E-2</v>
      </c>
      <c r="T76" s="40">
        <f>IFERROR(INDEX('1-month Term SOFR'!$Q$12:$Q$132,MATCH(Model!T$2,'1-month Term SOFR'!$O$12:$O$132,0)),S76)</f>
        <v>3.5496800000000002E-2</v>
      </c>
      <c r="U76" s="40">
        <f>IFERROR(INDEX('1-month Term SOFR'!$Q$12:$Q$132,MATCH(Model!U$2,'1-month Term SOFR'!$O$12:$O$132,0)),T76)</f>
        <v>3.5473600000000001E-2</v>
      </c>
      <c r="V76" s="40">
        <f>IFERROR(INDEX('1-month Term SOFR'!$Q$12:$Q$132,MATCH(Model!V$2,'1-month Term SOFR'!$O$12:$O$132,0)),U76)</f>
        <v>3.5467800000000001E-2</v>
      </c>
      <c r="W76" s="40">
        <f>IFERROR(INDEX('1-month Term SOFR'!$Q$12:$Q$132,MATCH(Model!W$2,'1-month Term SOFR'!$O$12:$O$132,0)),V76)</f>
        <v>3.54767E-2</v>
      </c>
      <c r="X76" s="40">
        <f>IFERROR(INDEX('1-month Term SOFR'!$Q$12:$Q$132,MATCH(Model!X$2,'1-month Term SOFR'!$O$12:$O$132,0)),W76)</f>
        <v>3.5506299999999998E-2</v>
      </c>
      <c r="Y76" s="40">
        <f>IFERROR(INDEX('1-month Term SOFR'!$Q$12:$Q$132,MATCH(Model!Y$2,'1-month Term SOFR'!$O$12:$O$132,0)),X76)</f>
        <v>3.5545899999999998E-2</v>
      </c>
      <c r="Z76" s="40">
        <f>IFERROR(INDEX('1-month Term SOFR'!$Q$12:$Q$132,MATCH(Model!Z$2,'1-month Term SOFR'!$O$12:$O$132,0)),Y76)</f>
        <v>3.5608000000000001E-2</v>
      </c>
      <c r="AA76" s="40">
        <f>IFERROR(INDEX('1-month Term SOFR'!$Q$12:$Q$132,MATCH(Model!AA$2,'1-month Term SOFR'!$O$12:$O$132,0)),Z76)</f>
        <v>3.5678099999999997E-2</v>
      </c>
      <c r="AB76" s="40">
        <f>IFERROR(INDEX('1-month Term SOFR'!$Q$12:$Q$132,MATCH(Model!AB$2,'1-month Term SOFR'!$O$12:$O$132,0)),AA76)</f>
        <v>3.5775300000000003E-2</v>
      </c>
      <c r="AC76" s="40">
        <f>IFERROR(INDEX('1-month Term SOFR'!$Q$12:$Q$132,MATCH(Model!AC$2,'1-month Term SOFR'!$O$12:$O$132,0)),AB76)</f>
        <v>3.5866599999999998E-2</v>
      </c>
      <c r="AD76" s="40">
        <f>IFERROR(INDEX('1-month Term SOFR'!$Q$12:$Q$132,MATCH(Model!AD$2,'1-month Term SOFR'!$O$12:$O$132,0)),AC76)</f>
        <v>3.5957900000000001E-2</v>
      </c>
      <c r="AE76" s="40">
        <f>IFERROR(INDEX('1-month Term SOFR'!$Q$12:$Q$132,MATCH(Model!AE$2,'1-month Term SOFR'!$O$12:$O$132,0)),AD76)</f>
        <v>3.6051E-2</v>
      </c>
      <c r="AF76" s="40">
        <f>IFERROR(INDEX('1-month Term SOFR'!$Q$12:$Q$132,MATCH(Model!AF$2,'1-month Term SOFR'!$O$12:$O$132,0)),AE76)</f>
        <v>3.61432E-2</v>
      </c>
      <c r="AG76" s="40">
        <f>IFERROR(INDEX('1-month Term SOFR'!$Q$12:$Q$132,MATCH(Model!AG$2,'1-month Term SOFR'!$O$12:$O$132,0)),AF76)</f>
        <v>3.6238100000000002E-2</v>
      </c>
      <c r="AH76" s="40">
        <f>IFERROR(INDEX('1-month Term SOFR'!$Q$12:$Q$132,MATCH(Model!AH$2,'1-month Term SOFR'!$O$12:$O$132,0)),AG76)</f>
        <v>3.6324500000000003E-2</v>
      </c>
      <c r="AI76" s="40">
        <f>IFERROR(INDEX('1-month Term SOFR'!$Q$12:$Q$132,MATCH(Model!AI$2,'1-month Term SOFR'!$O$12:$O$132,0)),AH76)</f>
        <v>3.6411399999999997E-2</v>
      </c>
      <c r="AJ76" s="40">
        <f>IFERROR(INDEX('1-month Term SOFR'!$Q$12:$Q$132,MATCH(Model!AJ$2,'1-month Term SOFR'!$O$12:$O$132,0)),AI76)</f>
        <v>3.6499999999999998E-2</v>
      </c>
      <c r="AK76" s="40">
        <f>IFERROR(INDEX('1-month Term SOFR'!$Q$12:$Q$132,MATCH(Model!AK$2,'1-month Term SOFR'!$O$12:$O$132,0)),AJ76)</f>
        <v>3.6587700000000001E-2</v>
      </c>
      <c r="AL76" s="40">
        <f>IFERROR(INDEX('1-month Term SOFR'!$Q$12:$Q$132,MATCH(Model!AL$2,'1-month Term SOFR'!$O$12:$O$132,0)),AK76)</f>
        <v>3.6668899999999997E-2</v>
      </c>
      <c r="AM76" s="40">
        <f>IFERROR(INDEX('1-month Term SOFR'!$Q$12:$Q$132,MATCH(Model!AM$2,'1-month Term SOFR'!$O$12:$O$132,0)),AL76)</f>
        <v>3.6754799999999997E-2</v>
      </c>
      <c r="AN76" s="40">
        <f>IFERROR(INDEX('1-month Term SOFR'!$Q$12:$Q$132,MATCH(Model!AN$2,'1-month Term SOFR'!$O$12:$O$132,0)),AM76)</f>
        <v>3.6839299999999998E-2</v>
      </c>
      <c r="AO76" s="40">
        <f>IFERROR(INDEX('1-month Term SOFR'!$Q$12:$Q$132,MATCH(Model!AO$2,'1-month Term SOFR'!$O$12:$O$132,0)),AN76)</f>
        <v>3.6912300000000002E-2</v>
      </c>
      <c r="AP76" s="40">
        <f>IFERROR(INDEX('1-month Term SOFR'!$Q$12:$Q$132,MATCH(Model!AP$2,'1-month Term SOFR'!$O$12:$O$132,0)),AO76)</f>
        <v>3.6993999999999999E-2</v>
      </c>
      <c r="AQ76" s="40">
        <f>IFERROR(INDEX('1-month Term SOFR'!$Q$12:$Q$132,MATCH(Model!AQ$2,'1-month Term SOFR'!$O$12:$O$132,0)),AP76)</f>
        <v>3.7064399999999997E-2</v>
      </c>
      <c r="AR76" s="40">
        <f>IFERROR(INDEX('1-month Term SOFR'!$Q$12:$Q$132,MATCH(Model!AR$2,'1-month Term SOFR'!$O$12:$O$132,0)),AQ76)</f>
        <v>3.71335E-2</v>
      </c>
      <c r="AS76" s="40">
        <f>IFERROR(INDEX('1-month Term SOFR'!$Q$12:$Q$132,MATCH(Model!AS$2,'1-month Term SOFR'!$O$12:$O$132,0)),AR76)</f>
        <v>3.7200499999999997E-2</v>
      </c>
      <c r="AT76" s="40">
        <f>IFERROR(INDEX('1-month Term SOFR'!$Q$12:$Q$132,MATCH(Model!AT$2,'1-month Term SOFR'!$O$12:$O$132,0)),AS76)</f>
        <v>3.7261000000000002E-2</v>
      </c>
      <c r="AU76" s="40">
        <f>IFERROR(INDEX('1-month Term SOFR'!$Q$12:$Q$132,MATCH(Model!AU$2,'1-month Term SOFR'!$O$12:$O$132,0)),AT76)</f>
        <v>3.7327300000000001E-2</v>
      </c>
      <c r="AV76" s="40">
        <f>IFERROR(INDEX('1-month Term SOFR'!$Q$12:$Q$132,MATCH(Model!AV$2,'1-month Term SOFR'!$O$12:$O$132,0)),AU76)</f>
        <v>3.7378399999999999E-2</v>
      </c>
      <c r="AW76" s="40">
        <f>IFERROR(INDEX('1-month Term SOFR'!$Q$12:$Q$132,MATCH(Model!AW$2,'1-month Term SOFR'!$O$12:$O$132,0)),AV76)</f>
        <v>3.7428400000000001E-2</v>
      </c>
      <c r="AX76" s="40">
        <f>IFERROR(INDEX('1-month Term SOFR'!$Q$12:$Q$132,MATCH(Model!AX$2,'1-month Term SOFR'!$O$12:$O$132,0)),AW76)</f>
        <v>3.7479899999999997E-2</v>
      </c>
      <c r="AY76" s="40">
        <f>IFERROR(INDEX('1-month Term SOFR'!$Q$12:$Q$132,MATCH(Model!AY$2,'1-month Term SOFR'!$O$12:$O$132,0)),AX76)</f>
        <v>3.7515800000000002E-2</v>
      </c>
      <c r="AZ76" s="40">
        <f>IFERROR(INDEX('1-month Term SOFR'!$Q$12:$Q$132,MATCH(Model!AZ$2,'1-month Term SOFR'!$O$12:$O$132,0)),AY76)</f>
        <v>3.7561900000000002E-2</v>
      </c>
      <c r="BA76" s="40">
        <f>IFERROR(INDEX('1-month Term SOFR'!$Q$12:$Q$132,MATCH(Model!BA$2,'1-month Term SOFR'!$O$12:$O$132,0)),AZ76)</f>
        <v>3.7599800000000003E-2</v>
      </c>
      <c r="BB76" s="40">
        <f>IFERROR(INDEX('1-month Term SOFR'!$Q$12:$Q$132,MATCH(Model!BB$2,'1-month Term SOFR'!$O$12:$O$132,0)),BA76)</f>
        <v>3.7643299999999998E-2</v>
      </c>
      <c r="BC76" s="40">
        <f>IFERROR(INDEX('1-month Term SOFR'!$Q$12:$Q$132,MATCH(Model!BC$2,'1-month Term SOFR'!$O$12:$O$132,0)),BB76)</f>
        <v>3.76832E-2</v>
      </c>
      <c r="BD76" s="40">
        <f>IFERROR(INDEX('1-month Term SOFR'!$Q$12:$Q$132,MATCH(Model!BD$2,'1-month Term SOFR'!$O$12:$O$132,0)),BC76)</f>
        <v>3.7732599999999998E-2</v>
      </c>
      <c r="BE76" s="40">
        <f>IFERROR(INDEX('1-month Term SOFR'!$Q$12:$Q$132,MATCH(Model!BE$2,'1-month Term SOFR'!$O$12:$O$132,0)),BD76)</f>
        <v>3.7773099999999997E-2</v>
      </c>
      <c r="BF76" s="40">
        <f>IFERROR(INDEX('1-month Term SOFR'!$Q$12:$Q$132,MATCH(Model!BF$2,'1-month Term SOFR'!$O$12:$O$132,0)),BE76)</f>
        <v>3.7810999999999997E-2</v>
      </c>
      <c r="BG76" s="40">
        <f>IFERROR(INDEX('1-month Term SOFR'!$Q$12:$Q$132,MATCH(Model!BG$2,'1-month Term SOFR'!$O$12:$O$132,0)),BF76)</f>
        <v>3.7861300000000001E-2</v>
      </c>
      <c r="BH76" s="40">
        <f>IFERROR(INDEX('1-month Term SOFR'!$Q$12:$Q$132,MATCH(Model!BH$2,'1-month Term SOFR'!$O$12:$O$132,0)),BG76)</f>
        <v>3.7900000000000003E-2</v>
      </c>
      <c r="BI76" s="40">
        <f>IFERROR(INDEX('1-month Term SOFR'!$Q$12:$Q$132,MATCH(Model!BI$2,'1-month Term SOFR'!$O$12:$O$132,0)),BH76)</f>
        <v>3.7942700000000003E-2</v>
      </c>
      <c r="BJ76" s="40">
        <f>IFERROR(INDEX('1-month Term SOFR'!$Q$12:$Q$132,MATCH(Model!BJ$2,'1-month Term SOFR'!$O$12:$O$132,0)),BI76)</f>
        <v>3.7987199999999999E-2</v>
      </c>
      <c r="BK76" s="40">
        <f>IFERROR(INDEX('1-month Term SOFR'!$Q$12:$Q$132,MATCH(Model!BK$2,'1-month Term SOFR'!$O$12:$O$132,0)),BJ76)</f>
        <v>3.8023800000000003E-2</v>
      </c>
      <c r="BL76" s="40">
        <f>IFERROR(INDEX('1-month Term SOFR'!$Q$12:$Q$132,MATCH(Model!BL$2,'1-month Term SOFR'!$O$12:$O$132,0)),BK76)</f>
        <v>3.8072599999999998E-2</v>
      </c>
      <c r="BM76" s="40">
        <f>IFERROR(INDEX('1-month Term SOFR'!$Q$12:$Q$132,MATCH(Model!BM$2,'1-month Term SOFR'!$O$12:$O$132,0)),BL76)</f>
        <v>3.8119599999999997E-2</v>
      </c>
      <c r="BN76" s="40">
        <f>IFERROR(INDEX('1-month Term SOFR'!$Q$12:$Q$132,MATCH(Model!BN$2,'1-month Term SOFR'!$O$12:$O$132,0)),BM76)</f>
        <v>3.8161800000000003E-2</v>
      </c>
      <c r="BO76" s="40">
        <f>IFERROR(INDEX('1-month Term SOFR'!$Q$12:$Q$132,MATCH(Model!BO$2,'1-month Term SOFR'!$O$12:$O$132,0)),BN76)</f>
        <v>3.81991E-2</v>
      </c>
      <c r="BP76" s="40">
        <f>IFERROR(INDEX('1-month Term SOFR'!$Q$12:$Q$132,MATCH(Model!BP$2,'1-month Term SOFR'!$O$12:$O$132,0)),BO76)</f>
        <v>3.82452E-2</v>
      </c>
      <c r="BQ76" s="40">
        <f>IFERROR(INDEX('1-month Term SOFR'!$Q$12:$Q$132,MATCH(Model!BQ$2,'1-month Term SOFR'!$O$12:$O$132,0)),BP76)</f>
        <v>3.8285199999999998E-2</v>
      </c>
      <c r="BR76" s="40">
        <f>IFERROR(INDEX('1-month Term SOFR'!$Q$12:$Q$132,MATCH(Model!BR$2,'1-month Term SOFR'!$O$12:$O$132,0)),BQ76)</f>
        <v>3.83217E-2</v>
      </c>
      <c r="BS76" s="40">
        <f>IFERROR(INDEX('1-month Term SOFR'!$Q$12:$Q$132,MATCH(Model!BS$2,'1-month Term SOFR'!$O$12:$O$132,0)),BR76)</f>
        <v>3.83656E-2</v>
      </c>
      <c r="BT76" s="40">
        <f>IFERROR(INDEX('1-month Term SOFR'!$Q$12:$Q$132,MATCH(Model!BT$2,'1-month Term SOFR'!$O$12:$O$132,0)),BS76)</f>
        <v>3.84006E-2</v>
      </c>
      <c r="BU76" s="40">
        <f>IFERROR(INDEX('1-month Term SOFR'!$Q$12:$Q$132,MATCH(Model!BU$2,'1-month Term SOFR'!$O$12:$O$132,0)),BT76)</f>
        <v>3.8444399999999997E-2</v>
      </c>
      <c r="BV76" s="40">
        <f>IFERROR(INDEX('1-month Term SOFR'!$Q$12:$Q$132,MATCH(Model!BV$2,'1-month Term SOFR'!$O$12:$O$132,0)),BU76)</f>
        <v>3.8479100000000002E-2</v>
      </c>
      <c r="BW76" s="40">
        <f>IFERROR(INDEX('1-month Term SOFR'!$Q$12:$Q$132,MATCH(Model!BW$2,'1-month Term SOFR'!$O$12:$O$132,0)),BV76)</f>
        <v>3.8505600000000001E-2</v>
      </c>
      <c r="BX76" s="40">
        <f>IFERROR(INDEX('1-month Term SOFR'!$Q$12:$Q$132,MATCH(Model!BX$2,'1-month Term SOFR'!$O$12:$O$132,0)),BW76)</f>
        <v>3.8553999999999998E-2</v>
      </c>
      <c r="BY76" s="40">
        <f>IFERROR(INDEX('1-month Term SOFR'!$Q$12:$Q$132,MATCH(Model!BY$2,'1-month Term SOFR'!$O$12:$O$132,0)),BX76)</f>
        <v>3.8582199999999997E-2</v>
      </c>
      <c r="BZ76" s="40">
        <f>IFERROR(INDEX('1-month Term SOFR'!$Q$12:$Q$132,MATCH(Model!BZ$2,'1-month Term SOFR'!$O$12:$O$132,0)),BY76)</f>
        <v>3.86161E-2</v>
      </c>
      <c r="CA76" s="40">
        <f>IFERROR(INDEX('1-month Term SOFR'!$Q$12:$Q$132,MATCH(Model!CA$2,'1-month Term SOFR'!$O$12:$O$132,0)),BZ76)</f>
        <v>3.8646199999999999E-2</v>
      </c>
      <c r="CB76" s="40">
        <f>IFERROR(INDEX('1-month Term SOFR'!$Q$12:$Q$132,MATCH(Model!CB$2,'1-month Term SOFR'!$O$12:$O$132,0)),CA76)</f>
        <v>3.8680899999999997E-2</v>
      </c>
      <c r="CC76" s="40">
        <f>IFERROR(INDEX('1-month Term SOFR'!$Q$12:$Q$132,MATCH(Model!CC$2,'1-month Term SOFR'!$O$12:$O$132,0)),CB76)</f>
        <v>3.8713200000000003E-2</v>
      </c>
      <c r="CD76" s="40">
        <f>IFERROR(INDEX('1-month Term SOFR'!$Q$12:$Q$132,MATCH(Model!CD$2,'1-month Term SOFR'!$O$12:$O$132,0)),CC76)</f>
        <v>3.875E-2</v>
      </c>
      <c r="CE76" s="40">
        <f>IFERROR(INDEX('1-month Term SOFR'!$Q$12:$Q$132,MATCH(Model!CE$2,'1-month Term SOFR'!$O$12:$O$132,0)),CD76)</f>
        <v>3.8777699999999998E-2</v>
      </c>
      <c r="CF76" s="40">
        <f>IFERROR(INDEX('1-month Term SOFR'!$Q$12:$Q$132,MATCH(Model!CF$2,'1-month Term SOFR'!$O$12:$O$132,0)),CE76)</f>
        <v>3.8803200000000003E-2</v>
      </c>
      <c r="CG76" s="40">
        <f>IFERROR(INDEX('1-month Term SOFR'!$Q$12:$Q$132,MATCH(Model!CG$2,'1-month Term SOFR'!$O$12:$O$132,0)),CF76)</f>
        <v>3.8835799999999997E-2</v>
      </c>
      <c r="CH76" s="40">
        <f>IFERROR(INDEX('1-month Term SOFR'!$Q$12:$Q$132,MATCH(Model!CH$2,'1-month Term SOFR'!$O$12:$O$132,0)),CG76)</f>
        <v>3.8862800000000003E-2</v>
      </c>
      <c r="CI76" s="40">
        <f>IFERROR(INDEX('1-month Term SOFR'!$Q$12:$Q$132,MATCH(Model!CI$2,'1-month Term SOFR'!$O$12:$O$132,0)),CH76)</f>
        <v>3.8884700000000001E-2</v>
      </c>
      <c r="CJ76" s="40">
        <f>IFERROR(INDEX('1-month Term SOFR'!$Q$12:$Q$132,MATCH(Model!CJ$2,'1-month Term SOFR'!$O$12:$O$132,0)),CI76)</f>
        <v>3.8917899999999998E-2</v>
      </c>
      <c r="CK76" s="40">
        <f>IFERROR(INDEX('1-month Term SOFR'!$Q$12:$Q$132,MATCH(Model!CK$2,'1-month Term SOFR'!$O$12:$O$132,0)),CJ76)</f>
        <v>3.8941400000000001E-2</v>
      </c>
      <c r="CL76" s="40">
        <f>IFERROR(INDEX('1-month Term SOFR'!$Q$12:$Q$132,MATCH(Model!CL$2,'1-month Term SOFR'!$O$12:$O$132,0)),CK76)</f>
        <v>3.8970400000000002E-2</v>
      </c>
      <c r="CM76" s="40">
        <f>IFERROR(INDEX('1-month Term SOFR'!$Q$12:$Q$132,MATCH(Model!CM$2,'1-month Term SOFR'!$O$12:$O$132,0)),CL76)</f>
        <v>3.8999300000000001E-2</v>
      </c>
      <c r="CN76" s="40">
        <f>IFERROR(INDEX('1-month Term SOFR'!$Q$12:$Q$132,MATCH(Model!CN$2,'1-month Term SOFR'!$O$12:$O$132,0)),CM76)</f>
        <v>3.9028599999999997E-2</v>
      </c>
      <c r="CO76" s="40">
        <f>IFERROR(INDEX('1-month Term SOFR'!$Q$12:$Q$132,MATCH(Model!CO$2,'1-month Term SOFR'!$O$12:$O$132,0)),CN76)</f>
        <v>3.9062800000000002E-2</v>
      </c>
      <c r="CP76" s="40">
        <f>IFERROR(INDEX('1-month Term SOFR'!$Q$12:$Q$132,MATCH(Model!CP$2,'1-month Term SOFR'!$O$12:$O$132,0)),CO76)</f>
        <v>3.9087499999999997E-2</v>
      </c>
      <c r="CQ76" s="40">
        <f>IFERROR(INDEX('1-month Term SOFR'!$Q$12:$Q$132,MATCH(Model!CQ$2,'1-month Term SOFR'!$O$12:$O$132,0)),CP76)</f>
        <v>3.9119099999999997E-2</v>
      </c>
      <c r="CR76" s="40">
        <f>IFERROR(INDEX('1-month Term SOFR'!$Q$12:$Q$132,MATCH(Model!CR$2,'1-month Term SOFR'!$O$12:$O$132,0)),CQ76)</f>
        <v>3.9150699999999997E-2</v>
      </c>
      <c r="CS76" s="40">
        <f>IFERROR(INDEX('1-month Term SOFR'!$Q$12:$Q$132,MATCH(Model!CS$2,'1-month Term SOFR'!$O$12:$O$132,0)),CR76)</f>
        <v>3.91829E-2</v>
      </c>
      <c r="CT76" s="40">
        <f>IFERROR(INDEX('1-month Term SOFR'!$Q$12:$Q$132,MATCH(Model!CT$2,'1-month Term SOFR'!$O$12:$O$132,0)),CS76)</f>
        <v>3.9213499999999998E-2</v>
      </c>
      <c r="CU76" s="40">
        <f>IFERROR(INDEX('1-month Term SOFR'!$Q$12:$Q$132,MATCH(Model!CU$2,'1-month Term SOFR'!$O$12:$O$132,0)),CT76)</f>
        <v>3.9238700000000001E-2</v>
      </c>
      <c r="CV76" s="40">
        <f>IFERROR(INDEX('1-month Term SOFR'!$Q$12:$Q$132,MATCH(Model!CV$2,'1-month Term SOFR'!$O$12:$O$132,0)),CU76)</f>
        <v>3.9277300000000001E-2</v>
      </c>
      <c r="CW76" s="40">
        <f>IFERROR(INDEX('1-month Term SOFR'!$Q$12:$Q$132,MATCH(Model!CW$2,'1-month Term SOFR'!$O$12:$O$132,0)),CV76)</f>
        <v>3.9308900000000001E-2</v>
      </c>
      <c r="CX76" s="40">
        <f>IFERROR(INDEX('1-month Term SOFR'!$Q$12:$Q$132,MATCH(Model!CX$2,'1-month Term SOFR'!$O$12:$O$132,0)),CW76)</f>
        <v>3.9350799999999998E-2</v>
      </c>
      <c r="CY76" s="40">
        <f>IFERROR(INDEX('1-month Term SOFR'!$Q$12:$Q$132,MATCH(Model!CY$2,'1-month Term SOFR'!$O$12:$O$132,0)),CX76)</f>
        <v>3.93803E-2</v>
      </c>
      <c r="CZ76" s="40">
        <f>IFERROR(INDEX('1-month Term SOFR'!$Q$12:$Q$132,MATCH(Model!CZ$2,'1-month Term SOFR'!$O$12:$O$132,0)),CY76)</f>
        <v>3.9415600000000002E-2</v>
      </c>
      <c r="DA76" s="40">
        <f>IFERROR(INDEX('1-month Term SOFR'!$Q$12:$Q$132,MATCH(Model!DA$2,'1-month Term SOFR'!$O$12:$O$132,0)),CZ76)</f>
        <v>3.9454799999999998E-2</v>
      </c>
      <c r="DB76" s="40">
        <f>IFERROR(INDEX('1-month Term SOFR'!$Q$12:$Q$132,MATCH(Model!DB$2,'1-month Term SOFR'!$O$12:$O$132,0)),DA76)</f>
        <v>3.9487599999999998E-2</v>
      </c>
      <c r="DC76" s="40">
        <f>IFERROR(INDEX('1-month Term SOFR'!$Q$12:$Q$132,MATCH(Model!DC$2,'1-month Term SOFR'!$O$12:$O$132,0)),DB76)</f>
        <v>3.9533899999999997E-2</v>
      </c>
      <c r="DD76" s="40">
        <f>IFERROR(INDEX('1-month Term SOFR'!$Q$12:$Q$132,MATCH(Model!DD$2,'1-month Term SOFR'!$O$12:$O$132,0)),DC76)</f>
        <v>3.9564700000000001E-2</v>
      </c>
      <c r="DE76" s="40">
        <f>IFERROR(INDEX('1-month Term SOFR'!$Q$12:$Q$132,MATCH(Model!DE$2,'1-month Term SOFR'!$O$12:$O$132,0)),DD76)</f>
        <v>3.9602499999999999E-2</v>
      </c>
      <c r="DF76" s="40">
        <f>IFERROR(INDEX('1-month Term SOFR'!$Q$12:$Q$132,MATCH(Model!DF$2,'1-month Term SOFR'!$O$12:$O$132,0)),DE76)</f>
        <v>3.9646199999999999E-2</v>
      </c>
      <c r="DG76" s="40">
        <f>IFERROR(INDEX('1-month Term SOFR'!$Q$12:$Q$132,MATCH(Model!DG$2,'1-month Term SOFR'!$O$12:$O$132,0)),DF76)</f>
        <v>3.9674500000000001E-2</v>
      </c>
      <c r="DH76" s="40">
        <f>IFERROR(INDEX('1-month Term SOFR'!$Q$12:$Q$132,MATCH(Model!DH$2,'1-month Term SOFR'!$O$12:$O$132,0)),DG76)</f>
        <v>3.9719499999999998E-2</v>
      </c>
      <c r="DI76" s="40">
        <f>IFERROR(INDEX('1-month Term SOFR'!$Q$12:$Q$132,MATCH(Model!DI$2,'1-month Term SOFR'!$O$12:$O$132,0)),DH76)</f>
        <v>3.9754999999999999E-2</v>
      </c>
      <c r="DJ76" s="40">
        <f>IFERROR(INDEX('1-month Term SOFR'!$Q$12:$Q$132,MATCH(Model!DJ$2,'1-month Term SOFR'!$O$12:$O$132,0)),DI76)</f>
        <v>3.9800799999999997E-2</v>
      </c>
      <c r="DK76" s="40">
        <f>IFERROR(INDEX('1-month Term SOFR'!$Q$12:$Q$132,MATCH(Model!DK$2,'1-month Term SOFR'!$O$12:$O$132,0)),DJ76)</f>
        <v>3.9838499999999999E-2</v>
      </c>
      <c r="DL76" s="40">
        <f>IFERROR(INDEX('1-month Term SOFR'!$Q$12:$Q$132,MATCH(Model!DL$2,'1-month Term SOFR'!$O$12:$O$132,0)),DK76)</f>
        <v>3.9881199999999999E-2</v>
      </c>
      <c r="DM76" s="40">
        <f>IFERROR(INDEX('1-month Term SOFR'!$Q$12:$Q$132,MATCH(Model!DM$2,'1-month Term SOFR'!$O$12:$O$132,0)),DL76)</f>
        <v>3.9924300000000003E-2</v>
      </c>
      <c r="DN76" s="40">
        <f>IFERROR(INDEX('1-month Term SOFR'!$Q$12:$Q$132,MATCH(Model!DN$2,'1-month Term SOFR'!$O$12:$O$132,0)),DM76)</f>
        <v>3.9965100000000003E-2</v>
      </c>
      <c r="DO76" s="40">
        <f>IFERROR(INDEX('1-month Term SOFR'!$Q$12:$Q$132,MATCH(Model!DO$2,'1-month Term SOFR'!$O$12:$O$132,0)),DN76)</f>
        <v>4.0016700000000002E-2</v>
      </c>
      <c r="DP76" s="40">
        <f>IFERROR(INDEX('1-month Term SOFR'!$Q$12:$Q$132,MATCH(Model!DP$2,'1-month Term SOFR'!$O$12:$O$132,0)),DO76)</f>
        <v>4.0055599999999997E-2</v>
      </c>
      <c r="DQ76" s="40">
        <f>IFERROR(INDEX('1-month Term SOFR'!$Q$12:$Q$132,MATCH(Model!DQ$2,'1-month Term SOFR'!$O$12:$O$132,0)),DP76)</f>
        <v>4.0099500000000003E-2</v>
      </c>
      <c r="DR76" s="40">
        <f>IFERROR(INDEX('1-month Term SOFR'!$Q$12:$Q$132,MATCH(Model!DR$2,'1-month Term SOFR'!$O$12:$O$132,0)),DQ76)</f>
        <v>4.0148400000000001E-2</v>
      </c>
      <c r="DS76" s="40">
        <f>IFERROR(INDEX('1-month Term SOFR'!$Q$12:$Q$132,MATCH(Model!DS$2,'1-month Term SOFR'!$O$12:$O$132,0)),DR76)</f>
        <v>4.0184400000000002E-2</v>
      </c>
      <c r="DT76" s="40">
        <f>IFERROR(INDEX('1-month Term SOFR'!$Q$12:$Q$132,MATCH(Model!DT$2,'1-month Term SOFR'!$O$12:$O$132,0)),DS76)</f>
        <v>4.02355E-2</v>
      </c>
      <c r="DU76" s="40">
        <f>IFERROR(INDEX('1-month Term SOFR'!$Q$12:$Q$132,MATCH(Model!DU$2,'1-month Term SOFR'!$O$12:$O$132,0)),DT76)</f>
        <v>4.02355E-2</v>
      </c>
      <c r="DV76" s="40">
        <f>IFERROR(INDEX('1-month Term SOFR'!$Q$12:$Q$132,MATCH(Model!DV$2,'1-month Term SOFR'!$O$12:$O$132,0)),DU76)</f>
        <v>4.02355E-2</v>
      </c>
      <c r="DW76" s="40">
        <f>IFERROR(INDEX('1-month Term SOFR'!$Q$12:$Q$132,MATCH(Model!DW$2,'1-month Term SOFR'!$O$12:$O$132,0)),DV76)</f>
        <v>4.02355E-2</v>
      </c>
      <c r="DX76" s="40">
        <f>IFERROR(INDEX('1-month Term SOFR'!$Q$12:$Q$132,MATCH(Model!DX$2,'1-month Term SOFR'!$O$12:$O$132,0)),DW76)</f>
        <v>4.02355E-2</v>
      </c>
      <c r="DY76" s="40">
        <f>IFERROR(INDEX('1-month Term SOFR'!$Q$12:$Q$132,MATCH(Model!DY$2,'1-month Term SOFR'!$O$12:$O$132,0)),DX76)</f>
        <v>4.02355E-2</v>
      </c>
      <c r="DZ76" s="40">
        <f>IFERROR(INDEX('1-month Term SOFR'!$Q$12:$Q$132,MATCH(Model!DZ$2,'1-month Term SOFR'!$O$12:$O$132,0)),DY76)</f>
        <v>4.02355E-2</v>
      </c>
      <c r="EA76" s="40">
        <f>IFERROR(INDEX('1-month Term SOFR'!$Q$12:$Q$132,MATCH(Model!EA$2,'1-month Term SOFR'!$O$12:$O$132,0)),DZ76)</f>
        <v>4.02355E-2</v>
      </c>
      <c r="EB76" s="40">
        <f>IFERROR(INDEX('1-month Term SOFR'!$Q$12:$Q$132,MATCH(Model!EB$2,'1-month Term SOFR'!$O$12:$O$132,0)),EA76)</f>
        <v>4.02355E-2</v>
      </c>
      <c r="EC76" s="40">
        <f>IFERROR(INDEX('1-month Term SOFR'!$Q$12:$Q$132,MATCH(Model!EC$2,'1-month Term SOFR'!$O$12:$O$132,0)),EB76)</f>
        <v>4.02355E-2</v>
      </c>
      <c r="ED76" s="40">
        <f>IFERROR(INDEX('1-month Term SOFR'!$Q$12:$Q$132,MATCH(Model!ED$2,'1-month Term SOFR'!$O$12:$O$132,0)),EC76)</f>
        <v>4.02355E-2</v>
      </c>
      <c r="EE76" s="40">
        <f>IFERROR(INDEX('1-month Term SOFR'!$Q$12:$Q$132,MATCH(Model!EE$2,'1-month Term SOFR'!$O$12:$O$132,0)),ED76)</f>
        <v>4.02355E-2</v>
      </c>
      <c r="EF76" s="40">
        <f>IFERROR(INDEX('1-month Term SOFR'!$Q$12:$Q$132,MATCH(Model!EF$2,'1-month Term SOFR'!$O$12:$O$132,0)),EE76)</f>
        <v>4.02355E-2</v>
      </c>
      <c r="EG76" s="40">
        <f>IFERROR(INDEX('1-month Term SOFR'!$Q$12:$Q$132,MATCH(Model!EG$2,'1-month Term SOFR'!$O$12:$O$132,0)),EF76)</f>
        <v>4.02355E-2</v>
      </c>
      <c r="EH76" s="40">
        <f>IFERROR(INDEX('1-month Term SOFR'!$Q$12:$Q$132,MATCH(Model!EH$2,'1-month Term SOFR'!$O$12:$O$132,0)),EG76)</f>
        <v>4.02355E-2</v>
      </c>
      <c r="EI76" s="40">
        <f>IFERROR(INDEX('1-month Term SOFR'!$Q$12:$Q$132,MATCH(Model!EI$2,'1-month Term SOFR'!$O$12:$O$132,0)),EH76)</f>
        <v>4.02355E-2</v>
      </c>
      <c r="EM76" s="1" t="s">
        <v>191</v>
      </c>
    </row>
    <row r="77" spans="2:143" x14ac:dyDescent="0.45"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/>
      <c r="EB77" s="24"/>
      <c r="EC77" s="24"/>
      <c r="ED77" s="24"/>
      <c r="EE77" s="24"/>
      <c r="EF77" s="24"/>
      <c r="EG77" s="24"/>
      <c r="EH77" s="24"/>
      <c r="EI77" s="24"/>
      <c r="EM77" s="1" t="s">
        <v>191</v>
      </c>
    </row>
    <row r="78" spans="2:143" s="8" customFormat="1" x14ac:dyDescent="0.45">
      <c r="D78" s="8" t="s">
        <v>431</v>
      </c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  <c r="CF78" s="41"/>
      <c r="CG78" s="41"/>
      <c r="CH78" s="41"/>
      <c r="CI78" s="41"/>
      <c r="CJ78" s="41"/>
      <c r="CK78" s="41"/>
      <c r="CL78" s="41"/>
      <c r="CM78" s="41"/>
      <c r="CN78" s="41"/>
      <c r="CO78" s="41"/>
      <c r="CP78" s="41"/>
      <c r="CQ78" s="41"/>
      <c r="CR78" s="41"/>
      <c r="CS78" s="41"/>
      <c r="CT78" s="41"/>
      <c r="CU78" s="41"/>
      <c r="CV78" s="41"/>
      <c r="CW78" s="41"/>
      <c r="CX78" s="41"/>
      <c r="CY78" s="41"/>
      <c r="CZ78" s="41"/>
      <c r="DA78" s="41"/>
      <c r="DB78" s="41"/>
      <c r="DC78" s="41"/>
      <c r="DD78" s="41"/>
      <c r="DE78" s="41"/>
      <c r="DF78" s="41"/>
      <c r="DG78" s="41"/>
      <c r="DH78" s="41"/>
      <c r="DI78" s="41"/>
      <c r="DJ78" s="41"/>
      <c r="DK78" s="41"/>
      <c r="DL78" s="41"/>
      <c r="DM78" s="41"/>
      <c r="DN78" s="41"/>
      <c r="DO78" s="41"/>
      <c r="DP78" s="41"/>
      <c r="DQ78" s="41"/>
      <c r="DR78" s="41"/>
      <c r="DS78" s="41"/>
      <c r="DT78" s="41"/>
      <c r="DU78" s="41"/>
      <c r="DV78" s="41"/>
      <c r="DW78" s="41"/>
      <c r="DX78" s="41"/>
      <c r="DY78" s="41"/>
      <c r="DZ78" s="41"/>
      <c r="EA78" s="41"/>
      <c r="EB78" s="41"/>
      <c r="EC78" s="41"/>
      <c r="ED78" s="41"/>
      <c r="EE78" s="41"/>
      <c r="EF78" s="41"/>
      <c r="EG78" s="41"/>
      <c r="EH78" s="41"/>
      <c r="EI78" s="41"/>
      <c r="EM78" s="1" t="s">
        <v>191</v>
      </c>
    </row>
    <row r="79" spans="2:143" x14ac:dyDescent="0.45">
      <c r="D79" s="1" t="s">
        <v>46</v>
      </c>
      <c r="G79" s="40">
        <f>Assumptions!$L$29</f>
        <v>0.1</v>
      </c>
      <c r="H79" s="40">
        <f>Assumptions!$L$29</f>
        <v>0.1</v>
      </c>
      <c r="I79" s="40">
        <f>Assumptions!$L$29</f>
        <v>0.1</v>
      </c>
      <c r="J79" s="40">
        <f>Assumptions!$L$29</f>
        <v>0.1</v>
      </c>
      <c r="K79" s="40">
        <f>Assumptions!$L$29</f>
        <v>0.1</v>
      </c>
      <c r="L79" s="40">
        <f>Assumptions!$L$29</f>
        <v>0.1</v>
      </c>
      <c r="M79" s="40">
        <f>Assumptions!$L$29</f>
        <v>0.1</v>
      </c>
      <c r="N79" s="40">
        <f>Assumptions!$L$29</f>
        <v>0.1</v>
      </c>
      <c r="O79" s="40">
        <f>Assumptions!$L$29</f>
        <v>0.1</v>
      </c>
      <c r="P79" s="40">
        <f>Assumptions!$L$29</f>
        <v>0.1</v>
      </c>
      <c r="Q79" s="40">
        <f>Assumptions!$L$29</f>
        <v>0.1</v>
      </c>
      <c r="R79" s="40">
        <f>Assumptions!$L$29</f>
        <v>0.1</v>
      </c>
      <c r="S79" s="40">
        <f>Assumptions!$L$29</f>
        <v>0.1</v>
      </c>
      <c r="T79" s="40">
        <f>Assumptions!$L$29</f>
        <v>0.1</v>
      </c>
      <c r="U79" s="40">
        <f>Assumptions!$L$29</f>
        <v>0.1</v>
      </c>
      <c r="V79" s="40">
        <f>Assumptions!$L$29</f>
        <v>0.1</v>
      </c>
      <c r="W79" s="40">
        <f>Assumptions!$L$29</f>
        <v>0.1</v>
      </c>
      <c r="X79" s="40">
        <f>Assumptions!$L$29</f>
        <v>0.1</v>
      </c>
      <c r="Y79" s="40">
        <f>Assumptions!$L$29</f>
        <v>0.1</v>
      </c>
      <c r="Z79" s="40">
        <f>Assumptions!$L$29</f>
        <v>0.1</v>
      </c>
      <c r="AA79" s="40">
        <f>Assumptions!$L$29</f>
        <v>0.1</v>
      </c>
      <c r="AB79" s="40">
        <f>Assumptions!$L$29</f>
        <v>0.1</v>
      </c>
      <c r="AC79" s="40">
        <f>Assumptions!$L$29</f>
        <v>0.1</v>
      </c>
      <c r="AD79" s="40">
        <f>Assumptions!$L$29</f>
        <v>0.1</v>
      </c>
      <c r="AE79" s="40">
        <f>Assumptions!$L$29</f>
        <v>0.1</v>
      </c>
      <c r="AF79" s="40">
        <f>Assumptions!$L$29</f>
        <v>0.1</v>
      </c>
      <c r="AG79" s="40">
        <f>Assumptions!$L$29</f>
        <v>0.1</v>
      </c>
      <c r="AH79" s="40">
        <f>Assumptions!$L$29</f>
        <v>0.1</v>
      </c>
      <c r="AI79" s="40">
        <f>Assumptions!$L$29</f>
        <v>0.1</v>
      </c>
      <c r="AJ79" s="40">
        <f>Assumptions!$L$29</f>
        <v>0.1</v>
      </c>
      <c r="AK79" s="40">
        <f>Assumptions!$L$29</f>
        <v>0.1</v>
      </c>
      <c r="AL79" s="40">
        <f>Assumptions!$L$29</f>
        <v>0.1</v>
      </c>
      <c r="AM79" s="40">
        <f>Assumptions!$L$29</f>
        <v>0.1</v>
      </c>
      <c r="AN79" s="40">
        <f>Assumptions!$L$29</f>
        <v>0.1</v>
      </c>
      <c r="AO79" s="40">
        <f>Assumptions!$L$29</f>
        <v>0.1</v>
      </c>
      <c r="AP79" s="40">
        <f>Assumptions!$L$29</f>
        <v>0.1</v>
      </c>
      <c r="AQ79" s="40">
        <f>Assumptions!$L$29</f>
        <v>0.1</v>
      </c>
      <c r="AR79" s="40">
        <f>Assumptions!$L$29</f>
        <v>0.1</v>
      </c>
      <c r="AS79" s="40">
        <f>Assumptions!$L$29</f>
        <v>0.1</v>
      </c>
      <c r="AT79" s="40">
        <f>Assumptions!$L$29</f>
        <v>0.1</v>
      </c>
      <c r="AU79" s="40">
        <f>Assumptions!$L$29</f>
        <v>0.1</v>
      </c>
      <c r="AV79" s="40">
        <f>Assumptions!$L$29</f>
        <v>0.1</v>
      </c>
      <c r="AW79" s="40">
        <f>Assumptions!$L$29</f>
        <v>0.1</v>
      </c>
      <c r="AX79" s="40">
        <f>Assumptions!$L$29</f>
        <v>0.1</v>
      </c>
      <c r="AY79" s="40">
        <f>Assumptions!$L$29</f>
        <v>0.1</v>
      </c>
      <c r="AZ79" s="40">
        <f>Assumptions!$L$29</f>
        <v>0.1</v>
      </c>
      <c r="BA79" s="40">
        <f>Assumptions!$L$29</f>
        <v>0.1</v>
      </c>
      <c r="BB79" s="40">
        <f>Assumptions!$L$29</f>
        <v>0.1</v>
      </c>
      <c r="BC79" s="40">
        <f>Assumptions!$L$29</f>
        <v>0.1</v>
      </c>
      <c r="BD79" s="40">
        <f>Assumptions!$L$29</f>
        <v>0.1</v>
      </c>
      <c r="BE79" s="40">
        <f>Assumptions!$L$29</f>
        <v>0.1</v>
      </c>
      <c r="BF79" s="40">
        <f>Assumptions!$L$29</f>
        <v>0.1</v>
      </c>
      <c r="BG79" s="40">
        <f>Assumptions!$L$29</f>
        <v>0.1</v>
      </c>
      <c r="BH79" s="40">
        <f>Assumptions!$L$29</f>
        <v>0.1</v>
      </c>
      <c r="BI79" s="40">
        <f>Assumptions!$L$29</f>
        <v>0.1</v>
      </c>
      <c r="BJ79" s="40">
        <f>Assumptions!$L$29</f>
        <v>0.1</v>
      </c>
      <c r="BK79" s="40">
        <f>Assumptions!$L$29</f>
        <v>0.1</v>
      </c>
      <c r="BL79" s="40">
        <f>Assumptions!$L$29</f>
        <v>0.1</v>
      </c>
      <c r="BM79" s="40">
        <f>Assumptions!$L$29</f>
        <v>0.1</v>
      </c>
      <c r="BN79" s="40">
        <f>Assumptions!$L$29</f>
        <v>0.1</v>
      </c>
      <c r="BO79" s="40">
        <f>Assumptions!$L$29</f>
        <v>0.1</v>
      </c>
      <c r="BP79" s="40">
        <f>Assumptions!$L$29</f>
        <v>0.1</v>
      </c>
      <c r="BQ79" s="40">
        <f>Assumptions!$L$29</f>
        <v>0.1</v>
      </c>
      <c r="BR79" s="40">
        <f>Assumptions!$L$29</f>
        <v>0.1</v>
      </c>
      <c r="BS79" s="40">
        <f>Assumptions!$L$29</f>
        <v>0.1</v>
      </c>
      <c r="BT79" s="40">
        <f>Assumptions!$L$29</f>
        <v>0.1</v>
      </c>
      <c r="BU79" s="40">
        <f>Assumptions!$L$29</f>
        <v>0.1</v>
      </c>
      <c r="BV79" s="40">
        <f>Assumptions!$L$29</f>
        <v>0.1</v>
      </c>
      <c r="BW79" s="40">
        <f>Assumptions!$L$29</f>
        <v>0.1</v>
      </c>
      <c r="BX79" s="40">
        <f>Assumptions!$L$29</f>
        <v>0.1</v>
      </c>
      <c r="BY79" s="40">
        <f>Assumptions!$L$29</f>
        <v>0.1</v>
      </c>
      <c r="BZ79" s="40">
        <f>Assumptions!$L$29</f>
        <v>0.1</v>
      </c>
      <c r="CA79" s="40">
        <f>Assumptions!$L$29</f>
        <v>0.1</v>
      </c>
      <c r="CB79" s="40">
        <f>Assumptions!$L$29</f>
        <v>0.1</v>
      </c>
      <c r="CC79" s="40">
        <f>Assumptions!$L$29</f>
        <v>0.1</v>
      </c>
      <c r="CD79" s="40">
        <f>Assumptions!$L$29</f>
        <v>0.1</v>
      </c>
      <c r="CE79" s="40">
        <f>Assumptions!$L$29</f>
        <v>0.1</v>
      </c>
      <c r="CF79" s="40">
        <f>Assumptions!$L$29</f>
        <v>0.1</v>
      </c>
      <c r="CG79" s="40">
        <f>Assumptions!$L$29</f>
        <v>0.1</v>
      </c>
      <c r="CH79" s="40">
        <f>Assumptions!$L$29</f>
        <v>0.1</v>
      </c>
      <c r="CI79" s="40">
        <f>Assumptions!$L$29</f>
        <v>0.1</v>
      </c>
      <c r="CJ79" s="40">
        <f>Assumptions!$L$29</f>
        <v>0.1</v>
      </c>
      <c r="CK79" s="40">
        <f>Assumptions!$L$29</f>
        <v>0.1</v>
      </c>
      <c r="CL79" s="40">
        <f>Assumptions!$L$29</f>
        <v>0.1</v>
      </c>
      <c r="CM79" s="40">
        <f>Assumptions!$L$29</f>
        <v>0.1</v>
      </c>
      <c r="CN79" s="40">
        <f>Assumptions!$L$29</f>
        <v>0.1</v>
      </c>
      <c r="CO79" s="40">
        <f>Assumptions!$L$29</f>
        <v>0.1</v>
      </c>
      <c r="CP79" s="40">
        <f>Assumptions!$L$29</f>
        <v>0.1</v>
      </c>
      <c r="CQ79" s="40">
        <f>Assumptions!$L$29</f>
        <v>0.1</v>
      </c>
      <c r="CR79" s="40">
        <f>Assumptions!$L$29</f>
        <v>0.1</v>
      </c>
      <c r="CS79" s="40">
        <f>Assumptions!$L$29</f>
        <v>0.1</v>
      </c>
      <c r="CT79" s="40">
        <f>Assumptions!$L$29</f>
        <v>0.1</v>
      </c>
      <c r="CU79" s="40">
        <f>Assumptions!$L$29</f>
        <v>0.1</v>
      </c>
      <c r="CV79" s="40">
        <f>Assumptions!$L$29</f>
        <v>0.1</v>
      </c>
      <c r="CW79" s="40">
        <f>Assumptions!$L$29</f>
        <v>0.1</v>
      </c>
      <c r="CX79" s="40">
        <f>Assumptions!$L$29</f>
        <v>0.1</v>
      </c>
      <c r="CY79" s="40">
        <f>Assumptions!$L$29</f>
        <v>0.1</v>
      </c>
      <c r="CZ79" s="40">
        <f>Assumptions!$L$29</f>
        <v>0.1</v>
      </c>
      <c r="DA79" s="40">
        <f>Assumptions!$L$29</f>
        <v>0.1</v>
      </c>
      <c r="DB79" s="40">
        <f>Assumptions!$L$29</f>
        <v>0.1</v>
      </c>
      <c r="DC79" s="40">
        <f>Assumptions!$L$29</f>
        <v>0.1</v>
      </c>
      <c r="DD79" s="40">
        <f>Assumptions!$L$29</f>
        <v>0.1</v>
      </c>
      <c r="DE79" s="40">
        <f>Assumptions!$L$29</f>
        <v>0.1</v>
      </c>
      <c r="DF79" s="40">
        <f>Assumptions!$L$29</f>
        <v>0.1</v>
      </c>
      <c r="DG79" s="40">
        <f>Assumptions!$L$29</f>
        <v>0.1</v>
      </c>
      <c r="DH79" s="40">
        <f>Assumptions!$L$29</f>
        <v>0.1</v>
      </c>
      <c r="DI79" s="40">
        <f>Assumptions!$L$29</f>
        <v>0.1</v>
      </c>
      <c r="DJ79" s="40">
        <f>Assumptions!$L$29</f>
        <v>0.1</v>
      </c>
      <c r="DK79" s="40">
        <f>Assumptions!$L$29</f>
        <v>0.1</v>
      </c>
      <c r="DL79" s="40">
        <f>Assumptions!$L$29</f>
        <v>0.1</v>
      </c>
      <c r="DM79" s="40">
        <f>Assumptions!$L$29</f>
        <v>0.1</v>
      </c>
      <c r="DN79" s="40">
        <f>Assumptions!$L$29</f>
        <v>0.1</v>
      </c>
      <c r="DO79" s="40">
        <f>Assumptions!$L$29</f>
        <v>0.1</v>
      </c>
      <c r="DP79" s="40">
        <f>Assumptions!$L$29</f>
        <v>0.1</v>
      </c>
      <c r="DQ79" s="40">
        <f>Assumptions!$L$29</f>
        <v>0.1</v>
      </c>
      <c r="DR79" s="40">
        <f>Assumptions!$L$29</f>
        <v>0.1</v>
      </c>
      <c r="DS79" s="40">
        <f>Assumptions!$L$29</f>
        <v>0.1</v>
      </c>
      <c r="DT79" s="40">
        <f>Assumptions!$L$29</f>
        <v>0.1</v>
      </c>
      <c r="DU79" s="40">
        <f>Assumptions!$L$29</f>
        <v>0.1</v>
      </c>
      <c r="DV79" s="40">
        <f>Assumptions!$L$29</f>
        <v>0.1</v>
      </c>
      <c r="DW79" s="40">
        <f>Assumptions!$L$29</f>
        <v>0.1</v>
      </c>
      <c r="DX79" s="40">
        <f>Assumptions!$L$29</f>
        <v>0.1</v>
      </c>
      <c r="DY79" s="40">
        <f>Assumptions!$L$29</f>
        <v>0.1</v>
      </c>
      <c r="DZ79" s="40">
        <f>Assumptions!$L$29</f>
        <v>0.1</v>
      </c>
      <c r="EA79" s="40">
        <f>Assumptions!$L$29</f>
        <v>0.1</v>
      </c>
      <c r="EB79" s="40">
        <f>Assumptions!$L$29</f>
        <v>0.1</v>
      </c>
      <c r="EC79" s="40">
        <f>Assumptions!$L$29</f>
        <v>0.1</v>
      </c>
      <c r="ED79" s="40">
        <f>Assumptions!$L$29</f>
        <v>0.1</v>
      </c>
      <c r="EE79" s="40">
        <f>Assumptions!$L$29</f>
        <v>0.1</v>
      </c>
      <c r="EF79" s="40">
        <f>Assumptions!$L$29</f>
        <v>0.1</v>
      </c>
      <c r="EG79" s="40">
        <f>Assumptions!$L$29</f>
        <v>0.1</v>
      </c>
      <c r="EH79" s="40">
        <f>Assumptions!$L$29</f>
        <v>0.1</v>
      </c>
      <c r="EI79" s="40">
        <f>Assumptions!$L$29</f>
        <v>0.1</v>
      </c>
      <c r="EM79" s="1" t="s">
        <v>191</v>
      </c>
    </row>
    <row r="80" spans="2:143" x14ac:dyDescent="0.45">
      <c r="D80" s="3" t="s">
        <v>45</v>
      </c>
      <c r="E80" s="3"/>
      <c r="F80" s="3"/>
      <c r="G80" s="25">
        <f>-IFERROR(INDEX('Debt Schedule'!$G$12:$G$108,MATCH(Model!G4,'Debt Schedule'!$B$12:$B$108,0)),0)</f>
        <v>0</v>
      </c>
      <c r="H80" s="25">
        <f>-IFERROR(INDEX('Debt Schedule'!$G$12:$G$108,MATCH(Model!H4,'Debt Schedule'!$B$12:$B$108,0)),0)</f>
        <v>-93750</v>
      </c>
      <c r="I80" s="25">
        <f>-IFERROR(INDEX('Debt Schedule'!$G$12:$G$108,MATCH(Model!I4,'Debt Schedule'!$B$12:$B$108,0)),0)</f>
        <v>-93708.526653041758</v>
      </c>
      <c r="J80" s="25">
        <f>-IFERROR(INDEX('Debt Schedule'!$G$12:$G$108,MATCH(Model!J4,'Debt Schedule'!$B$12:$B$108,0)),0)</f>
        <v>-93666.707694858851</v>
      </c>
      <c r="K80" s="25">
        <f>-IFERROR(INDEX('Debt Schedule'!$G$12:$G$108,MATCH(Model!K4,'Debt Schedule'!$B$12:$B$108,0)),0)</f>
        <v>-93624.540245357755</v>
      </c>
      <c r="L80" s="25">
        <f>-IFERROR(INDEX('Debt Schedule'!$G$12:$G$108,MATCH(Model!L4,'Debt Schedule'!$B$12:$B$108,0)),0)</f>
        <v>-93582.021400444166</v>
      </c>
      <c r="M80" s="25">
        <f>-IFERROR(INDEX('Debt Schedule'!$G$12:$G$108,MATCH(Model!M4,'Debt Schedule'!$B$12:$B$108,0)),0)</f>
        <v>-93539.148231822954</v>
      </c>
      <c r="N80" s="25">
        <f>-IFERROR(INDEX('Debt Schedule'!$G$12:$G$108,MATCH(Model!N4,'Debt Schedule'!$B$12:$B$108,0)),0)</f>
        <v>-93495.917786796563</v>
      </c>
      <c r="O80" s="25">
        <f>-IFERROR(INDEX('Debt Schedule'!$G$12:$G$108,MATCH(Model!O4,'Debt Schedule'!$B$12:$B$108,0)),0)</f>
        <v>-93452.327088061604</v>
      </c>
      <c r="P80" s="25">
        <f>-IFERROR(INDEX('Debt Schedule'!$G$12:$G$108,MATCH(Model!P4,'Debt Schedule'!$B$12:$B$108,0)),0)</f>
        <v>-93408.373133503876</v>
      </c>
      <c r="Q80" s="25">
        <f>-IFERROR(INDEX('Debt Schedule'!$G$12:$G$108,MATCH(Model!Q4,'Debt Schedule'!$B$12:$B$108,0)),0)</f>
        <v>-93364.052895991481</v>
      </c>
      <c r="R80" s="25">
        <f>-IFERROR(INDEX('Debt Schedule'!$G$12:$G$108,MATCH(Model!R4,'Debt Schedule'!$B$12:$B$108,0)),0)</f>
        <v>-93319.363323166501</v>
      </c>
      <c r="S80" s="25">
        <f>-IFERROR(INDEX('Debt Schedule'!$G$12:$G$108,MATCH(Model!S4,'Debt Schedule'!$B$12:$B$108,0)),0)</f>
        <v>-93274.301337234647</v>
      </c>
      <c r="T80" s="25">
        <f>-IFERROR(INDEX('Debt Schedule'!$G$12:$G$108,MATCH(Model!T4,'Debt Schedule'!$B$12:$B$108,0)),0)</f>
        <v>-93228.863834753356</v>
      </c>
      <c r="U80" s="25">
        <f>-IFERROR(INDEX('Debt Schedule'!$G$12:$G$108,MATCH(Model!U4,'Debt Schedule'!$B$12:$B$108,0)),0)</f>
        <v>-93183.047686418038</v>
      </c>
      <c r="V80" s="25">
        <f>-IFERROR(INDEX('Debt Schedule'!$G$12:$G$108,MATCH(Model!V4,'Debt Schedule'!$B$12:$B$108,0)),0)</f>
        <v>-93136.849736846605</v>
      </c>
      <c r="W80" s="25">
        <f>-IFERROR(INDEX('Debt Schedule'!$G$12:$G$108,MATCH(Model!W4,'Debt Schedule'!$B$12:$B$108,0)),0)</f>
        <v>-93090.266804362094</v>
      </c>
      <c r="X80" s="25">
        <f>-IFERROR(INDEX('Debt Schedule'!$G$12:$G$108,MATCH(Model!X4,'Debt Schedule'!$B$12:$B$108,0)),0)</f>
        <v>-93043.295680773517</v>
      </c>
      <c r="Y80" s="25">
        <f>-IFERROR(INDEX('Debt Schedule'!$G$12:$G$108,MATCH(Model!Y4,'Debt Schedule'!$B$12:$B$108,0)),0)</f>
        <v>-92995.933131155063</v>
      </c>
      <c r="Z80" s="25">
        <f>-IFERROR(INDEX('Debt Schedule'!$G$12:$G$108,MATCH(Model!Z4,'Debt Schedule'!$B$12:$B$108,0)),0)</f>
        <v>-92948.175893623105</v>
      </c>
      <c r="AA80" s="25">
        <f>-IFERROR(INDEX('Debt Schedule'!$G$12:$G$108,MATCH(Model!AA4,'Debt Schedule'!$B$12:$B$108,0)),0)</f>
        <v>-92900.020679111694</v>
      </c>
      <c r="AB80" s="25">
        <f>-IFERROR(INDEX('Debt Schedule'!$G$12:$G$108,MATCH(Model!AB4,'Debt Schedule'!$B$12:$B$108,0)),0)</f>
        <v>-92851.464171146057</v>
      </c>
      <c r="AC80" s="25">
        <f>-IFERROR(INDEX('Debt Schedule'!$G$12:$G$108,MATCH(Model!AC4,'Debt Schedule'!$B$12:$B$108,0)),0)</f>
        <v>-92802.503025614016</v>
      </c>
      <c r="AD80" s="25">
        <f>-IFERROR(INDEX('Debt Schedule'!$G$12:$G$108,MATCH(Model!AD4,'Debt Schedule'!$B$12:$B$108,0)),0)</f>
        <v>-92753.133870535879</v>
      </c>
      <c r="AE80" s="25">
        <f>-IFERROR(INDEX('Debt Schedule'!$G$12:$G$108,MATCH(Model!AE4,'Debt Schedule'!$B$12:$B$108,0)),0)</f>
        <v>-92703.353305832105</v>
      </c>
      <c r="AF80" s="25">
        <f>-IFERROR(INDEX('Debt Schedule'!$G$12:$G$108,MATCH(Model!AF4,'Debt Schedule'!$B$12:$B$108,0)),0)</f>
        <v>-92653.15790308913</v>
      </c>
      <c r="AG80" s="25">
        <f>-IFERROR(INDEX('Debt Schedule'!$G$12:$G$108,MATCH(Model!AG4,'Debt Schedule'!$B$12:$B$108,0)),0)</f>
        <v>-92602.544205323298</v>
      </c>
      <c r="AH80" s="25">
        <f>-IFERROR(INDEX('Debt Schedule'!$G$12:$G$108,MATCH(Model!AH4,'Debt Schedule'!$B$12:$B$108,0)),0)</f>
        <v>-92551.50872674273</v>
      </c>
      <c r="AI80" s="25">
        <f>-IFERROR(INDEX('Debt Schedule'!$G$12:$G$108,MATCH(Model!AI4,'Debt Schedule'!$B$12:$B$108,0)),0)</f>
        <v>-92500.047952507346</v>
      </c>
      <c r="AJ80" s="25">
        <f>-IFERROR(INDEX('Debt Schedule'!$G$12:$G$108,MATCH(Model!AJ4,'Debt Schedule'!$B$12:$B$108,0)),0)</f>
        <v>-92448.158338486654</v>
      </c>
      <c r="AK80" s="25">
        <f>-IFERROR(INDEX('Debt Schedule'!$G$12:$G$108,MATCH(Model!AK4,'Debt Schedule'!$B$12:$B$108,0)),0)</f>
        <v>-92395.836311015795</v>
      </c>
      <c r="AL80" s="25">
        <f>-IFERROR(INDEX('Debt Schedule'!$G$12:$G$108,MATCH(Model!AL4,'Debt Schedule'!$B$12:$B$108,0)),0)</f>
        <v>-92343.078266649332</v>
      </c>
      <c r="AM80" s="25">
        <f>-IFERROR(INDEX('Debt Schedule'!$G$12:$G$108,MATCH(Model!AM4,'Debt Schedule'!$B$12:$B$108,0)),0)</f>
        <v>-92289.880571913163</v>
      </c>
      <c r="AN80" s="25">
        <f>-IFERROR(INDEX('Debt Schedule'!$G$12:$G$108,MATCH(Model!AN4,'Debt Schedule'!$B$12:$B$108,0)),0)</f>
        <v>-92236.239563054187</v>
      </c>
      <c r="AO80" s="25">
        <f>-IFERROR(INDEX('Debt Schedule'!$G$12:$G$108,MATCH(Model!AO4,'Debt Schedule'!$B$12:$B$108,0)),0)</f>
        <v>0</v>
      </c>
      <c r="AP80" s="25">
        <f>-IFERROR(INDEX('Debt Schedule'!$G$12:$G$108,MATCH(Model!AP4,'Debt Schedule'!$B$12:$B$108,0)),0)</f>
        <v>0</v>
      </c>
      <c r="AQ80" s="25">
        <f>-IFERROR(INDEX('Debt Schedule'!$G$12:$G$108,MATCH(Model!AQ4,'Debt Schedule'!$B$12:$B$108,0)),0)</f>
        <v>0</v>
      </c>
      <c r="AR80" s="25">
        <f>-IFERROR(INDEX('Debt Schedule'!$G$12:$G$108,MATCH(Model!AR4,'Debt Schedule'!$B$12:$B$108,0)),0)</f>
        <v>0</v>
      </c>
      <c r="AS80" s="25">
        <f>-IFERROR(INDEX('Debt Schedule'!$G$12:$G$108,MATCH(Model!AS4,'Debt Schedule'!$B$12:$B$108,0)),0)</f>
        <v>0</v>
      </c>
      <c r="AT80" s="25">
        <f>-IFERROR(INDEX('Debt Schedule'!$G$12:$G$108,MATCH(Model!AT4,'Debt Schedule'!$B$12:$B$108,0)),0)</f>
        <v>0</v>
      </c>
      <c r="AU80" s="25">
        <f>-IFERROR(INDEX('Debt Schedule'!$G$12:$G$108,MATCH(Model!AU4,'Debt Schedule'!$B$12:$B$108,0)),0)</f>
        <v>0</v>
      </c>
      <c r="AV80" s="25">
        <f>-IFERROR(INDEX('Debt Schedule'!$G$12:$G$108,MATCH(Model!AV4,'Debt Schedule'!$B$12:$B$108,0)),0)</f>
        <v>0</v>
      </c>
      <c r="AW80" s="25">
        <f>-IFERROR(INDEX('Debt Schedule'!$G$12:$G$108,MATCH(Model!AW4,'Debt Schedule'!$B$12:$B$108,0)),0)</f>
        <v>0</v>
      </c>
      <c r="AX80" s="25">
        <f>-IFERROR(INDEX('Debt Schedule'!$G$12:$G$108,MATCH(Model!AX4,'Debt Schedule'!$B$12:$B$108,0)),0)</f>
        <v>0</v>
      </c>
      <c r="AY80" s="25">
        <f>-IFERROR(INDEX('Debt Schedule'!$G$12:$G$108,MATCH(Model!AY4,'Debt Schedule'!$B$12:$B$108,0)),0)</f>
        <v>0</v>
      </c>
      <c r="AZ80" s="25">
        <f>-IFERROR(INDEX('Debt Schedule'!$G$12:$G$108,MATCH(Model!AZ4,'Debt Schedule'!$B$12:$B$108,0)),0)</f>
        <v>0</v>
      </c>
      <c r="BA80" s="25">
        <f>-IFERROR(INDEX('Debt Schedule'!$G$12:$G$108,MATCH(Model!BA4,'Debt Schedule'!$B$12:$B$108,0)),0)</f>
        <v>0</v>
      </c>
      <c r="BB80" s="25">
        <f>-IFERROR(INDEX('Debt Schedule'!$G$12:$G$108,MATCH(Model!BB4,'Debt Schedule'!$B$12:$B$108,0)),0)</f>
        <v>0</v>
      </c>
      <c r="BC80" s="25">
        <f>-IFERROR(INDEX('Debt Schedule'!$G$12:$G$108,MATCH(Model!BC4,'Debt Schedule'!$B$12:$B$108,0)),0)</f>
        <v>0</v>
      </c>
      <c r="BD80" s="25">
        <f>-IFERROR(INDEX('Debt Schedule'!$G$12:$G$108,MATCH(Model!BD4,'Debt Schedule'!$B$12:$B$108,0)),0)</f>
        <v>0</v>
      </c>
      <c r="BE80" s="25">
        <f>-IFERROR(INDEX('Debt Schedule'!$G$12:$G$108,MATCH(Model!BE4,'Debt Schedule'!$B$12:$B$108,0)),0)</f>
        <v>0</v>
      </c>
      <c r="BF80" s="25">
        <f>-IFERROR(INDEX('Debt Schedule'!$G$12:$G$108,MATCH(Model!BF4,'Debt Schedule'!$B$12:$B$108,0)),0)</f>
        <v>0</v>
      </c>
      <c r="BG80" s="25">
        <f>-IFERROR(INDEX('Debt Schedule'!$G$12:$G$108,MATCH(Model!BG4,'Debt Schedule'!$B$12:$B$108,0)),0)</f>
        <v>0</v>
      </c>
      <c r="BH80" s="25">
        <f>-IFERROR(INDEX('Debt Schedule'!$G$12:$G$108,MATCH(Model!BH4,'Debt Schedule'!$B$12:$B$108,0)),0)</f>
        <v>0</v>
      </c>
      <c r="BI80" s="25">
        <f>-IFERROR(INDEX('Debt Schedule'!$G$12:$G$108,MATCH(Model!BI4,'Debt Schedule'!$B$12:$B$108,0)),0)</f>
        <v>0</v>
      </c>
      <c r="BJ80" s="25">
        <f>-IFERROR(INDEX('Debt Schedule'!$G$12:$G$108,MATCH(Model!BJ4,'Debt Schedule'!$B$12:$B$108,0)),0)</f>
        <v>0</v>
      </c>
      <c r="BK80" s="25">
        <f>-IFERROR(INDEX('Debt Schedule'!$G$12:$G$108,MATCH(Model!BK4,'Debt Schedule'!$B$12:$B$108,0)),0)</f>
        <v>0</v>
      </c>
      <c r="BL80" s="25">
        <f>-IFERROR(INDEX('Debt Schedule'!$G$12:$G$108,MATCH(Model!BL4,'Debt Schedule'!$B$12:$B$108,0)),0)</f>
        <v>0</v>
      </c>
      <c r="BM80" s="25">
        <f>-IFERROR(INDEX('Debt Schedule'!$G$12:$G$108,MATCH(Model!BM4,'Debt Schedule'!$B$12:$B$108,0)),0)</f>
        <v>0</v>
      </c>
      <c r="BN80" s="25">
        <f>-IFERROR(INDEX('Debt Schedule'!$G$12:$G$108,MATCH(Model!BN4,'Debt Schedule'!$B$12:$B$108,0)),0)</f>
        <v>0</v>
      </c>
      <c r="BO80" s="25">
        <f>-IFERROR(INDEX('Debt Schedule'!$G$12:$G$108,MATCH(Model!BO4,'Debt Schedule'!$B$12:$B$108,0)),0)</f>
        <v>0</v>
      </c>
      <c r="BP80" s="25">
        <f>-IFERROR(INDEX('Debt Schedule'!$G$12:$G$108,MATCH(Model!BP4,'Debt Schedule'!$B$12:$B$108,0)),0)</f>
        <v>0</v>
      </c>
      <c r="BQ80" s="25">
        <f>-IFERROR(INDEX('Debt Schedule'!$G$12:$G$108,MATCH(Model!BQ4,'Debt Schedule'!$B$12:$B$108,0)),0)</f>
        <v>0</v>
      </c>
      <c r="BR80" s="25">
        <f>-IFERROR(INDEX('Debt Schedule'!$G$12:$G$108,MATCH(Model!BR4,'Debt Schedule'!$B$12:$B$108,0)),0)</f>
        <v>0</v>
      </c>
      <c r="BS80" s="25">
        <f>-IFERROR(INDEX('Debt Schedule'!$G$12:$G$108,MATCH(Model!BS4,'Debt Schedule'!$B$12:$B$108,0)),0)</f>
        <v>0</v>
      </c>
      <c r="BT80" s="25">
        <f>-IFERROR(INDEX('Debt Schedule'!$G$12:$G$108,MATCH(Model!BT4,'Debt Schedule'!$B$12:$B$108,0)),0)</f>
        <v>0</v>
      </c>
      <c r="BU80" s="25">
        <f>-IFERROR(INDEX('Debt Schedule'!$G$12:$G$108,MATCH(Model!BU4,'Debt Schedule'!$B$12:$B$108,0)),0)</f>
        <v>0</v>
      </c>
      <c r="BV80" s="25">
        <f>-IFERROR(INDEX('Debt Schedule'!$G$12:$G$108,MATCH(Model!BV4,'Debt Schedule'!$B$12:$B$108,0)),0)</f>
        <v>0</v>
      </c>
      <c r="BW80" s="25">
        <f>-IFERROR(INDEX('Debt Schedule'!$G$12:$G$108,MATCH(Model!BW4,'Debt Schedule'!$B$12:$B$108,0)),0)</f>
        <v>0</v>
      </c>
      <c r="BX80" s="25">
        <f>-IFERROR(INDEX('Debt Schedule'!$G$12:$G$108,MATCH(Model!BX4,'Debt Schedule'!$B$12:$B$108,0)),0)</f>
        <v>0</v>
      </c>
      <c r="BY80" s="25">
        <f>-IFERROR(INDEX('Debt Schedule'!$G$12:$G$108,MATCH(Model!BY4,'Debt Schedule'!$B$12:$B$108,0)),0)</f>
        <v>0</v>
      </c>
      <c r="BZ80" s="25">
        <f>-IFERROR(INDEX('Debt Schedule'!$G$12:$G$108,MATCH(Model!BZ4,'Debt Schedule'!$B$12:$B$108,0)),0)</f>
        <v>0</v>
      </c>
      <c r="CA80" s="25">
        <f>-IFERROR(INDEX('Debt Schedule'!$G$12:$G$108,MATCH(Model!CA4,'Debt Schedule'!$B$12:$B$108,0)),0)</f>
        <v>0</v>
      </c>
      <c r="CB80" s="25">
        <f>-IFERROR(INDEX('Debt Schedule'!$G$12:$G$108,MATCH(Model!CB4,'Debt Schedule'!$B$12:$B$108,0)),0)</f>
        <v>0</v>
      </c>
      <c r="CC80" s="25">
        <f>-IFERROR(INDEX('Debt Schedule'!$G$12:$G$108,MATCH(Model!CC4,'Debt Schedule'!$B$12:$B$108,0)),0)</f>
        <v>0</v>
      </c>
      <c r="CD80" s="25">
        <f>-IFERROR(INDEX('Debt Schedule'!$G$12:$G$108,MATCH(Model!CD4,'Debt Schedule'!$B$12:$B$108,0)),0)</f>
        <v>0</v>
      </c>
      <c r="CE80" s="25">
        <f>-IFERROR(INDEX('Debt Schedule'!$G$12:$G$108,MATCH(Model!CE4,'Debt Schedule'!$B$12:$B$108,0)),0)</f>
        <v>0</v>
      </c>
      <c r="CF80" s="25">
        <f>-IFERROR(INDEX('Debt Schedule'!$G$12:$G$108,MATCH(Model!CF4,'Debt Schedule'!$B$12:$B$108,0)),0)</f>
        <v>0</v>
      </c>
      <c r="CG80" s="25">
        <f>-IFERROR(INDEX('Debt Schedule'!$G$12:$G$108,MATCH(Model!CG4,'Debt Schedule'!$B$12:$B$108,0)),0)</f>
        <v>0</v>
      </c>
      <c r="CH80" s="25">
        <f>-IFERROR(INDEX('Debt Schedule'!$G$12:$G$108,MATCH(Model!CH4,'Debt Schedule'!$B$12:$B$108,0)),0)</f>
        <v>0</v>
      </c>
      <c r="CI80" s="25">
        <f>-IFERROR(INDEX('Debt Schedule'!$G$12:$G$108,MATCH(Model!CI4,'Debt Schedule'!$B$12:$B$108,0)),0)</f>
        <v>0</v>
      </c>
      <c r="CJ80" s="25">
        <f>-IFERROR(INDEX('Debt Schedule'!$G$12:$G$108,MATCH(Model!CJ4,'Debt Schedule'!$B$12:$B$108,0)),0)</f>
        <v>0</v>
      </c>
      <c r="CK80" s="25">
        <f>-IFERROR(INDEX('Debt Schedule'!$G$12:$G$108,MATCH(Model!CK4,'Debt Schedule'!$B$12:$B$108,0)),0)</f>
        <v>0</v>
      </c>
      <c r="CL80" s="25">
        <f>-IFERROR(INDEX('Debt Schedule'!$G$12:$G$108,MATCH(Model!CL4,'Debt Schedule'!$B$12:$B$108,0)),0)</f>
        <v>0</v>
      </c>
      <c r="CM80" s="25">
        <f>-IFERROR(INDEX('Debt Schedule'!$G$12:$G$108,MATCH(Model!CM4,'Debt Schedule'!$B$12:$B$108,0)),0)</f>
        <v>0</v>
      </c>
      <c r="CN80" s="25">
        <f>-IFERROR(INDEX('Debt Schedule'!$G$12:$G$108,MATCH(Model!CN4,'Debt Schedule'!$B$12:$B$108,0)),0)</f>
        <v>0</v>
      </c>
      <c r="CO80" s="25">
        <f>-IFERROR(INDEX('Debt Schedule'!$G$12:$G$108,MATCH(Model!CO4,'Debt Schedule'!$B$12:$B$108,0)),0)</f>
        <v>0</v>
      </c>
      <c r="CP80" s="25">
        <f>-IFERROR(INDEX('Debt Schedule'!$G$12:$G$108,MATCH(Model!CP4,'Debt Schedule'!$B$12:$B$108,0)),0)</f>
        <v>0</v>
      </c>
      <c r="CQ80" s="25">
        <f>-IFERROR(INDEX('Debt Schedule'!$G$12:$G$108,MATCH(Model!CQ4,'Debt Schedule'!$B$12:$B$108,0)),0)</f>
        <v>0</v>
      </c>
      <c r="CR80" s="25">
        <f>-IFERROR(INDEX('Debt Schedule'!$G$12:$G$108,MATCH(Model!CR4,'Debt Schedule'!$B$12:$B$108,0)),0)</f>
        <v>0</v>
      </c>
      <c r="CS80" s="25">
        <f>-IFERROR(INDEX('Debt Schedule'!$G$12:$G$108,MATCH(Model!CS4,'Debt Schedule'!$B$12:$B$108,0)),0)</f>
        <v>0</v>
      </c>
      <c r="CT80" s="25">
        <f>-IFERROR(INDEX('Debt Schedule'!$G$12:$G$108,MATCH(Model!CT4,'Debt Schedule'!$B$12:$B$108,0)),0)</f>
        <v>0</v>
      </c>
      <c r="CU80" s="25">
        <f>-IFERROR(INDEX('Debt Schedule'!$G$12:$G$108,MATCH(Model!CU4,'Debt Schedule'!$B$12:$B$108,0)),0)</f>
        <v>0</v>
      </c>
      <c r="CV80" s="25">
        <f>-IFERROR(INDEX('Debt Schedule'!$G$12:$G$108,MATCH(Model!CV4,'Debt Schedule'!$B$12:$B$108,0)),0)</f>
        <v>0</v>
      </c>
      <c r="CW80" s="25">
        <f>-IFERROR(INDEX('Debt Schedule'!$G$12:$G$108,MATCH(Model!CW4,'Debt Schedule'!$B$12:$B$108,0)),0)</f>
        <v>0</v>
      </c>
      <c r="CX80" s="25">
        <f>-IFERROR(INDEX('Debt Schedule'!$G$12:$G$108,MATCH(Model!CX4,'Debt Schedule'!$B$12:$B$108,0)),0)</f>
        <v>0</v>
      </c>
      <c r="CY80" s="25">
        <f>-IFERROR(INDEX('Debt Schedule'!$G$12:$G$108,MATCH(Model!CY4,'Debt Schedule'!$B$12:$B$108,0)),0)</f>
        <v>0</v>
      </c>
      <c r="CZ80" s="25">
        <f>-IFERROR(INDEX('Debt Schedule'!$G$12:$G$108,MATCH(Model!CZ4,'Debt Schedule'!$B$12:$B$108,0)),0)</f>
        <v>0</v>
      </c>
      <c r="DA80" s="25">
        <f>-IFERROR(INDEX('Debt Schedule'!$G$12:$G$108,MATCH(Model!DA4,'Debt Schedule'!$B$12:$B$108,0)),0)</f>
        <v>0</v>
      </c>
      <c r="DB80" s="25">
        <f>-IFERROR(INDEX('Debt Schedule'!$G$12:$G$108,MATCH(Model!DB4,'Debt Schedule'!$B$12:$B$108,0)),0)</f>
        <v>0</v>
      </c>
      <c r="DC80" s="25">
        <f>-IFERROR(INDEX('Debt Schedule'!$G$12:$G$108,MATCH(Model!DC4,'Debt Schedule'!$B$12:$B$108,0)),0)</f>
        <v>0</v>
      </c>
      <c r="DD80" s="25">
        <f>-IFERROR(INDEX('Debt Schedule'!$G$12:$G$108,MATCH(Model!DD4,'Debt Schedule'!$B$12:$B$108,0)),0)</f>
        <v>0</v>
      </c>
      <c r="DE80" s="25">
        <f>-IFERROR(INDEX('Debt Schedule'!$G$12:$G$108,MATCH(Model!DE4,'Debt Schedule'!$B$12:$B$108,0)),0)</f>
        <v>0</v>
      </c>
      <c r="DF80" s="25">
        <f>-IFERROR(INDEX('Debt Schedule'!$G$12:$G$108,MATCH(Model!DF4,'Debt Schedule'!$B$12:$B$108,0)),0)</f>
        <v>0</v>
      </c>
      <c r="DG80" s="25">
        <f>-IFERROR(INDEX('Debt Schedule'!$G$12:$G$108,MATCH(Model!DG4,'Debt Schedule'!$B$12:$B$108,0)),0)</f>
        <v>0</v>
      </c>
      <c r="DH80" s="25">
        <f>-IFERROR(INDEX('Debt Schedule'!$G$12:$G$108,MATCH(Model!DH4,'Debt Schedule'!$B$12:$B$108,0)),0)</f>
        <v>0</v>
      </c>
      <c r="DI80" s="25">
        <f>-IFERROR(INDEX('Debt Schedule'!$G$12:$G$108,MATCH(Model!DI4,'Debt Schedule'!$B$12:$B$108,0)),0)</f>
        <v>0</v>
      </c>
      <c r="DJ80" s="25">
        <f>-IFERROR(INDEX('Debt Schedule'!$G$12:$G$108,MATCH(Model!DJ4,'Debt Schedule'!$B$12:$B$108,0)),0)</f>
        <v>0</v>
      </c>
      <c r="DK80" s="25">
        <f>-IFERROR(INDEX('Debt Schedule'!$G$12:$G$108,MATCH(Model!DK4,'Debt Schedule'!$B$12:$B$108,0)),0)</f>
        <v>0</v>
      </c>
      <c r="DL80" s="25">
        <f>-IFERROR(INDEX('Debt Schedule'!$G$12:$G$108,MATCH(Model!DL4,'Debt Schedule'!$B$12:$B$108,0)),0)</f>
        <v>0</v>
      </c>
      <c r="DM80" s="25">
        <f>-IFERROR(INDEX('Debt Schedule'!$G$12:$G$108,MATCH(Model!DM4,'Debt Schedule'!$B$12:$B$108,0)),0)</f>
        <v>0</v>
      </c>
      <c r="DN80" s="25">
        <f>-IFERROR(INDEX('Debt Schedule'!$G$12:$G$108,MATCH(Model!DN4,'Debt Schedule'!$B$12:$B$108,0)),0)</f>
        <v>0</v>
      </c>
      <c r="DO80" s="25">
        <f>-IFERROR(INDEX('Debt Schedule'!$G$12:$G$108,MATCH(Model!DO4,'Debt Schedule'!$B$12:$B$108,0)),0)</f>
        <v>0</v>
      </c>
      <c r="DP80" s="25">
        <f>-IFERROR(INDEX('Debt Schedule'!$G$12:$G$108,MATCH(Model!DP4,'Debt Schedule'!$B$12:$B$108,0)),0)</f>
        <v>0</v>
      </c>
      <c r="DQ80" s="25">
        <f>-IFERROR(INDEX('Debt Schedule'!$G$12:$G$108,MATCH(Model!DQ4,'Debt Schedule'!$B$12:$B$108,0)),0)</f>
        <v>0</v>
      </c>
      <c r="DR80" s="25">
        <f>-IFERROR(INDEX('Debt Schedule'!$G$12:$G$108,MATCH(Model!DR4,'Debt Schedule'!$B$12:$B$108,0)),0)</f>
        <v>0</v>
      </c>
      <c r="DS80" s="25">
        <f>-IFERROR(INDEX('Debt Schedule'!$G$12:$G$108,MATCH(Model!DS4,'Debt Schedule'!$B$12:$B$108,0)),0)</f>
        <v>0</v>
      </c>
      <c r="DT80" s="25">
        <f>-IFERROR(INDEX('Debt Schedule'!$G$12:$G$108,MATCH(Model!DT4,'Debt Schedule'!$B$12:$B$108,0)),0)</f>
        <v>0</v>
      </c>
      <c r="DU80" s="25">
        <f>-IFERROR(INDEX('Debt Schedule'!$G$12:$G$108,MATCH(Model!DU4,'Debt Schedule'!$B$12:$B$108,0)),0)</f>
        <v>0</v>
      </c>
      <c r="DV80" s="25">
        <f>-IFERROR(INDEX('Debt Schedule'!$G$12:$G$108,MATCH(Model!DV4,'Debt Schedule'!$B$12:$B$108,0)),0)</f>
        <v>0</v>
      </c>
      <c r="DW80" s="25">
        <f>-IFERROR(INDEX('Debt Schedule'!$G$12:$G$108,MATCH(Model!DW4,'Debt Schedule'!$B$12:$B$108,0)),0)</f>
        <v>0</v>
      </c>
      <c r="DX80" s="25">
        <f>-IFERROR(INDEX('Debt Schedule'!$G$12:$G$108,MATCH(Model!DX4,'Debt Schedule'!$B$12:$B$108,0)),0)</f>
        <v>0</v>
      </c>
      <c r="DY80" s="25">
        <f>-IFERROR(INDEX('Debt Schedule'!$G$12:$G$108,MATCH(Model!DY4,'Debt Schedule'!$B$12:$B$108,0)),0)</f>
        <v>0</v>
      </c>
      <c r="DZ80" s="25">
        <f>-IFERROR(INDEX('Debt Schedule'!$G$12:$G$108,MATCH(Model!DZ4,'Debt Schedule'!$B$12:$B$108,0)),0)</f>
        <v>0</v>
      </c>
      <c r="EA80" s="25">
        <f>-IFERROR(INDEX('Debt Schedule'!$G$12:$G$108,MATCH(Model!EA4,'Debt Schedule'!$B$12:$B$108,0)),0)</f>
        <v>0</v>
      </c>
      <c r="EB80" s="25">
        <f>-IFERROR(INDEX('Debt Schedule'!$G$12:$G$108,MATCH(Model!EB4,'Debt Schedule'!$B$12:$B$108,0)),0)</f>
        <v>0</v>
      </c>
      <c r="EC80" s="25">
        <f>-IFERROR(INDEX('Debt Schedule'!$G$12:$G$108,MATCH(Model!EC4,'Debt Schedule'!$B$12:$B$108,0)),0)</f>
        <v>0</v>
      </c>
      <c r="ED80" s="25">
        <f>-IFERROR(INDEX('Debt Schedule'!$G$12:$G$108,MATCH(Model!ED4,'Debt Schedule'!$B$12:$B$108,0)),0)</f>
        <v>0</v>
      </c>
      <c r="EE80" s="25">
        <f>-IFERROR(INDEX('Debt Schedule'!$G$12:$G$108,MATCH(Model!EE4,'Debt Schedule'!$B$12:$B$108,0)),0)</f>
        <v>0</v>
      </c>
      <c r="EF80" s="25">
        <f>-IFERROR(INDEX('Debt Schedule'!$G$12:$G$108,MATCH(Model!EF4,'Debt Schedule'!$B$12:$B$108,0)),0)</f>
        <v>0</v>
      </c>
      <c r="EG80" s="25">
        <f>-IFERROR(INDEX('Debt Schedule'!$G$12:$G$108,MATCH(Model!EG4,'Debt Schedule'!$B$12:$B$108,0)),0)</f>
        <v>0</v>
      </c>
      <c r="EH80" s="25">
        <f>-IFERROR(INDEX('Debt Schedule'!$G$12:$G$108,MATCH(Model!EH4,'Debt Schedule'!$B$12:$B$108,0)),0)</f>
        <v>0</v>
      </c>
      <c r="EI80" s="25">
        <f>-IFERROR(INDEX('Debt Schedule'!$G$12:$G$108,MATCH(Model!EI4,'Debt Schedule'!$B$12:$B$108,0)),0)</f>
        <v>0</v>
      </c>
      <c r="EM80" s="1" t="s">
        <v>191</v>
      </c>
    </row>
    <row r="81" spans="2:143" x14ac:dyDescent="0.45"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24"/>
      <c r="ED81" s="24"/>
      <c r="EE81" s="24"/>
      <c r="EF81" s="24"/>
      <c r="EG81" s="24"/>
      <c r="EH81" s="24"/>
      <c r="EI81" s="24"/>
      <c r="EM81" s="1" t="s">
        <v>191</v>
      </c>
    </row>
    <row r="82" spans="2:143" x14ac:dyDescent="0.45">
      <c r="D82" s="8" t="s">
        <v>167</v>
      </c>
      <c r="E82" s="8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/>
      <c r="DI82" s="24"/>
      <c r="DJ82" s="24"/>
      <c r="DK82" s="24"/>
      <c r="DL82" s="24"/>
      <c r="DM82" s="24"/>
      <c r="DN82" s="24"/>
      <c r="DO82" s="24"/>
      <c r="DP82" s="24"/>
      <c r="DQ82" s="24"/>
      <c r="DR82" s="24"/>
      <c r="DS82" s="24"/>
      <c r="DT82" s="24"/>
      <c r="DU82" s="24"/>
      <c r="DV82" s="24"/>
      <c r="DW82" s="24"/>
      <c r="DX82" s="24"/>
      <c r="DY82" s="24"/>
      <c r="DZ82" s="24"/>
      <c r="EA82" s="24"/>
      <c r="EB82" s="24"/>
      <c r="EC82" s="24"/>
      <c r="ED82" s="24"/>
      <c r="EE82" s="24"/>
      <c r="EF82" s="24"/>
      <c r="EG82" s="24"/>
      <c r="EH82" s="24"/>
      <c r="EI82" s="24"/>
      <c r="EM82" s="1" t="s">
        <v>191</v>
      </c>
    </row>
    <row r="83" spans="2:143" x14ac:dyDescent="0.45">
      <c r="D83" s="1" t="s">
        <v>46</v>
      </c>
      <c r="G83" s="40">
        <f>+Assumptions!$G$37</f>
        <v>6.18393E-2</v>
      </c>
      <c r="H83" s="40">
        <f>+Assumptions!$G$37</f>
        <v>6.18393E-2</v>
      </c>
      <c r="I83" s="40">
        <f>+Assumptions!$G$37</f>
        <v>6.18393E-2</v>
      </c>
      <c r="J83" s="40">
        <f>+Assumptions!$G$37</f>
        <v>6.18393E-2</v>
      </c>
      <c r="K83" s="40">
        <f>+Assumptions!$G$37</f>
        <v>6.18393E-2</v>
      </c>
      <c r="L83" s="40">
        <f>+Assumptions!$G$37</f>
        <v>6.18393E-2</v>
      </c>
      <c r="M83" s="40">
        <f>+Assumptions!$G$37</f>
        <v>6.18393E-2</v>
      </c>
      <c r="N83" s="40">
        <f>+Assumptions!$G$37</f>
        <v>6.18393E-2</v>
      </c>
      <c r="O83" s="40">
        <f>+Assumptions!$G$37</f>
        <v>6.18393E-2</v>
      </c>
      <c r="P83" s="40">
        <f>+Assumptions!$G$37</f>
        <v>6.18393E-2</v>
      </c>
      <c r="Q83" s="40">
        <f>+Assumptions!$G$37</f>
        <v>6.18393E-2</v>
      </c>
      <c r="R83" s="40">
        <f>+Assumptions!$G$37</f>
        <v>6.18393E-2</v>
      </c>
      <c r="S83" s="40">
        <f>+Assumptions!$G$37</f>
        <v>6.18393E-2</v>
      </c>
      <c r="T83" s="40">
        <f>+Assumptions!$G$37</f>
        <v>6.18393E-2</v>
      </c>
      <c r="U83" s="40">
        <f>+Assumptions!$G$37</f>
        <v>6.18393E-2</v>
      </c>
      <c r="V83" s="40">
        <f>+Assumptions!$G$37</f>
        <v>6.18393E-2</v>
      </c>
      <c r="W83" s="40">
        <f>+Assumptions!$G$37</f>
        <v>6.18393E-2</v>
      </c>
      <c r="X83" s="40">
        <f>+Assumptions!$G$37</f>
        <v>6.18393E-2</v>
      </c>
      <c r="Y83" s="40">
        <f>+Assumptions!$G$37</f>
        <v>6.18393E-2</v>
      </c>
      <c r="Z83" s="40">
        <f>+Assumptions!$G$37</f>
        <v>6.18393E-2</v>
      </c>
      <c r="AA83" s="40">
        <f>+Assumptions!$G$37</f>
        <v>6.18393E-2</v>
      </c>
      <c r="AB83" s="40">
        <f>+Assumptions!$G$37</f>
        <v>6.18393E-2</v>
      </c>
      <c r="AC83" s="40">
        <f>+Assumptions!$G$37</f>
        <v>6.18393E-2</v>
      </c>
      <c r="AD83" s="40">
        <f>+Assumptions!$G$37</f>
        <v>6.18393E-2</v>
      </c>
      <c r="AE83" s="40">
        <f>+Assumptions!$G$37</f>
        <v>6.18393E-2</v>
      </c>
      <c r="AF83" s="40">
        <f>+Assumptions!$G$37</f>
        <v>6.18393E-2</v>
      </c>
      <c r="AG83" s="40">
        <f>+Assumptions!$G$37</f>
        <v>6.18393E-2</v>
      </c>
      <c r="AH83" s="40">
        <f>+Assumptions!$G$37</f>
        <v>6.18393E-2</v>
      </c>
      <c r="AI83" s="40">
        <f>+Assumptions!$G$37</f>
        <v>6.18393E-2</v>
      </c>
      <c r="AJ83" s="40">
        <f>+Assumptions!$G$37</f>
        <v>6.18393E-2</v>
      </c>
      <c r="AK83" s="40">
        <f>+Assumptions!$G$37</f>
        <v>6.18393E-2</v>
      </c>
      <c r="AL83" s="40">
        <f>+Assumptions!$G$37</f>
        <v>6.18393E-2</v>
      </c>
      <c r="AM83" s="40">
        <f>+Assumptions!$G$37</f>
        <v>6.18393E-2</v>
      </c>
      <c r="AN83" s="40">
        <f>+Assumptions!$G$37</f>
        <v>6.18393E-2</v>
      </c>
      <c r="AO83" s="40">
        <f>+Assumptions!$G$37</f>
        <v>6.18393E-2</v>
      </c>
      <c r="AP83" s="40">
        <f>+Assumptions!$G$37</f>
        <v>6.18393E-2</v>
      </c>
      <c r="AQ83" s="40">
        <f>+Assumptions!$G$37</f>
        <v>6.18393E-2</v>
      </c>
      <c r="AR83" s="40">
        <f>+Assumptions!$G$37</f>
        <v>6.18393E-2</v>
      </c>
      <c r="AS83" s="40">
        <f>+Assumptions!$G$37</f>
        <v>6.18393E-2</v>
      </c>
      <c r="AT83" s="40">
        <f>+Assumptions!$G$37</f>
        <v>6.18393E-2</v>
      </c>
      <c r="AU83" s="40">
        <f>+Assumptions!$G$37</f>
        <v>6.18393E-2</v>
      </c>
      <c r="AV83" s="40">
        <f>+Assumptions!$G$37</f>
        <v>6.18393E-2</v>
      </c>
      <c r="AW83" s="40">
        <f>+Assumptions!$G$37</f>
        <v>6.18393E-2</v>
      </c>
      <c r="AX83" s="40">
        <f>+Assumptions!$G$37</f>
        <v>6.18393E-2</v>
      </c>
      <c r="AY83" s="40">
        <f>+Assumptions!$G$37</f>
        <v>6.18393E-2</v>
      </c>
      <c r="AZ83" s="40">
        <f>+Assumptions!$G$37</f>
        <v>6.18393E-2</v>
      </c>
      <c r="BA83" s="40">
        <f>+Assumptions!$G$37</f>
        <v>6.18393E-2</v>
      </c>
      <c r="BB83" s="40">
        <f>+Assumptions!$G$37</f>
        <v>6.18393E-2</v>
      </c>
      <c r="BC83" s="40">
        <f>+Assumptions!$G$37</f>
        <v>6.18393E-2</v>
      </c>
      <c r="BD83" s="40">
        <f>+Assumptions!$G$37</f>
        <v>6.18393E-2</v>
      </c>
      <c r="BE83" s="40">
        <f>+Assumptions!$G$37</f>
        <v>6.18393E-2</v>
      </c>
      <c r="BF83" s="40">
        <f>+Assumptions!$G$37</f>
        <v>6.18393E-2</v>
      </c>
      <c r="BG83" s="40">
        <f>+Assumptions!$G$37</f>
        <v>6.18393E-2</v>
      </c>
      <c r="BH83" s="40">
        <f>+Assumptions!$G$37</f>
        <v>6.18393E-2</v>
      </c>
      <c r="BI83" s="40">
        <f>+Assumptions!$G$37</f>
        <v>6.18393E-2</v>
      </c>
      <c r="BJ83" s="40">
        <f>+Assumptions!$G$37</f>
        <v>6.18393E-2</v>
      </c>
      <c r="BK83" s="40">
        <f>+Assumptions!$G$37</f>
        <v>6.18393E-2</v>
      </c>
      <c r="BL83" s="40">
        <f>+Assumptions!$G$37</f>
        <v>6.18393E-2</v>
      </c>
      <c r="BM83" s="40">
        <f>+Assumptions!$G$37</f>
        <v>6.18393E-2</v>
      </c>
      <c r="BN83" s="40">
        <f>+Assumptions!$G$37</f>
        <v>6.18393E-2</v>
      </c>
      <c r="BO83" s="40">
        <f>+Assumptions!$G$37</f>
        <v>6.18393E-2</v>
      </c>
      <c r="BP83" s="40">
        <f>+Assumptions!$G$37</f>
        <v>6.18393E-2</v>
      </c>
      <c r="BQ83" s="40">
        <f>+Assumptions!$G$37</f>
        <v>6.18393E-2</v>
      </c>
      <c r="BR83" s="40">
        <f>+Assumptions!$G$37</f>
        <v>6.18393E-2</v>
      </c>
      <c r="BS83" s="40">
        <f>+Assumptions!$G$37</f>
        <v>6.18393E-2</v>
      </c>
      <c r="BT83" s="40">
        <f>+Assumptions!$G$37</f>
        <v>6.18393E-2</v>
      </c>
      <c r="BU83" s="40">
        <f>+Assumptions!$G$37</f>
        <v>6.18393E-2</v>
      </c>
      <c r="BV83" s="40">
        <f>+Assumptions!$G$37</f>
        <v>6.18393E-2</v>
      </c>
      <c r="BW83" s="40">
        <f>+Assumptions!$G$37</f>
        <v>6.18393E-2</v>
      </c>
      <c r="BX83" s="40">
        <f>+Assumptions!$G$37</f>
        <v>6.18393E-2</v>
      </c>
      <c r="BY83" s="40">
        <f>+Assumptions!$G$37</f>
        <v>6.18393E-2</v>
      </c>
      <c r="BZ83" s="40">
        <f>+Assumptions!$G$37</f>
        <v>6.18393E-2</v>
      </c>
      <c r="CA83" s="40">
        <f>+Assumptions!$G$37</f>
        <v>6.18393E-2</v>
      </c>
      <c r="CB83" s="40">
        <f>+Assumptions!$G$37</f>
        <v>6.18393E-2</v>
      </c>
      <c r="CC83" s="40">
        <f>+Assumptions!$G$37</f>
        <v>6.18393E-2</v>
      </c>
      <c r="CD83" s="40">
        <f>+Assumptions!$G$37</f>
        <v>6.18393E-2</v>
      </c>
      <c r="CE83" s="40">
        <f>+Assumptions!$G$37</f>
        <v>6.18393E-2</v>
      </c>
      <c r="CF83" s="40">
        <f>+Assumptions!$G$37</f>
        <v>6.18393E-2</v>
      </c>
      <c r="CG83" s="40">
        <f>+Assumptions!$G$37</f>
        <v>6.18393E-2</v>
      </c>
      <c r="CH83" s="40">
        <f>+Assumptions!$G$37</f>
        <v>6.18393E-2</v>
      </c>
      <c r="CI83" s="40">
        <f>+Assumptions!$G$37</f>
        <v>6.18393E-2</v>
      </c>
      <c r="CJ83" s="40">
        <f>+Assumptions!$G$37</f>
        <v>6.18393E-2</v>
      </c>
      <c r="CK83" s="40">
        <f>+Assumptions!$G$37</f>
        <v>6.18393E-2</v>
      </c>
      <c r="CL83" s="40">
        <f>+Assumptions!$G$37</f>
        <v>6.18393E-2</v>
      </c>
      <c r="CM83" s="40">
        <f>+Assumptions!$G$37</f>
        <v>6.18393E-2</v>
      </c>
      <c r="CN83" s="40">
        <f>+Assumptions!$G$37</f>
        <v>6.18393E-2</v>
      </c>
      <c r="CO83" s="40">
        <f>+Assumptions!$G$37</f>
        <v>6.18393E-2</v>
      </c>
      <c r="CP83" s="40">
        <f>+Assumptions!$G$37</f>
        <v>6.18393E-2</v>
      </c>
      <c r="CQ83" s="40">
        <f>+Assumptions!$G$37</f>
        <v>6.18393E-2</v>
      </c>
      <c r="CR83" s="40">
        <f>+Assumptions!$G$37</f>
        <v>6.18393E-2</v>
      </c>
      <c r="CS83" s="40">
        <f>+Assumptions!$G$37</f>
        <v>6.18393E-2</v>
      </c>
      <c r="CT83" s="40">
        <f>+Assumptions!$G$37</f>
        <v>6.18393E-2</v>
      </c>
      <c r="CU83" s="40">
        <f>+Assumptions!$G$37</f>
        <v>6.18393E-2</v>
      </c>
      <c r="CV83" s="40">
        <f>+Assumptions!$G$37</f>
        <v>6.18393E-2</v>
      </c>
      <c r="CW83" s="40">
        <f>+Assumptions!$G$37</f>
        <v>6.18393E-2</v>
      </c>
      <c r="CX83" s="40">
        <f>+Assumptions!$G$37</f>
        <v>6.18393E-2</v>
      </c>
      <c r="CY83" s="40">
        <f>+Assumptions!$G$37</f>
        <v>6.18393E-2</v>
      </c>
      <c r="CZ83" s="40">
        <f>+Assumptions!$G$37</f>
        <v>6.18393E-2</v>
      </c>
      <c r="DA83" s="40">
        <f>+Assumptions!$G$37</f>
        <v>6.18393E-2</v>
      </c>
      <c r="DB83" s="40">
        <f>+Assumptions!$G$37</f>
        <v>6.18393E-2</v>
      </c>
      <c r="DC83" s="40">
        <f>+Assumptions!$G$37</f>
        <v>6.18393E-2</v>
      </c>
      <c r="DD83" s="40">
        <f>+Assumptions!$G$37</f>
        <v>6.18393E-2</v>
      </c>
      <c r="DE83" s="40">
        <f>+Assumptions!$G$37</f>
        <v>6.18393E-2</v>
      </c>
      <c r="DF83" s="40">
        <f>+Assumptions!$G$37</f>
        <v>6.18393E-2</v>
      </c>
      <c r="DG83" s="40">
        <f>+Assumptions!$G$37</f>
        <v>6.18393E-2</v>
      </c>
      <c r="DH83" s="40">
        <f>+Assumptions!$G$37</f>
        <v>6.18393E-2</v>
      </c>
      <c r="DI83" s="40">
        <f>+Assumptions!$G$37</f>
        <v>6.18393E-2</v>
      </c>
      <c r="DJ83" s="40">
        <f>+Assumptions!$G$37</f>
        <v>6.18393E-2</v>
      </c>
      <c r="DK83" s="40">
        <f>+Assumptions!$G$37</f>
        <v>6.18393E-2</v>
      </c>
      <c r="DL83" s="40">
        <f>+Assumptions!$G$37</f>
        <v>6.18393E-2</v>
      </c>
      <c r="DM83" s="40">
        <f>+Assumptions!$G$37</f>
        <v>6.18393E-2</v>
      </c>
      <c r="DN83" s="40">
        <f>+Assumptions!$G$37</f>
        <v>6.18393E-2</v>
      </c>
      <c r="DO83" s="40">
        <f>+Assumptions!$G$37</f>
        <v>6.18393E-2</v>
      </c>
      <c r="DP83" s="40">
        <f>+Assumptions!$G$37</f>
        <v>6.18393E-2</v>
      </c>
      <c r="DQ83" s="40">
        <f>+Assumptions!$G$37</f>
        <v>6.18393E-2</v>
      </c>
      <c r="DR83" s="40">
        <f>+Assumptions!$G$37</f>
        <v>6.18393E-2</v>
      </c>
      <c r="DS83" s="40">
        <f>+Assumptions!$G$37</f>
        <v>6.18393E-2</v>
      </c>
      <c r="DT83" s="40">
        <f>+Assumptions!$G$37</f>
        <v>6.18393E-2</v>
      </c>
      <c r="DU83" s="40">
        <f>+Assumptions!$G$37</f>
        <v>6.18393E-2</v>
      </c>
      <c r="DV83" s="40">
        <f>+Assumptions!$G$37</f>
        <v>6.18393E-2</v>
      </c>
      <c r="DW83" s="40">
        <f>+Assumptions!$G$37</f>
        <v>6.18393E-2</v>
      </c>
      <c r="DX83" s="40">
        <f>+Assumptions!$G$37</f>
        <v>6.18393E-2</v>
      </c>
      <c r="DY83" s="40">
        <f>+Assumptions!$G$37</f>
        <v>6.18393E-2</v>
      </c>
      <c r="DZ83" s="40">
        <f>+Assumptions!$G$37</f>
        <v>6.18393E-2</v>
      </c>
      <c r="EA83" s="40">
        <f>+Assumptions!$G$37</f>
        <v>6.18393E-2</v>
      </c>
      <c r="EB83" s="40">
        <f>+Assumptions!$G$37</f>
        <v>6.18393E-2</v>
      </c>
      <c r="EC83" s="40">
        <f>+Assumptions!$G$37</f>
        <v>6.18393E-2</v>
      </c>
      <c r="ED83" s="40">
        <f>+Assumptions!$G$37</f>
        <v>6.18393E-2</v>
      </c>
      <c r="EE83" s="40">
        <f>+Assumptions!$G$37</f>
        <v>6.18393E-2</v>
      </c>
      <c r="EF83" s="40">
        <f>+Assumptions!$G$37</f>
        <v>6.18393E-2</v>
      </c>
      <c r="EG83" s="40">
        <f>+Assumptions!$G$37</f>
        <v>6.18393E-2</v>
      </c>
      <c r="EH83" s="40">
        <f>+Assumptions!$G$37</f>
        <v>6.18393E-2</v>
      </c>
      <c r="EI83" s="40">
        <f>+Assumptions!$G$37</f>
        <v>6.18393E-2</v>
      </c>
      <c r="EM83" s="1" t="s">
        <v>191</v>
      </c>
    </row>
    <row r="84" spans="2:143" x14ac:dyDescent="0.45">
      <c r="D84" s="3" t="s">
        <v>45</v>
      </c>
      <c r="E84" s="3"/>
      <c r="F84" s="3"/>
      <c r="G84" s="25">
        <f>-IFERROR(INDEX('Debt Schedule'!$Q$12:$Q$108,MATCH(Model!G4,'Debt Schedule'!$M$12:$M$108,0)),0)</f>
        <v>0</v>
      </c>
      <c r="H84" s="25">
        <f>-IFERROR(INDEX('Debt Schedule'!$Q$12:$Q$108,MATCH(Model!H4,'Debt Schedule'!$M$12:$M$108,0)),0)</f>
        <v>0</v>
      </c>
      <c r="I84" s="25">
        <f>-IFERROR(INDEX('Debt Schedule'!$Q$12:$Q$108,MATCH(Model!I4,'Debt Schedule'!$M$12:$M$108,0)),0)</f>
        <v>0</v>
      </c>
      <c r="J84" s="25">
        <f>-IFERROR(INDEX('Debt Schedule'!$Q$12:$Q$108,MATCH(Model!J4,'Debt Schedule'!$M$12:$M$108,0)),0)</f>
        <v>0</v>
      </c>
      <c r="K84" s="25">
        <f>-IFERROR(INDEX('Debt Schedule'!$Q$12:$Q$108,MATCH(Model!K4,'Debt Schedule'!$M$12:$M$108,0)),0)</f>
        <v>0</v>
      </c>
      <c r="L84" s="25">
        <f>-IFERROR(INDEX('Debt Schedule'!$Q$12:$Q$108,MATCH(Model!L4,'Debt Schedule'!$M$12:$M$108,0)),0)</f>
        <v>0</v>
      </c>
      <c r="M84" s="25">
        <f>-IFERROR(INDEX('Debt Schedule'!$Q$12:$Q$108,MATCH(Model!M4,'Debt Schedule'!$M$12:$M$108,0)),0)</f>
        <v>0</v>
      </c>
      <c r="N84" s="25">
        <f>-IFERROR(INDEX('Debt Schedule'!$Q$12:$Q$108,MATCH(Model!N4,'Debt Schedule'!$M$12:$M$108,0)),0)</f>
        <v>0</v>
      </c>
      <c r="O84" s="25">
        <f>-IFERROR(INDEX('Debt Schedule'!$Q$12:$Q$108,MATCH(Model!O4,'Debt Schedule'!$M$12:$M$108,0)),0)</f>
        <v>0</v>
      </c>
      <c r="P84" s="25">
        <f>-IFERROR(INDEX('Debt Schedule'!$Q$12:$Q$108,MATCH(Model!P4,'Debt Schedule'!$M$12:$M$108,0)),0)</f>
        <v>0</v>
      </c>
      <c r="Q84" s="25">
        <f>-IFERROR(INDEX('Debt Schedule'!$Q$12:$Q$108,MATCH(Model!Q4,'Debt Schedule'!$M$12:$M$108,0)),0)</f>
        <v>0</v>
      </c>
      <c r="R84" s="25">
        <f>-IFERROR(INDEX('Debt Schedule'!$Q$12:$Q$108,MATCH(Model!R4,'Debt Schedule'!$M$12:$M$108,0)),0)</f>
        <v>0</v>
      </c>
      <c r="S84" s="25">
        <f>-IFERROR(INDEX('Debt Schedule'!$Q$12:$Q$108,MATCH(Model!S4,'Debt Schedule'!$M$12:$M$108,0)),0)</f>
        <v>0</v>
      </c>
      <c r="T84" s="25">
        <f>-IFERROR(INDEX('Debt Schedule'!$Q$12:$Q$108,MATCH(Model!T4,'Debt Schedule'!$M$12:$M$108,0)),0)</f>
        <v>0</v>
      </c>
      <c r="U84" s="25">
        <f>-IFERROR(INDEX('Debt Schedule'!$Q$12:$Q$108,MATCH(Model!U4,'Debt Schedule'!$M$12:$M$108,0)),0)</f>
        <v>0</v>
      </c>
      <c r="V84" s="25">
        <f>-IFERROR(INDEX('Debt Schedule'!$Q$12:$Q$108,MATCH(Model!V4,'Debt Schedule'!$M$12:$M$108,0)),0)</f>
        <v>0</v>
      </c>
      <c r="W84" s="25">
        <f>-IFERROR(INDEX('Debt Schedule'!$Q$12:$Q$108,MATCH(Model!W4,'Debt Schedule'!$M$12:$M$108,0)),0)</f>
        <v>0</v>
      </c>
      <c r="X84" s="25">
        <f>-IFERROR(INDEX('Debt Schedule'!$Q$12:$Q$108,MATCH(Model!X4,'Debt Schedule'!$M$12:$M$108,0)),0)</f>
        <v>0</v>
      </c>
      <c r="Y84" s="25">
        <f>-IFERROR(INDEX('Debt Schedule'!$Q$12:$Q$108,MATCH(Model!Y4,'Debt Schedule'!$M$12:$M$108,0)),0)</f>
        <v>0</v>
      </c>
      <c r="Z84" s="25">
        <f>-IFERROR(INDEX('Debt Schedule'!$Q$12:$Q$108,MATCH(Model!Z4,'Debt Schedule'!$M$12:$M$108,0)),0)</f>
        <v>0</v>
      </c>
      <c r="AA84" s="25">
        <f>-IFERROR(INDEX('Debt Schedule'!$Q$12:$Q$108,MATCH(Model!AA4,'Debt Schedule'!$M$12:$M$108,0)),0)</f>
        <v>0</v>
      </c>
      <c r="AB84" s="25">
        <f>-IFERROR(INDEX('Debt Schedule'!$Q$12:$Q$108,MATCH(Model!AB4,'Debt Schedule'!$M$12:$M$108,0)),0)</f>
        <v>0</v>
      </c>
      <c r="AC84" s="25">
        <f>-IFERROR(INDEX('Debt Schedule'!$Q$12:$Q$108,MATCH(Model!AC4,'Debt Schedule'!$M$12:$M$108,0)),0)</f>
        <v>0</v>
      </c>
      <c r="AD84" s="25">
        <f>-IFERROR(INDEX('Debt Schedule'!$Q$12:$Q$108,MATCH(Model!AD4,'Debt Schedule'!$M$12:$M$108,0)),0)</f>
        <v>0</v>
      </c>
      <c r="AE84" s="25">
        <f>-IFERROR(INDEX('Debt Schedule'!$Q$12:$Q$108,MATCH(Model!AE4,'Debt Schedule'!$M$12:$M$108,0)),0)</f>
        <v>0</v>
      </c>
      <c r="AF84" s="25">
        <f>-IFERROR(INDEX('Debt Schedule'!$Q$12:$Q$108,MATCH(Model!AF4,'Debt Schedule'!$M$12:$M$108,0)),0)</f>
        <v>0</v>
      </c>
      <c r="AG84" s="25">
        <f>-IFERROR(INDEX('Debt Schedule'!$Q$12:$Q$108,MATCH(Model!AG4,'Debt Schedule'!$M$12:$M$108,0)),0)</f>
        <v>0</v>
      </c>
      <c r="AH84" s="25">
        <f>-IFERROR(INDEX('Debt Schedule'!$Q$12:$Q$108,MATCH(Model!AH4,'Debt Schedule'!$M$12:$M$108,0)),0)</f>
        <v>0</v>
      </c>
      <c r="AI84" s="25">
        <f>-IFERROR(INDEX('Debt Schedule'!$Q$12:$Q$108,MATCH(Model!AI4,'Debt Schedule'!$M$12:$M$108,0)),0)</f>
        <v>0</v>
      </c>
      <c r="AJ84" s="25">
        <f>-IFERROR(INDEX('Debt Schedule'!$Q$12:$Q$108,MATCH(Model!AJ4,'Debt Schedule'!$M$12:$M$108,0)),0)</f>
        <v>0</v>
      </c>
      <c r="AK84" s="25">
        <f>-IFERROR(INDEX('Debt Schedule'!$Q$12:$Q$108,MATCH(Model!AK4,'Debt Schedule'!$M$12:$M$108,0)),0)</f>
        <v>0</v>
      </c>
      <c r="AL84" s="25">
        <f>-IFERROR(INDEX('Debt Schedule'!$Q$12:$Q$108,MATCH(Model!AL4,'Debt Schedule'!$M$12:$M$108,0)),0)</f>
        <v>0</v>
      </c>
      <c r="AM84" s="25">
        <f>-IFERROR(INDEX('Debt Schedule'!$Q$12:$Q$108,MATCH(Model!AM4,'Debt Schedule'!$M$12:$M$108,0)),0)</f>
        <v>0</v>
      </c>
      <c r="AN84" s="25">
        <f>-IFERROR(INDEX('Debt Schedule'!$Q$12:$Q$108,MATCH(Model!AN4,'Debt Schedule'!$M$12:$M$108,0)),0)</f>
        <v>0</v>
      </c>
      <c r="AO84" s="25">
        <f>-IFERROR(INDEX('Debt Schedule'!$Q$12:$Q$108,MATCH(Model!AO4,'Debt Schedule'!$M$12:$M$108,0)),0)</f>
        <v>106561.50471761479</v>
      </c>
      <c r="AP84" s="25">
        <f>-IFERROR(INDEX('Debt Schedule'!$Q$12:$Q$108,MATCH(Model!AP4,'Debt Schedule'!$M$12:$M$108,0)),0)</f>
        <v>106459.1001035221</v>
      </c>
      <c r="AQ84" s="25">
        <f>-IFERROR(INDEX('Debt Schedule'!$Q$12:$Q$108,MATCH(Model!AQ4,'Debt Schedule'!$M$12:$M$108,0)),0)</f>
        <v>106356.16777029172</v>
      </c>
      <c r="AR84" s="25">
        <f>-IFERROR(INDEX('Debt Schedule'!$Q$12:$Q$108,MATCH(Model!AR4,'Debt Schedule'!$M$12:$M$108,0)),0)</f>
        <v>106252.70499844178</v>
      </c>
      <c r="AS84" s="25">
        <f>-IFERROR(INDEX('Debt Schedule'!$Q$12:$Q$108,MATCH(Model!AS4,'Debt Schedule'!$M$12:$M$108,0)),0)</f>
        <v>106148.70905447626</v>
      </c>
      <c r="AT84" s="25">
        <f>-IFERROR(INDEX('Debt Schedule'!$Q$12:$Q$108,MATCH(Model!AT4,'Debt Schedule'!$M$12:$M$108,0)),0)</f>
        <v>106044.17719081262</v>
      </c>
      <c r="AU84" s="25">
        <f>-IFERROR(INDEX('Debt Schedule'!$Q$12:$Q$108,MATCH(Model!AU4,'Debt Schedule'!$M$12:$M$108,0)),0)</f>
        <v>105939.10664570925</v>
      </c>
      <c r="AV84" s="25">
        <f>-IFERROR(INDEX('Debt Schedule'!$Q$12:$Q$108,MATCH(Model!AV4,'Debt Schedule'!$M$12:$M$108,0)),0)</f>
        <v>105833.49464319252</v>
      </c>
      <c r="AW84" s="25">
        <f>-IFERROR(INDEX('Debt Schedule'!$Q$12:$Q$108,MATCH(Model!AW4,'Debt Schedule'!$M$12:$M$108,0)),0)</f>
        <v>105727.33839298355</v>
      </c>
      <c r="AX84" s="25">
        <f>-IFERROR(INDEX('Debt Schedule'!$Q$12:$Q$108,MATCH(Model!AX4,'Debt Schedule'!$M$12:$M$108,0)),0)</f>
        <v>105620.6350904243</v>
      </c>
      <c r="AY84" s="25">
        <f>-IFERROR(INDEX('Debt Schedule'!$Q$12:$Q$108,MATCH(Model!AY4,'Debt Schedule'!$M$12:$M$108,0)),0)</f>
        <v>105513.38191640354</v>
      </c>
      <c r="AZ84" s="25">
        <f>-IFERROR(INDEX('Debt Schedule'!$Q$12:$Q$108,MATCH(Model!AZ4,'Debt Schedule'!$M$12:$M$108,0)),0)</f>
        <v>105405.57603728243</v>
      </c>
      <c r="BA84" s="25">
        <f>-IFERROR(INDEX('Debt Schedule'!$Q$12:$Q$108,MATCH(Model!BA4,'Debt Schedule'!$M$12:$M$108,0)),0)</f>
        <v>105297.2146048196</v>
      </c>
      <c r="BB84" s="25">
        <f>-IFERROR(INDEX('Debt Schedule'!$Q$12:$Q$108,MATCH(Model!BB4,'Debt Schedule'!$M$12:$M$108,0)),0)</f>
        <v>105188.29475609589</v>
      </c>
      <c r="BC84" s="25">
        <f>-IFERROR(INDEX('Debt Schedule'!$Q$12:$Q$108,MATCH(Model!BC4,'Debt Schedule'!$M$12:$M$108,0)),0)</f>
        <v>105078.81361343873</v>
      </c>
      <c r="BD84" s="25">
        <f>-IFERROR(INDEX('Debt Schedule'!$Q$12:$Q$108,MATCH(Model!BD4,'Debt Schedule'!$M$12:$M$108,0)),0)</f>
        <v>104968.76828434617</v>
      </c>
      <c r="BE84" s="25">
        <f>-IFERROR(INDEX('Debt Schedule'!$Q$12:$Q$108,MATCH(Model!BE4,'Debt Schedule'!$M$12:$M$108,0)),0)</f>
        <v>104858.1558614103</v>
      </c>
      <c r="BF84" s="25">
        <f>-IFERROR(INDEX('Debt Schedule'!$Q$12:$Q$108,MATCH(Model!BF4,'Debt Schedule'!$M$12:$M$108,0)),0)</f>
        <v>104746.97342224064</v>
      </c>
      <c r="BG84" s="25">
        <f>-IFERROR(INDEX('Debt Schedule'!$Q$12:$Q$108,MATCH(Model!BG4,'Debt Schedule'!$M$12:$M$108,0)),0)</f>
        <v>104635.21802938679</v>
      </c>
      <c r="BH84" s="25">
        <f>-IFERROR(INDEX('Debt Schedule'!$Q$12:$Q$108,MATCH(Model!BH4,'Debt Schedule'!$M$12:$M$108,0)),0)</f>
        <v>104522.8867302608</v>
      </c>
      <c r="BI84" s="25">
        <f>-IFERROR(INDEX('Debt Schedule'!$Q$12:$Q$108,MATCH(Model!BI4,'Debt Schedule'!$M$12:$M$108,0)),0)</f>
        <v>104409.97655705932</v>
      </c>
      <c r="BJ84" s="25">
        <f>-IFERROR(INDEX('Debt Schedule'!$Q$12:$Q$108,MATCH(Model!BJ4,'Debt Schedule'!$M$12:$M$108,0)),0)</f>
        <v>104296.48452668502</v>
      </c>
      <c r="BK84" s="25">
        <f>-IFERROR(INDEX('Debt Schedule'!$Q$12:$Q$108,MATCH(Model!BK4,'Debt Schedule'!$M$12:$M$108,0)),0)</f>
        <v>104182.40764066792</v>
      </c>
      <c r="BL84" s="25">
        <f>-IFERROR(INDEX('Debt Schedule'!$Q$12:$Q$108,MATCH(Model!BL4,'Debt Schedule'!$M$12:$M$108,0)),0)</f>
        <v>104067.74288508602</v>
      </c>
      <c r="BM84" s="25">
        <f>-IFERROR(INDEX('Debt Schedule'!$Q$12:$Q$108,MATCH(Model!BM4,'Debt Schedule'!$M$12:$M$108,0)),0)</f>
        <v>103952.4872304858</v>
      </c>
      <c r="BN84" s="25">
        <f>-IFERROR(INDEX('Debt Schedule'!$Q$12:$Q$108,MATCH(Model!BN4,'Debt Schedule'!$M$12:$M$108,0)),0)</f>
        <v>103836.63763180211</v>
      </c>
      <c r="BO84" s="25">
        <f>-IFERROR(INDEX('Debt Schedule'!$Q$12:$Q$108,MATCH(Model!BO4,'Debt Schedule'!$M$12:$M$108,0)),0)</f>
        <v>103720.19102827777</v>
      </c>
      <c r="BP84" s="25">
        <f>-IFERROR(INDEX('Debt Schedule'!$Q$12:$Q$108,MATCH(Model!BP4,'Debt Schedule'!$M$12:$M$108,0)),0)</f>
        <v>0</v>
      </c>
      <c r="BQ84" s="25">
        <f>-IFERROR(INDEX('Debt Schedule'!$Q$12:$Q$108,MATCH(Model!BQ4,'Debt Schedule'!$M$12:$M$108,0)),0)</f>
        <v>0</v>
      </c>
      <c r="BR84" s="25">
        <f>-IFERROR(INDEX('Debt Schedule'!$Q$12:$Q$108,MATCH(Model!BR4,'Debt Schedule'!$M$12:$M$108,0)),0)</f>
        <v>0</v>
      </c>
      <c r="BS84" s="25">
        <f>-IFERROR(INDEX('Debt Schedule'!$Q$12:$Q$108,MATCH(Model!BS4,'Debt Schedule'!$M$12:$M$108,0)),0)</f>
        <v>0</v>
      </c>
      <c r="BT84" s="25">
        <f>-IFERROR(INDEX('Debt Schedule'!$Q$12:$Q$108,MATCH(Model!BT4,'Debt Schedule'!$M$12:$M$108,0)),0)</f>
        <v>0</v>
      </c>
      <c r="BU84" s="25">
        <f>-IFERROR(INDEX('Debt Schedule'!$Q$12:$Q$108,MATCH(Model!BU4,'Debt Schedule'!$M$12:$M$108,0)),0)</f>
        <v>0</v>
      </c>
      <c r="BV84" s="25">
        <f>-IFERROR(INDEX('Debt Schedule'!$Q$12:$Q$108,MATCH(Model!BV4,'Debt Schedule'!$M$12:$M$108,0)),0)</f>
        <v>0</v>
      </c>
      <c r="BW84" s="25">
        <f>-IFERROR(INDEX('Debt Schedule'!$Q$12:$Q$108,MATCH(Model!BW4,'Debt Schedule'!$M$12:$M$108,0)),0)</f>
        <v>0</v>
      </c>
      <c r="BX84" s="25">
        <f>-IFERROR(INDEX('Debt Schedule'!$Q$12:$Q$108,MATCH(Model!BX4,'Debt Schedule'!$M$12:$M$108,0)),0)</f>
        <v>0</v>
      </c>
      <c r="BY84" s="25">
        <f>-IFERROR(INDEX('Debt Schedule'!$Q$12:$Q$108,MATCH(Model!BY4,'Debt Schedule'!$M$12:$M$108,0)),0)</f>
        <v>0</v>
      </c>
      <c r="BZ84" s="25">
        <f>-IFERROR(INDEX('Debt Schedule'!$Q$12:$Q$108,MATCH(Model!BZ4,'Debt Schedule'!$M$12:$M$108,0)),0)</f>
        <v>0</v>
      </c>
      <c r="CA84" s="25">
        <f>-IFERROR(INDEX('Debt Schedule'!$Q$12:$Q$108,MATCH(Model!CA4,'Debt Schedule'!$M$12:$M$108,0)),0)</f>
        <v>0</v>
      </c>
      <c r="CB84" s="25">
        <f>-IFERROR(INDEX('Debt Schedule'!$Q$12:$Q$108,MATCH(Model!CB4,'Debt Schedule'!$M$12:$M$108,0)),0)</f>
        <v>0</v>
      </c>
      <c r="CC84" s="25">
        <f>-IFERROR(INDEX('Debt Schedule'!$Q$12:$Q$108,MATCH(Model!CC4,'Debt Schedule'!$M$12:$M$108,0)),0)</f>
        <v>0</v>
      </c>
      <c r="CD84" s="25">
        <f>-IFERROR(INDEX('Debt Schedule'!$Q$12:$Q$108,MATCH(Model!CD4,'Debt Schedule'!$M$12:$M$108,0)),0)</f>
        <v>0</v>
      </c>
      <c r="CE84" s="25">
        <f>-IFERROR(INDEX('Debt Schedule'!$Q$12:$Q$108,MATCH(Model!CE4,'Debt Schedule'!$M$12:$M$108,0)),0)</f>
        <v>0</v>
      </c>
      <c r="CF84" s="25">
        <f>-IFERROR(INDEX('Debt Schedule'!$Q$12:$Q$108,MATCH(Model!CF4,'Debt Schedule'!$M$12:$M$108,0)),0)</f>
        <v>0</v>
      </c>
      <c r="CG84" s="25">
        <f>-IFERROR(INDEX('Debt Schedule'!$Q$12:$Q$108,MATCH(Model!CG4,'Debt Schedule'!$M$12:$M$108,0)),0)</f>
        <v>0</v>
      </c>
      <c r="CH84" s="25">
        <f>-IFERROR(INDEX('Debt Schedule'!$Q$12:$Q$108,MATCH(Model!CH4,'Debt Schedule'!$M$12:$M$108,0)),0)</f>
        <v>0</v>
      </c>
      <c r="CI84" s="25">
        <f>-IFERROR(INDEX('Debt Schedule'!$Q$12:$Q$108,MATCH(Model!CI4,'Debt Schedule'!$M$12:$M$108,0)),0)</f>
        <v>0</v>
      </c>
      <c r="CJ84" s="25">
        <f>-IFERROR(INDEX('Debt Schedule'!$Q$12:$Q$108,MATCH(Model!CJ4,'Debt Schedule'!$M$12:$M$108,0)),0)</f>
        <v>0</v>
      </c>
      <c r="CK84" s="25">
        <f>-IFERROR(INDEX('Debt Schedule'!$Q$12:$Q$108,MATCH(Model!CK4,'Debt Schedule'!$M$12:$M$108,0)),0)</f>
        <v>0</v>
      </c>
      <c r="CL84" s="25">
        <f>-IFERROR(INDEX('Debt Schedule'!$Q$12:$Q$108,MATCH(Model!CL4,'Debt Schedule'!$M$12:$M$108,0)),0)</f>
        <v>0</v>
      </c>
      <c r="CM84" s="25">
        <f>-IFERROR(INDEX('Debt Schedule'!$Q$12:$Q$108,MATCH(Model!CM4,'Debt Schedule'!$M$12:$M$108,0)),0)</f>
        <v>0</v>
      </c>
      <c r="CN84" s="25">
        <f>-IFERROR(INDEX('Debt Schedule'!$Q$12:$Q$108,MATCH(Model!CN4,'Debt Schedule'!$M$12:$M$108,0)),0)</f>
        <v>0</v>
      </c>
      <c r="CO84" s="25">
        <f>-IFERROR(INDEX('Debt Schedule'!$Q$12:$Q$108,MATCH(Model!CO4,'Debt Schedule'!$M$12:$M$108,0)),0)</f>
        <v>0</v>
      </c>
      <c r="CP84" s="25">
        <f>-IFERROR(INDEX('Debt Schedule'!$Q$12:$Q$108,MATCH(Model!CP4,'Debt Schedule'!$M$12:$M$108,0)),0)</f>
        <v>0</v>
      </c>
      <c r="CQ84" s="25">
        <f>-IFERROR(INDEX('Debt Schedule'!$Q$12:$Q$108,MATCH(Model!CQ4,'Debt Schedule'!$M$12:$M$108,0)),0)</f>
        <v>0</v>
      </c>
      <c r="CR84" s="25">
        <f>-IFERROR(INDEX('Debt Schedule'!$Q$12:$Q$108,MATCH(Model!CR4,'Debt Schedule'!$M$12:$M$108,0)),0)</f>
        <v>0</v>
      </c>
      <c r="CS84" s="25">
        <f>-IFERROR(INDEX('Debt Schedule'!$Q$12:$Q$108,MATCH(Model!CS4,'Debt Schedule'!$M$12:$M$108,0)),0)</f>
        <v>0</v>
      </c>
      <c r="CT84" s="25">
        <f>-IFERROR(INDEX('Debt Schedule'!$Q$12:$Q$108,MATCH(Model!CT4,'Debt Schedule'!$M$12:$M$108,0)),0)</f>
        <v>0</v>
      </c>
      <c r="CU84" s="25">
        <f>-IFERROR(INDEX('Debt Schedule'!$Q$12:$Q$108,MATCH(Model!CU4,'Debt Schedule'!$M$12:$M$108,0)),0)</f>
        <v>0</v>
      </c>
      <c r="CV84" s="25">
        <f>-IFERROR(INDEX('Debt Schedule'!$Q$12:$Q$108,MATCH(Model!CV4,'Debt Schedule'!$M$12:$M$108,0)),0)</f>
        <v>0</v>
      </c>
      <c r="CW84" s="25">
        <f>-IFERROR(INDEX('Debt Schedule'!$Q$12:$Q$108,MATCH(Model!CW4,'Debt Schedule'!$M$12:$M$108,0)),0)</f>
        <v>0</v>
      </c>
      <c r="CX84" s="25">
        <f>-IFERROR(INDEX('Debt Schedule'!$Q$12:$Q$108,MATCH(Model!CX4,'Debt Schedule'!$M$12:$M$108,0)),0)</f>
        <v>0</v>
      </c>
      <c r="CY84" s="25">
        <f>-IFERROR(INDEX('Debt Schedule'!$Q$12:$Q$108,MATCH(Model!CY4,'Debt Schedule'!$M$12:$M$108,0)),0)</f>
        <v>0</v>
      </c>
      <c r="CZ84" s="25">
        <f>-IFERROR(INDEX('Debt Schedule'!$Q$12:$Q$108,MATCH(Model!CZ4,'Debt Schedule'!$M$12:$M$108,0)),0)</f>
        <v>0</v>
      </c>
      <c r="DA84" s="25">
        <f>-IFERROR(INDEX('Debt Schedule'!$Q$12:$Q$108,MATCH(Model!DA4,'Debt Schedule'!$M$12:$M$108,0)),0)</f>
        <v>0</v>
      </c>
      <c r="DB84" s="25">
        <f>-IFERROR(INDEX('Debt Schedule'!$Q$12:$Q$108,MATCH(Model!DB4,'Debt Schedule'!$M$12:$M$108,0)),0)</f>
        <v>0</v>
      </c>
      <c r="DC84" s="25">
        <f>-IFERROR(INDEX('Debt Schedule'!$Q$12:$Q$108,MATCH(Model!DC4,'Debt Schedule'!$M$12:$M$108,0)),0)</f>
        <v>0</v>
      </c>
      <c r="DD84" s="25">
        <f>-IFERROR(INDEX('Debt Schedule'!$Q$12:$Q$108,MATCH(Model!DD4,'Debt Schedule'!$M$12:$M$108,0)),0)</f>
        <v>0</v>
      </c>
      <c r="DE84" s="25">
        <f>-IFERROR(INDEX('Debt Schedule'!$Q$12:$Q$108,MATCH(Model!DE4,'Debt Schedule'!$M$12:$M$108,0)),0)</f>
        <v>0</v>
      </c>
      <c r="DF84" s="25">
        <f>-IFERROR(INDEX('Debt Schedule'!$Q$12:$Q$108,MATCH(Model!DF4,'Debt Schedule'!$M$12:$M$108,0)),0)</f>
        <v>0</v>
      </c>
      <c r="DG84" s="25">
        <f>-IFERROR(INDEX('Debt Schedule'!$Q$12:$Q$108,MATCH(Model!DG4,'Debt Schedule'!$M$12:$M$108,0)),0)</f>
        <v>0</v>
      </c>
      <c r="DH84" s="25">
        <f>-IFERROR(INDEX('Debt Schedule'!$Q$12:$Q$108,MATCH(Model!DH4,'Debt Schedule'!$M$12:$M$108,0)),0)</f>
        <v>0</v>
      </c>
      <c r="DI84" s="25">
        <f>-IFERROR(INDEX('Debt Schedule'!$Q$12:$Q$108,MATCH(Model!DI4,'Debt Schedule'!$M$12:$M$108,0)),0)</f>
        <v>0</v>
      </c>
      <c r="DJ84" s="25">
        <f>-IFERROR(INDEX('Debt Schedule'!$Q$12:$Q$108,MATCH(Model!DJ4,'Debt Schedule'!$M$12:$M$108,0)),0)</f>
        <v>0</v>
      </c>
      <c r="DK84" s="25">
        <f>-IFERROR(INDEX('Debt Schedule'!$Q$12:$Q$108,MATCH(Model!DK4,'Debt Schedule'!$M$12:$M$108,0)),0)</f>
        <v>0</v>
      </c>
      <c r="DL84" s="25">
        <f>-IFERROR(INDEX('Debt Schedule'!$Q$12:$Q$108,MATCH(Model!DL4,'Debt Schedule'!$M$12:$M$108,0)),0)</f>
        <v>0</v>
      </c>
      <c r="DM84" s="25">
        <f>-IFERROR(INDEX('Debt Schedule'!$Q$12:$Q$108,MATCH(Model!DM4,'Debt Schedule'!$M$12:$M$108,0)),0)</f>
        <v>0</v>
      </c>
      <c r="DN84" s="25">
        <f>-IFERROR(INDEX('Debt Schedule'!$Q$12:$Q$108,MATCH(Model!DN4,'Debt Schedule'!$M$12:$M$108,0)),0)</f>
        <v>0</v>
      </c>
      <c r="DO84" s="25">
        <f>-IFERROR(INDEX('Debt Schedule'!$Q$12:$Q$108,MATCH(Model!DO4,'Debt Schedule'!$M$12:$M$108,0)),0)</f>
        <v>0</v>
      </c>
      <c r="DP84" s="25">
        <f>-IFERROR(INDEX('Debt Schedule'!$Q$12:$Q$108,MATCH(Model!DP4,'Debt Schedule'!$M$12:$M$108,0)),0)</f>
        <v>0</v>
      </c>
      <c r="DQ84" s="25">
        <f>-IFERROR(INDEX('Debt Schedule'!$Q$12:$Q$108,MATCH(Model!DQ4,'Debt Schedule'!$M$12:$M$108,0)),0)</f>
        <v>0</v>
      </c>
      <c r="DR84" s="25">
        <f>-IFERROR(INDEX('Debt Schedule'!$Q$12:$Q$108,MATCH(Model!DR4,'Debt Schedule'!$M$12:$M$108,0)),0)</f>
        <v>0</v>
      </c>
      <c r="DS84" s="25">
        <f>-IFERROR(INDEX('Debt Schedule'!$Q$12:$Q$108,MATCH(Model!DS4,'Debt Schedule'!$M$12:$M$108,0)),0)</f>
        <v>0</v>
      </c>
      <c r="DT84" s="25">
        <f>-IFERROR(INDEX('Debt Schedule'!$Q$12:$Q$108,MATCH(Model!DT4,'Debt Schedule'!$M$12:$M$108,0)),0)</f>
        <v>0</v>
      </c>
      <c r="DU84" s="25">
        <f>-IFERROR(INDEX('Debt Schedule'!$Q$12:$Q$108,MATCH(Model!DU4,'Debt Schedule'!$M$12:$M$108,0)),0)</f>
        <v>0</v>
      </c>
      <c r="DV84" s="25">
        <f>-IFERROR(INDEX('Debt Schedule'!$Q$12:$Q$108,MATCH(Model!DV4,'Debt Schedule'!$M$12:$M$108,0)),0)</f>
        <v>0</v>
      </c>
      <c r="DW84" s="25">
        <f>-IFERROR(INDEX('Debt Schedule'!$Q$12:$Q$108,MATCH(Model!DW4,'Debt Schedule'!$M$12:$M$108,0)),0)</f>
        <v>0</v>
      </c>
      <c r="DX84" s="25">
        <f>-IFERROR(INDEX('Debt Schedule'!$Q$12:$Q$108,MATCH(Model!DX4,'Debt Schedule'!$M$12:$M$108,0)),0)</f>
        <v>0</v>
      </c>
      <c r="DY84" s="25">
        <f>-IFERROR(INDEX('Debt Schedule'!$Q$12:$Q$108,MATCH(Model!DY4,'Debt Schedule'!$M$12:$M$108,0)),0)</f>
        <v>0</v>
      </c>
      <c r="DZ84" s="25">
        <f>-IFERROR(INDEX('Debt Schedule'!$Q$12:$Q$108,MATCH(Model!DZ4,'Debt Schedule'!$M$12:$M$108,0)),0)</f>
        <v>0</v>
      </c>
      <c r="EA84" s="25">
        <f>-IFERROR(INDEX('Debt Schedule'!$Q$12:$Q$108,MATCH(Model!EA4,'Debt Schedule'!$M$12:$M$108,0)),0)</f>
        <v>0</v>
      </c>
      <c r="EB84" s="25">
        <f>-IFERROR(INDEX('Debt Schedule'!$Q$12:$Q$108,MATCH(Model!EB4,'Debt Schedule'!$M$12:$M$108,0)),0)</f>
        <v>0</v>
      </c>
      <c r="EC84" s="25">
        <f>-IFERROR(INDEX('Debt Schedule'!$Q$12:$Q$108,MATCH(Model!EC4,'Debt Schedule'!$M$12:$M$108,0)),0)</f>
        <v>0</v>
      </c>
      <c r="ED84" s="25">
        <f>-IFERROR(INDEX('Debt Schedule'!$Q$12:$Q$108,MATCH(Model!ED4,'Debt Schedule'!$M$12:$M$108,0)),0)</f>
        <v>0</v>
      </c>
      <c r="EE84" s="25">
        <f>-IFERROR(INDEX('Debt Schedule'!$Q$12:$Q$108,MATCH(Model!EE4,'Debt Schedule'!$M$12:$M$108,0)),0)</f>
        <v>0</v>
      </c>
      <c r="EF84" s="25">
        <f>-IFERROR(INDEX('Debt Schedule'!$Q$12:$Q$108,MATCH(Model!EF4,'Debt Schedule'!$M$12:$M$108,0)),0)</f>
        <v>0</v>
      </c>
      <c r="EG84" s="25">
        <f>-IFERROR(INDEX('Debt Schedule'!$Q$12:$Q$108,MATCH(Model!EG4,'Debt Schedule'!$M$12:$M$108,0)),0)</f>
        <v>0</v>
      </c>
      <c r="EH84" s="25">
        <f>-IFERROR(INDEX('Debt Schedule'!$Q$12:$Q$108,MATCH(Model!EH4,'Debt Schedule'!$M$12:$M$108,0)),0)</f>
        <v>0</v>
      </c>
      <c r="EI84" s="25">
        <f>-IFERROR(INDEX('Debt Schedule'!$Q$12:$Q$108,MATCH(Model!EI4,'Debt Schedule'!$M$12:$M$108,0)),0)</f>
        <v>0</v>
      </c>
      <c r="EM84" s="1" t="s">
        <v>191</v>
      </c>
    </row>
    <row r="85" spans="2:143" x14ac:dyDescent="0.45"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24"/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24"/>
      <c r="DH85" s="24"/>
      <c r="DI85" s="24"/>
      <c r="DJ85" s="24"/>
      <c r="DK85" s="24"/>
      <c r="DL85" s="24"/>
      <c r="DM85" s="24"/>
      <c r="DN85" s="24"/>
      <c r="DO85" s="24"/>
      <c r="DP85" s="24"/>
      <c r="DQ85" s="24"/>
      <c r="DR85" s="24"/>
      <c r="DS85" s="24"/>
      <c r="DT85" s="24"/>
      <c r="DU85" s="24"/>
      <c r="DV85" s="24"/>
      <c r="DW85" s="24"/>
      <c r="DX85" s="24"/>
      <c r="DY85" s="24"/>
      <c r="DZ85" s="24"/>
      <c r="EA85" s="24"/>
      <c r="EB85" s="24"/>
      <c r="EC85" s="24"/>
      <c r="ED85" s="24"/>
      <c r="EE85" s="24"/>
      <c r="EF85" s="24"/>
      <c r="EG85" s="24"/>
      <c r="EH85" s="24"/>
      <c r="EI85" s="24"/>
      <c r="EM85" s="1" t="s">
        <v>191</v>
      </c>
    </row>
    <row r="86" spans="2:143" x14ac:dyDescent="0.45"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4"/>
      <c r="CJ86" s="24"/>
      <c r="CK86" s="24"/>
      <c r="CL86" s="24"/>
      <c r="CM86" s="24"/>
      <c r="CN86" s="24"/>
      <c r="CO86" s="24"/>
      <c r="CP86" s="24"/>
      <c r="CQ86" s="24"/>
      <c r="CR86" s="24"/>
      <c r="CS86" s="24"/>
      <c r="CT86" s="24"/>
      <c r="CU86" s="24"/>
      <c r="CV86" s="24"/>
      <c r="CW86" s="24"/>
      <c r="CX86" s="24"/>
      <c r="CY86" s="24"/>
      <c r="CZ86" s="24"/>
      <c r="DA86" s="24"/>
      <c r="DB86" s="24"/>
      <c r="DC86" s="24"/>
      <c r="DD86" s="24"/>
      <c r="DE86" s="24"/>
      <c r="DF86" s="24"/>
      <c r="DG86" s="24"/>
      <c r="DH86" s="24"/>
      <c r="DI86" s="24"/>
      <c r="DJ86" s="24"/>
      <c r="DK86" s="24"/>
      <c r="DL86" s="24"/>
      <c r="DM86" s="24"/>
      <c r="DN86" s="24"/>
      <c r="DO86" s="24"/>
      <c r="DP86" s="24"/>
      <c r="DQ86" s="24"/>
      <c r="DR86" s="24"/>
      <c r="DS86" s="24"/>
      <c r="DT86" s="24"/>
      <c r="DU86" s="24"/>
      <c r="DV86" s="24"/>
      <c r="DW86" s="24"/>
      <c r="DX86" s="24"/>
      <c r="DY86" s="24"/>
      <c r="DZ86" s="24"/>
      <c r="EA86" s="24"/>
      <c r="EB86" s="24"/>
      <c r="EC86" s="24"/>
      <c r="ED86" s="24"/>
      <c r="EE86" s="24"/>
      <c r="EF86" s="24"/>
      <c r="EG86" s="24"/>
      <c r="EH86" s="24"/>
      <c r="EI86" s="24"/>
      <c r="EM86" s="1" t="s">
        <v>191</v>
      </c>
    </row>
    <row r="87" spans="2:143" x14ac:dyDescent="0.45">
      <c r="D87" s="8" t="s">
        <v>182</v>
      </c>
      <c r="E87" s="8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  <c r="DU87" s="24"/>
      <c r="DV87" s="24"/>
      <c r="DW87" s="24"/>
      <c r="DX87" s="24"/>
      <c r="DY87" s="24"/>
      <c r="DZ87" s="24"/>
      <c r="EA87" s="24"/>
      <c r="EB87" s="24"/>
      <c r="EC87" s="24"/>
      <c r="ED87" s="24"/>
      <c r="EE87" s="24"/>
      <c r="EF87" s="24"/>
      <c r="EG87" s="24"/>
      <c r="EH87" s="24"/>
      <c r="EI87" s="24"/>
      <c r="EM87" s="1" t="s">
        <v>191</v>
      </c>
    </row>
    <row r="88" spans="2:143" x14ac:dyDescent="0.45">
      <c r="F88" s="47" t="s">
        <v>185</v>
      </c>
      <c r="G88" s="24"/>
      <c r="H88" s="176"/>
      <c r="I88" s="177"/>
      <c r="J88" s="177" t="s">
        <v>183</v>
      </c>
      <c r="K88" s="177" t="s">
        <v>184</v>
      </c>
      <c r="L88" s="177" t="s">
        <v>190</v>
      </c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4"/>
      <c r="CJ88" s="24"/>
      <c r="CK88" s="24"/>
      <c r="CL88" s="24"/>
      <c r="CM88" s="24"/>
      <c r="CN88" s="24"/>
      <c r="CO88" s="24"/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/>
      <c r="DI88" s="24"/>
      <c r="DJ88" s="24"/>
      <c r="DK88" s="24"/>
      <c r="DL88" s="24"/>
      <c r="DM88" s="24"/>
      <c r="DN88" s="24"/>
      <c r="DO88" s="24"/>
      <c r="DP88" s="24"/>
      <c r="DQ88" s="24"/>
      <c r="DR88" s="24"/>
      <c r="DS88" s="24"/>
      <c r="DT88" s="24"/>
      <c r="DU88" s="24"/>
      <c r="DV88" s="24"/>
      <c r="DW88" s="24"/>
      <c r="DX88" s="24"/>
      <c r="DY88" s="24"/>
      <c r="DZ88" s="24"/>
      <c r="EA88" s="24"/>
      <c r="EB88" s="24"/>
      <c r="EC88" s="24"/>
      <c r="ED88" s="24"/>
      <c r="EE88" s="24"/>
      <c r="EF88" s="24"/>
      <c r="EG88" s="24"/>
      <c r="EH88" s="24"/>
      <c r="EI88" s="24"/>
      <c r="EM88" s="1" t="s">
        <v>191</v>
      </c>
    </row>
    <row r="89" spans="2:143" x14ac:dyDescent="0.45">
      <c r="D89" s="3" t="s">
        <v>184</v>
      </c>
      <c r="E89" s="3"/>
      <c r="F89" s="173">
        <f>+Assumptions!K3</f>
        <v>0.1</v>
      </c>
      <c r="G89" s="24"/>
      <c r="H89" s="24" t="s">
        <v>186</v>
      </c>
      <c r="I89" s="53"/>
      <c r="J89" s="306">
        <f>+F90</f>
        <v>0.9</v>
      </c>
      <c r="K89" s="306">
        <f>+F89</f>
        <v>0.1</v>
      </c>
      <c r="L89" s="179">
        <v>0.1</v>
      </c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4"/>
      <c r="CJ89" s="24"/>
      <c r="CK89" s="24"/>
      <c r="CL89" s="24"/>
      <c r="CM89" s="24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24"/>
      <c r="DF89" s="24"/>
      <c r="DG89" s="24"/>
      <c r="DH89" s="24"/>
      <c r="DI89" s="24"/>
      <c r="DJ89" s="24"/>
      <c r="DK89" s="24"/>
      <c r="DL89" s="24"/>
      <c r="DM89" s="24"/>
      <c r="DN89" s="24"/>
      <c r="DO89" s="24"/>
      <c r="DP89" s="24"/>
      <c r="DQ89" s="24"/>
      <c r="DR89" s="24"/>
      <c r="DS89" s="24"/>
      <c r="DT89" s="24"/>
      <c r="DU89" s="24"/>
      <c r="DV89" s="24"/>
      <c r="DW89" s="24"/>
      <c r="DX89" s="24"/>
      <c r="DY89" s="24"/>
      <c r="DZ89" s="24"/>
      <c r="EA89" s="24"/>
      <c r="EB89" s="24"/>
      <c r="EC89" s="24"/>
      <c r="ED89" s="24"/>
      <c r="EE89" s="24"/>
      <c r="EF89" s="24"/>
      <c r="EG89" s="24"/>
      <c r="EH89" s="24"/>
      <c r="EI89" s="24"/>
      <c r="EM89" s="1" t="s">
        <v>191</v>
      </c>
    </row>
    <row r="90" spans="2:143" x14ac:dyDescent="0.45">
      <c r="D90" s="1" t="s">
        <v>183</v>
      </c>
      <c r="F90" s="174">
        <f>+Assumptions!K4</f>
        <v>0.9</v>
      </c>
      <c r="G90" s="24"/>
      <c r="H90" s="24" t="s">
        <v>187</v>
      </c>
      <c r="I90" s="53"/>
      <c r="J90" s="178">
        <f>1-K90</f>
        <v>0.85</v>
      </c>
      <c r="K90" s="179">
        <v>0.15</v>
      </c>
      <c r="L90" s="179">
        <v>0.15</v>
      </c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/>
      <c r="CD90" s="24"/>
      <c r="CE90" s="24"/>
      <c r="CF90" s="24"/>
      <c r="CG90" s="24"/>
      <c r="CH90" s="24"/>
      <c r="CI90" s="24"/>
      <c r="CJ90" s="24"/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  <c r="CV90" s="24"/>
      <c r="CW90" s="24"/>
      <c r="CX90" s="24"/>
      <c r="CY90" s="24"/>
      <c r="CZ90" s="24"/>
      <c r="DA90" s="24"/>
      <c r="DB90" s="24"/>
      <c r="DC90" s="24"/>
      <c r="DD90" s="24"/>
      <c r="DE90" s="24"/>
      <c r="DF90" s="24"/>
      <c r="DG90" s="24"/>
      <c r="DH90" s="24"/>
      <c r="DI90" s="24"/>
      <c r="DJ90" s="24"/>
      <c r="DK90" s="24"/>
      <c r="DL90" s="24"/>
      <c r="DM90" s="24"/>
      <c r="DN90" s="24"/>
      <c r="DO90" s="24"/>
      <c r="DP90" s="24"/>
      <c r="DQ90" s="24"/>
      <c r="DR90" s="24"/>
      <c r="DS90" s="24"/>
      <c r="DT90" s="24"/>
      <c r="DU90" s="24"/>
      <c r="DV90" s="24"/>
      <c r="DW90" s="24"/>
      <c r="DX90" s="24"/>
      <c r="DY90" s="24"/>
      <c r="DZ90" s="24"/>
      <c r="EA90" s="24"/>
      <c r="EB90" s="24"/>
      <c r="EC90" s="24"/>
      <c r="ED90" s="24"/>
      <c r="EE90" s="24"/>
      <c r="EF90" s="24"/>
      <c r="EG90" s="24"/>
      <c r="EH90" s="24"/>
      <c r="EI90" s="24"/>
      <c r="EM90" s="1" t="s">
        <v>191</v>
      </c>
    </row>
    <row r="91" spans="2:143" x14ac:dyDescent="0.45">
      <c r="D91" s="2" t="s">
        <v>35</v>
      </c>
      <c r="E91" s="2"/>
      <c r="F91" s="175">
        <f>SUM(F89:F90)</f>
        <v>1</v>
      </c>
      <c r="G91" s="24"/>
      <c r="H91" s="24" t="s">
        <v>188</v>
      </c>
      <c r="I91" s="53"/>
      <c r="J91" s="178">
        <f t="shared" ref="J91:J92" si="769">1-K91</f>
        <v>0.8</v>
      </c>
      <c r="K91" s="179">
        <v>0.2</v>
      </c>
      <c r="L91" s="179">
        <v>0.2</v>
      </c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4"/>
      <c r="CU91" s="24"/>
      <c r="CV91" s="24"/>
      <c r="CW91" s="24"/>
      <c r="CX91" s="24"/>
      <c r="CY91" s="24"/>
      <c r="CZ91" s="24"/>
      <c r="DA91" s="24"/>
      <c r="DB91" s="24"/>
      <c r="DC91" s="24"/>
      <c r="DD91" s="24"/>
      <c r="DE91" s="24"/>
      <c r="DF91" s="24"/>
      <c r="DG91" s="24"/>
      <c r="DH91" s="24"/>
      <c r="DI91" s="24"/>
      <c r="DJ91" s="24"/>
      <c r="DK91" s="24"/>
      <c r="DL91" s="24"/>
      <c r="DM91" s="24"/>
      <c r="DN91" s="24"/>
      <c r="DO91" s="24"/>
      <c r="DP91" s="24"/>
      <c r="DQ91" s="24"/>
      <c r="DR91" s="24"/>
      <c r="DS91" s="24"/>
      <c r="DT91" s="24"/>
      <c r="DU91" s="24"/>
      <c r="DV91" s="24"/>
      <c r="DW91" s="24"/>
      <c r="DX91" s="24"/>
      <c r="DY91" s="24"/>
      <c r="DZ91" s="24"/>
      <c r="EA91" s="24"/>
      <c r="EB91" s="24"/>
      <c r="EC91" s="24"/>
      <c r="ED91" s="24"/>
      <c r="EE91" s="24"/>
      <c r="EF91" s="24"/>
      <c r="EG91" s="24"/>
      <c r="EH91" s="24"/>
      <c r="EI91" s="24"/>
      <c r="EM91" s="1" t="s">
        <v>191</v>
      </c>
    </row>
    <row r="92" spans="2:143" x14ac:dyDescent="0.45">
      <c r="F92" s="47"/>
      <c r="G92" s="24"/>
      <c r="H92" s="176" t="s">
        <v>189</v>
      </c>
      <c r="I92" s="177"/>
      <c r="J92" s="175">
        <f t="shared" si="769"/>
        <v>0.7</v>
      </c>
      <c r="K92" s="180">
        <v>0.3</v>
      </c>
      <c r="L92" s="175">
        <f>+L91</f>
        <v>0.2</v>
      </c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4"/>
      <c r="CF92" s="24"/>
      <c r="CG92" s="24"/>
      <c r="CH92" s="24"/>
      <c r="CI92" s="24"/>
      <c r="CJ92" s="24"/>
      <c r="CK92" s="24"/>
      <c r="CL92" s="24"/>
      <c r="CM92" s="24"/>
      <c r="CN92" s="24"/>
      <c r="CO92" s="24"/>
      <c r="CP92" s="24"/>
      <c r="CQ92" s="24"/>
      <c r="CR92" s="24"/>
      <c r="CS92" s="24"/>
      <c r="CT92" s="24"/>
      <c r="CU92" s="24"/>
      <c r="CV92" s="24"/>
      <c r="CW92" s="24"/>
      <c r="CX92" s="24"/>
      <c r="CY92" s="24"/>
      <c r="CZ92" s="24"/>
      <c r="DA92" s="24"/>
      <c r="DB92" s="24"/>
      <c r="DC92" s="24"/>
      <c r="DD92" s="24"/>
      <c r="DE92" s="24"/>
      <c r="DF92" s="24"/>
      <c r="DG92" s="24"/>
      <c r="DH92" s="24"/>
      <c r="DI92" s="24"/>
      <c r="DJ92" s="24"/>
      <c r="DK92" s="24"/>
      <c r="DL92" s="24"/>
      <c r="DM92" s="24"/>
      <c r="DN92" s="24"/>
      <c r="DO92" s="24"/>
      <c r="DP92" s="24"/>
      <c r="DQ92" s="24"/>
      <c r="DR92" s="24"/>
      <c r="DS92" s="24"/>
      <c r="DT92" s="24"/>
      <c r="DU92" s="24"/>
      <c r="DV92" s="24"/>
      <c r="DW92" s="24"/>
      <c r="DX92" s="24"/>
      <c r="DY92" s="24"/>
      <c r="DZ92" s="24"/>
      <c r="EA92" s="24"/>
      <c r="EB92" s="24"/>
      <c r="EC92" s="24"/>
      <c r="ED92" s="24"/>
      <c r="EE92" s="24"/>
      <c r="EF92" s="24"/>
      <c r="EG92" s="24"/>
      <c r="EH92" s="24"/>
      <c r="EI92" s="24"/>
      <c r="EM92" s="1" t="s">
        <v>191</v>
      </c>
    </row>
    <row r="93" spans="2:143" x14ac:dyDescent="0.45">
      <c r="G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4"/>
      <c r="CA93" s="24"/>
      <c r="CB93" s="24"/>
      <c r="CC93" s="24"/>
      <c r="CD93" s="24"/>
      <c r="CE93" s="24"/>
      <c r="CF93" s="24"/>
      <c r="CG93" s="24"/>
      <c r="CH93" s="24"/>
      <c r="CI93" s="24"/>
      <c r="CJ93" s="24"/>
      <c r="CK93" s="24"/>
      <c r="CL93" s="24"/>
      <c r="CM93" s="24"/>
      <c r="CN93" s="24"/>
      <c r="CO93" s="24"/>
      <c r="CP93" s="24"/>
      <c r="CQ93" s="24"/>
      <c r="CR93" s="24"/>
      <c r="CS93" s="24"/>
      <c r="CT93" s="24"/>
      <c r="CU93" s="24"/>
      <c r="CV93" s="24"/>
      <c r="CW93" s="24"/>
      <c r="CX93" s="24"/>
      <c r="CY93" s="24"/>
      <c r="CZ93" s="24"/>
      <c r="DA93" s="24"/>
      <c r="DB93" s="24"/>
      <c r="DC93" s="24"/>
      <c r="DD93" s="24"/>
      <c r="DE93" s="24"/>
      <c r="DF93" s="24"/>
      <c r="DG93" s="24"/>
      <c r="DH93" s="24"/>
      <c r="DI93" s="24"/>
      <c r="DJ93" s="24"/>
      <c r="DK93" s="24"/>
      <c r="DL93" s="24"/>
      <c r="DM93" s="24"/>
      <c r="DN93" s="24"/>
      <c r="DO93" s="24"/>
      <c r="DP93" s="24"/>
      <c r="DQ93" s="24"/>
      <c r="DR93" s="24"/>
      <c r="DS93" s="24"/>
      <c r="DT93" s="24"/>
      <c r="DU93" s="24"/>
      <c r="DV93" s="24"/>
      <c r="DW93" s="24"/>
      <c r="DX93" s="24"/>
      <c r="DY93" s="24"/>
      <c r="DZ93" s="24"/>
      <c r="EA93" s="24"/>
      <c r="EB93" s="24"/>
      <c r="EC93" s="24"/>
      <c r="ED93" s="24"/>
      <c r="EE93" s="24"/>
      <c r="EF93" s="24"/>
      <c r="EG93" s="24"/>
      <c r="EH93" s="24"/>
      <c r="EI93" s="24"/>
      <c r="EM93" s="1" t="s">
        <v>191</v>
      </c>
    </row>
    <row r="94" spans="2:143" x14ac:dyDescent="0.45">
      <c r="B94" s="24"/>
      <c r="G94" s="24"/>
      <c r="H94" s="24"/>
      <c r="I94" s="53"/>
      <c r="J94" s="53"/>
      <c r="K94" s="53"/>
      <c r="L94" s="53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4"/>
      <c r="DV94" s="24"/>
      <c r="DW94" s="24"/>
      <c r="DX94" s="24"/>
      <c r="DY94" s="24"/>
      <c r="DZ94" s="24"/>
      <c r="EA94" s="24"/>
      <c r="EB94" s="24"/>
      <c r="EC94" s="24"/>
      <c r="ED94" s="24"/>
      <c r="EE94" s="24"/>
      <c r="EF94" s="24"/>
      <c r="EG94" s="24"/>
      <c r="EH94" s="24"/>
      <c r="EI94" s="24"/>
      <c r="EM94" s="1" t="s">
        <v>191</v>
      </c>
    </row>
    <row r="95" spans="2:143" x14ac:dyDescent="0.45">
      <c r="D95" s="79" t="s">
        <v>221</v>
      </c>
      <c r="E95" s="2"/>
      <c r="F95" s="2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  <c r="AH95" s="176"/>
      <c r="AI95" s="176"/>
      <c r="AJ95" s="176"/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  <c r="BW95" s="176"/>
      <c r="BX95" s="176"/>
      <c r="BY95" s="176"/>
      <c r="BZ95" s="176"/>
      <c r="CA95" s="176"/>
      <c r="CB95" s="176"/>
      <c r="CC95" s="176"/>
      <c r="CD95" s="176"/>
      <c r="CE95" s="176"/>
      <c r="CF95" s="176"/>
      <c r="CG95" s="176"/>
      <c r="CH95" s="176"/>
      <c r="CI95" s="176"/>
      <c r="CJ95" s="176"/>
      <c r="CK95" s="176"/>
      <c r="CL95" s="176"/>
      <c r="CM95" s="176"/>
      <c r="CN95" s="176"/>
      <c r="CO95" s="176"/>
      <c r="CP95" s="176"/>
      <c r="CQ95" s="176"/>
      <c r="CR95" s="176"/>
      <c r="CS95" s="176"/>
      <c r="CT95" s="176"/>
      <c r="CU95" s="176"/>
      <c r="CV95" s="176"/>
      <c r="CW95" s="176"/>
      <c r="CX95" s="176"/>
      <c r="CY95" s="176"/>
      <c r="CZ95" s="176"/>
      <c r="DA95" s="176"/>
      <c r="DB95" s="176"/>
      <c r="DC95" s="176"/>
      <c r="DD95" s="176"/>
      <c r="DE95" s="176"/>
      <c r="DF95" s="176"/>
      <c r="DG95" s="176"/>
      <c r="DH95" s="176"/>
      <c r="DI95" s="176"/>
      <c r="DJ95" s="176"/>
      <c r="DK95" s="176"/>
      <c r="DL95" s="176"/>
      <c r="DM95" s="176"/>
      <c r="DN95" s="176"/>
      <c r="DO95" s="176"/>
      <c r="DP95" s="176"/>
      <c r="DQ95" s="176"/>
      <c r="DR95" s="176"/>
      <c r="DS95" s="176"/>
      <c r="DT95" s="176"/>
      <c r="DU95" s="176"/>
      <c r="DV95" s="176"/>
      <c r="DW95" s="176"/>
      <c r="DX95" s="176"/>
      <c r="DY95" s="176"/>
      <c r="DZ95" s="176"/>
      <c r="EA95" s="176"/>
      <c r="EB95" s="176"/>
      <c r="EC95" s="176"/>
      <c r="ED95" s="176"/>
      <c r="EE95" s="176"/>
      <c r="EF95" s="176"/>
      <c r="EG95" s="176"/>
      <c r="EH95" s="176"/>
      <c r="EI95" s="176"/>
      <c r="EM95" s="1" t="s">
        <v>191</v>
      </c>
    </row>
    <row r="96" spans="2:143" x14ac:dyDescent="0.45">
      <c r="B96" s="24">
        <f>SUM(G96:EI96)</f>
        <v>16914109.256641142</v>
      </c>
      <c r="D96" s="181" t="s">
        <v>192</v>
      </c>
      <c r="E96" s="182"/>
      <c r="F96" s="182"/>
      <c r="G96" s="182">
        <f t="shared" ref="G96:AL96" si="770">SUM(-G129,G145,G163,G171)*$F$90</f>
        <v>0</v>
      </c>
      <c r="H96" s="182">
        <f t="shared" si="770"/>
        <v>0</v>
      </c>
      <c r="I96" s="182">
        <f t="shared" si="770"/>
        <v>0</v>
      </c>
      <c r="J96" s="182">
        <f t="shared" si="770"/>
        <v>0</v>
      </c>
      <c r="K96" s="182">
        <f t="shared" si="770"/>
        <v>0</v>
      </c>
      <c r="L96" s="182">
        <f t="shared" si="770"/>
        <v>0</v>
      </c>
      <c r="M96" s="182">
        <f t="shared" si="770"/>
        <v>0</v>
      </c>
      <c r="N96" s="182">
        <f t="shared" si="770"/>
        <v>0</v>
      </c>
      <c r="O96" s="182">
        <f t="shared" si="770"/>
        <v>0</v>
      </c>
      <c r="P96" s="182">
        <f t="shared" si="770"/>
        <v>0</v>
      </c>
      <c r="Q96" s="182">
        <f t="shared" si="770"/>
        <v>0</v>
      </c>
      <c r="R96" s="182">
        <f t="shared" si="770"/>
        <v>0</v>
      </c>
      <c r="S96" s="182">
        <f t="shared" si="770"/>
        <v>0</v>
      </c>
      <c r="T96" s="182">
        <f t="shared" si="770"/>
        <v>0</v>
      </c>
      <c r="U96" s="182">
        <f t="shared" si="770"/>
        <v>0</v>
      </c>
      <c r="V96" s="182">
        <f t="shared" si="770"/>
        <v>0</v>
      </c>
      <c r="W96" s="182">
        <f t="shared" si="770"/>
        <v>0</v>
      </c>
      <c r="X96" s="182">
        <f t="shared" si="770"/>
        <v>0</v>
      </c>
      <c r="Y96" s="182">
        <f t="shared" si="770"/>
        <v>0</v>
      </c>
      <c r="Z96" s="182">
        <f t="shared" si="770"/>
        <v>0</v>
      </c>
      <c r="AA96" s="182">
        <f t="shared" si="770"/>
        <v>0</v>
      </c>
      <c r="AB96" s="182">
        <f t="shared" si="770"/>
        <v>0</v>
      </c>
      <c r="AC96" s="182">
        <f t="shared" si="770"/>
        <v>0</v>
      </c>
      <c r="AD96" s="182">
        <f t="shared" si="770"/>
        <v>0</v>
      </c>
      <c r="AE96" s="182">
        <f t="shared" si="770"/>
        <v>0</v>
      </c>
      <c r="AF96" s="182">
        <f t="shared" si="770"/>
        <v>23101.724724953601</v>
      </c>
      <c r="AG96" s="182">
        <f t="shared" si="770"/>
        <v>25695.598844748547</v>
      </c>
      <c r="AH96" s="182">
        <f t="shared" si="770"/>
        <v>28299.788684246159</v>
      </c>
      <c r="AI96" s="182">
        <f t="shared" si="770"/>
        <v>35474.013936050105</v>
      </c>
      <c r="AJ96" s="182">
        <f t="shared" si="770"/>
        <v>42677.402491818102</v>
      </c>
      <c r="AK96" s="182">
        <f t="shared" si="770"/>
        <v>49910.044403866217</v>
      </c>
      <c r="AL96" s="182">
        <f t="shared" si="770"/>
        <v>50213.744381905664</v>
      </c>
      <c r="AM96" s="182">
        <f t="shared" ref="AM96:BR96" si="771">SUM(-AM129,AM145,AM163,AM171)*$F$90</f>
        <v>50518.101414842364</v>
      </c>
      <c r="AN96" s="182">
        <f t="shared" si="771"/>
        <v>7796331.7394082239</v>
      </c>
      <c r="AO96" s="182">
        <f t="shared" si="771"/>
        <v>21570.690019083933</v>
      </c>
      <c r="AP96" s="182">
        <f t="shared" si="771"/>
        <v>21822.967273686321</v>
      </c>
      <c r="AQ96" s="182">
        <f t="shared" si="771"/>
        <v>22075.790290053901</v>
      </c>
      <c r="AR96" s="182">
        <f t="shared" si="771"/>
        <v>22329.160238830493</v>
      </c>
      <c r="AS96" s="182">
        <f t="shared" si="771"/>
        <v>22583.078293154937</v>
      </c>
      <c r="AT96" s="182">
        <f t="shared" si="771"/>
        <v>22837.545628666245</v>
      </c>
      <c r="AU96" s="182">
        <f t="shared" si="771"/>
        <v>23092.563423508967</v>
      </c>
      <c r="AV96" s="182">
        <f t="shared" si="771"/>
        <v>23348.132858338529</v>
      </c>
      <c r="AW96" s="182">
        <f t="shared" si="771"/>
        <v>23604.255116326363</v>
      </c>
      <c r="AX96" s="182">
        <f t="shared" si="771"/>
        <v>23860.931383165447</v>
      </c>
      <c r="AY96" s="182">
        <f t="shared" si="771"/>
        <v>24118.162847075608</v>
      </c>
      <c r="AZ96" s="182">
        <f t="shared" si="771"/>
        <v>24375.950698808858</v>
      </c>
      <c r="BA96" s="182">
        <f t="shared" si="771"/>
        <v>24634.296131654555</v>
      </c>
      <c r="BB96" s="182">
        <f t="shared" si="771"/>
        <v>24893.200341445368</v>
      </c>
      <c r="BC96" s="182">
        <f t="shared" si="771"/>
        <v>25152.66452656201</v>
      </c>
      <c r="BD96" s="182">
        <f t="shared" si="771"/>
        <v>25412.689887939021</v>
      </c>
      <c r="BE96" s="182">
        <f t="shared" si="771"/>
        <v>25673.277629070002</v>
      </c>
      <c r="BF96" s="182">
        <f t="shared" si="771"/>
        <v>25934.428956013198</v>
      </c>
      <c r="BG96" s="182">
        <f t="shared" si="771"/>
        <v>26196.145077396934</v>
      </c>
      <c r="BH96" s="182">
        <f t="shared" si="771"/>
        <v>26458.427204424883</v>
      </c>
      <c r="BI96" s="182">
        <f t="shared" si="771"/>
        <v>26721.276550881706</v>
      </c>
      <c r="BJ96" s="182">
        <f t="shared" si="771"/>
        <v>26984.694333138366</v>
      </c>
      <c r="BK96" s="182">
        <f t="shared" si="771"/>
        <v>27248.681770157837</v>
      </c>
      <c r="BL96" s="182">
        <f t="shared" si="771"/>
        <v>27513.240083500343</v>
      </c>
      <c r="BM96" s="182">
        <f t="shared" si="771"/>
        <v>27778.370497329121</v>
      </c>
      <c r="BN96" s="182">
        <f t="shared" si="771"/>
        <v>28044.074238415702</v>
      </c>
      <c r="BO96" s="182">
        <f t="shared" si="771"/>
        <v>8224632.9812505031</v>
      </c>
      <c r="BP96" s="182">
        <f t="shared" si="771"/>
        <v>0</v>
      </c>
      <c r="BQ96" s="182">
        <f t="shared" si="771"/>
        <v>-746.66286415450577</v>
      </c>
      <c r="BR96" s="182">
        <f t="shared" si="771"/>
        <v>-748.19627432572918</v>
      </c>
      <c r="BS96" s="182">
        <f t="shared" ref="BS96:CX96" si="772">SUM(-BS129,BS145,BS163,BS171)*$F$90</f>
        <v>-749.73284220570486</v>
      </c>
      <c r="BT96" s="182">
        <f t="shared" si="772"/>
        <v>-751.27257431150042</v>
      </c>
      <c r="BU96" s="182">
        <f t="shared" si="772"/>
        <v>-752.81547717365754</v>
      </c>
      <c r="BV96" s="182">
        <f t="shared" si="772"/>
        <v>-754.36155733622002</v>
      </c>
      <c r="BW96" s="182">
        <f t="shared" si="772"/>
        <v>-755.91082135676311</v>
      </c>
      <c r="BX96" s="182">
        <f t="shared" si="772"/>
        <v>-757.4632758064198</v>
      </c>
      <c r="BY96" s="182">
        <f t="shared" si="772"/>
        <v>-759.01892726991127</v>
      </c>
      <c r="BZ96" s="182">
        <f t="shared" si="772"/>
        <v>-760.57778234557156</v>
      </c>
      <c r="CA96" s="182">
        <f t="shared" si="772"/>
        <v>-762.13984764537997</v>
      </c>
      <c r="CB96" s="182">
        <f t="shared" si="772"/>
        <v>-763.70512979498494</v>
      </c>
      <c r="CC96" s="182">
        <f t="shared" si="772"/>
        <v>-765.27363543373531</v>
      </c>
      <c r="CD96" s="182">
        <f t="shared" si="772"/>
        <v>-766.84537121470782</v>
      </c>
      <c r="CE96" s="182">
        <f t="shared" si="772"/>
        <v>-768.42034380473649</v>
      </c>
      <c r="CF96" s="182">
        <f t="shared" si="772"/>
        <v>-769.99855988443824</v>
      </c>
      <c r="CG96" s="182">
        <f t="shared" si="772"/>
        <v>-771.58002614824488</v>
      </c>
      <c r="CH96" s="182">
        <f t="shared" si="772"/>
        <v>-773.16474930443178</v>
      </c>
      <c r="CI96" s="182">
        <f t="shared" si="772"/>
        <v>-774.75273607513975</v>
      </c>
      <c r="CJ96" s="182">
        <f t="shared" si="772"/>
        <v>-776.34399319641386</v>
      </c>
      <c r="CK96" s="182">
        <f t="shared" si="772"/>
        <v>-777.93852741822695</v>
      </c>
      <c r="CL96" s="182">
        <f t="shared" si="772"/>
        <v>-779.53634550450579</v>
      </c>
      <c r="CM96" s="182">
        <f t="shared" si="772"/>
        <v>-781.13745423316595</v>
      </c>
      <c r="CN96" s="182">
        <f t="shared" si="772"/>
        <v>-782.74186039613653</v>
      </c>
      <c r="CO96" s="182">
        <f t="shared" si="772"/>
        <v>-784.34957079939102</v>
      </c>
      <c r="CP96" s="182">
        <f t="shared" si="772"/>
        <v>-785.96059226297541</v>
      </c>
      <c r="CQ96" s="182">
        <f t="shared" si="772"/>
        <v>-787.57493162103981</v>
      </c>
      <c r="CR96" s="182">
        <f t="shared" si="772"/>
        <v>-789.19259572186127</v>
      </c>
      <c r="CS96" s="182">
        <f t="shared" si="772"/>
        <v>-790.81359142788256</v>
      </c>
      <c r="CT96" s="182">
        <f t="shared" si="772"/>
        <v>-792.43792561573264</v>
      </c>
      <c r="CU96" s="182">
        <f t="shared" si="772"/>
        <v>-794.0656051762611</v>
      </c>
      <c r="CV96" s="182">
        <f t="shared" si="772"/>
        <v>-795.69663701456716</v>
      </c>
      <c r="CW96" s="182">
        <f t="shared" si="772"/>
        <v>-797.33102805002659</v>
      </c>
      <c r="CX96" s="182">
        <f t="shared" si="772"/>
        <v>-798.96878521632232</v>
      </c>
      <c r="CY96" s="182">
        <f t="shared" ref="CY96:EI96" si="773">SUM(-CY129,CY145,CY163,CY171)*$F$90</f>
        <v>-800.60991546147932</v>
      </c>
      <c r="CZ96" s="182">
        <f t="shared" si="773"/>
        <v>-802.25442574788428</v>
      </c>
      <c r="DA96" s="182">
        <f t="shared" si="773"/>
        <v>-803.90232305232325</v>
      </c>
      <c r="DB96" s="182">
        <f t="shared" si="773"/>
        <v>-805.55361436600913</v>
      </c>
      <c r="DC96" s="182">
        <f t="shared" si="773"/>
        <v>-807.20830669461009</v>
      </c>
      <c r="DD96" s="182">
        <f t="shared" si="773"/>
        <v>-808.86640705828381</v>
      </c>
      <c r="DE96" s="182">
        <f t="shared" si="773"/>
        <v>-810.52792249169943</v>
      </c>
      <c r="DF96" s="182">
        <f t="shared" si="773"/>
        <v>-812.19286004407695</v>
      </c>
      <c r="DG96" s="182">
        <f t="shared" si="773"/>
        <v>-813.86122677921287</v>
      </c>
      <c r="DH96" s="182">
        <f t="shared" si="773"/>
        <v>-815.53302977550732</v>
      </c>
      <c r="DI96" s="182">
        <f t="shared" si="773"/>
        <v>-817.20827612600021</v>
      </c>
      <c r="DJ96" s="182">
        <f t="shared" si="773"/>
        <v>-818.8869729383988</v>
      </c>
      <c r="DK96" s="182">
        <f t="shared" si="773"/>
        <v>-820.56912733510751</v>
      </c>
      <c r="DL96" s="182">
        <f t="shared" si="773"/>
        <v>-822.25474645325892</v>
      </c>
      <c r="DM96" s="182">
        <f t="shared" si="773"/>
        <v>-823.94383744474442</v>
      </c>
      <c r="DN96" s="182">
        <f t="shared" si="773"/>
        <v>-825.63640747624515</v>
      </c>
      <c r="DO96" s="182">
        <f t="shared" si="773"/>
        <v>-827.33246372926203</v>
      </c>
      <c r="DP96" s="182">
        <f t="shared" si="773"/>
        <v>-829.03201340014607</v>
      </c>
      <c r="DQ96" s="182">
        <f t="shared" si="773"/>
        <v>-830.7350637001291</v>
      </c>
      <c r="DR96" s="182">
        <f t="shared" si="773"/>
        <v>-832.4416218553589</v>
      </c>
      <c r="DS96" s="182">
        <f t="shared" si="773"/>
        <v>-834.15169510692056</v>
      </c>
      <c r="DT96" s="182">
        <f t="shared" si="773"/>
        <v>-835.86529071087796</v>
      </c>
      <c r="DU96" s="182">
        <f t="shared" si="773"/>
        <v>-837.58241593829882</v>
      </c>
      <c r="DV96" s="182">
        <f t="shared" si="773"/>
        <v>-839.30307807528334</v>
      </c>
      <c r="DW96" s="182">
        <f t="shared" si="773"/>
        <v>-841.02728442300543</v>
      </c>
      <c r="DX96" s="182">
        <f t="shared" si="773"/>
        <v>-842.75504229773196</v>
      </c>
      <c r="DY96" s="182">
        <f t="shared" si="773"/>
        <v>-844.48635903086165</v>
      </c>
      <c r="DZ96" s="182">
        <f t="shared" si="773"/>
        <v>-846.22124196895572</v>
      </c>
      <c r="EA96" s="182">
        <f t="shared" si="773"/>
        <v>-847.95969847376682</v>
      </c>
      <c r="EB96" s="182">
        <f t="shared" si="773"/>
        <v>-849.70173592226786</v>
      </c>
      <c r="EC96" s="182">
        <f t="shared" si="773"/>
        <v>-851.44736170669159</v>
      </c>
      <c r="ED96" s="182">
        <f t="shared" si="773"/>
        <v>-853.19658323455803</v>
      </c>
      <c r="EE96" s="182">
        <f t="shared" si="773"/>
        <v>-854.94940792870398</v>
      </c>
      <c r="EF96" s="182">
        <f t="shared" si="773"/>
        <v>-856.705843227316</v>
      </c>
      <c r="EG96" s="182">
        <f t="shared" si="773"/>
        <v>-858.46589658396488</v>
      </c>
      <c r="EH96" s="182">
        <f t="shared" si="773"/>
        <v>-860.22957546763598</v>
      </c>
      <c r="EI96" s="182">
        <f t="shared" si="773"/>
        <v>-861.99688736275561</v>
      </c>
      <c r="EJ96" s="24"/>
      <c r="EK96" s="24"/>
      <c r="EL96" s="24"/>
      <c r="EM96" s="1" t="s">
        <v>191</v>
      </c>
    </row>
    <row r="97" spans="2:143" x14ac:dyDescent="0.45">
      <c r="B97" s="24">
        <f>SUM(G97:EI97)</f>
        <v>-7640382.4163567526</v>
      </c>
      <c r="D97" s="181" t="s">
        <v>193</v>
      </c>
      <c r="E97" s="182"/>
      <c r="F97" s="182"/>
      <c r="G97" s="182">
        <f t="shared" ref="G97:AL97" si="774">-SUM(G124)*$F$90</f>
        <v>-7640382.4163567526</v>
      </c>
      <c r="H97" s="182">
        <f t="shared" si="774"/>
        <v>0</v>
      </c>
      <c r="I97" s="182">
        <f t="shared" si="774"/>
        <v>0</v>
      </c>
      <c r="J97" s="182">
        <f t="shared" si="774"/>
        <v>0</v>
      </c>
      <c r="K97" s="182">
        <f t="shared" si="774"/>
        <v>0</v>
      </c>
      <c r="L97" s="182">
        <f t="shared" si="774"/>
        <v>0</v>
      </c>
      <c r="M97" s="182">
        <f t="shared" si="774"/>
        <v>0</v>
      </c>
      <c r="N97" s="182">
        <f t="shared" si="774"/>
        <v>0</v>
      </c>
      <c r="O97" s="182">
        <f t="shared" si="774"/>
        <v>0</v>
      </c>
      <c r="P97" s="182">
        <f t="shared" si="774"/>
        <v>0</v>
      </c>
      <c r="Q97" s="182">
        <f t="shared" si="774"/>
        <v>0</v>
      </c>
      <c r="R97" s="182">
        <f t="shared" si="774"/>
        <v>0</v>
      </c>
      <c r="S97" s="182">
        <f t="shared" si="774"/>
        <v>0</v>
      </c>
      <c r="T97" s="182">
        <f t="shared" si="774"/>
        <v>0</v>
      </c>
      <c r="U97" s="182">
        <f t="shared" si="774"/>
        <v>0</v>
      </c>
      <c r="V97" s="182">
        <f t="shared" si="774"/>
        <v>0</v>
      </c>
      <c r="W97" s="182">
        <f t="shared" si="774"/>
        <v>0</v>
      </c>
      <c r="X97" s="182">
        <f t="shared" si="774"/>
        <v>0</v>
      </c>
      <c r="Y97" s="182">
        <f t="shared" si="774"/>
        <v>0</v>
      </c>
      <c r="Z97" s="182">
        <f t="shared" si="774"/>
        <v>0</v>
      </c>
      <c r="AA97" s="182">
        <f t="shared" si="774"/>
        <v>0</v>
      </c>
      <c r="AB97" s="182">
        <f t="shared" si="774"/>
        <v>0</v>
      </c>
      <c r="AC97" s="182">
        <f t="shared" si="774"/>
        <v>0</v>
      </c>
      <c r="AD97" s="182">
        <f t="shared" si="774"/>
        <v>0</v>
      </c>
      <c r="AE97" s="182">
        <f t="shared" si="774"/>
        <v>0</v>
      </c>
      <c r="AF97" s="182">
        <f t="shared" si="774"/>
        <v>0</v>
      </c>
      <c r="AG97" s="182">
        <f t="shared" si="774"/>
        <v>0</v>
      </c>
      <c r="AH97" s="182">
        <f t="shared" si="774"/>
        <v>0</v>
      </c>
      <c r="AI97" s="182">
        <f t="shared" si="774"/>
        <v>0</v>
      </c>
      <c r="AJ97" s="182">
        <f t="shared" si="774"/>
        <v>0</v>
      </c>
      <c r="AK97" s="182">
        <f t="shared" si="774"/>
        <v>0</v>
      </c>
      <c r="AL97" s="182">
        <f t="shared" si="774"/>
        <v>0</v>
      </c>
      <c r="AM97" s="182">
        <f t="shared" ref="AM97:BR97" si="775">-SUM(AM124)*$F$90</f>
        <v>0</v>
      </c>
      <c r="AN97" s="182">
        <f t="shared" si="775"/>
        <v>0</v>
      </c>
      <c r="AO97" s="182">
        <f t="shared" si="775"/>
        <v>0</v>
      </c>
      <c r="AP97" s="182">
        <f t="shared" si="775"/>
        <v>0</v>
      </c>
      <c r="AQ97" s="182">
        <f t="shared" si="775"/>
        <v>0</v>
      </c>
      <c r="AR97" s="182">
        <f t="shared" si="775"/>
        <v>0</v>
      </c>
      <c r="AS97" s="182">
        <f t="shared" si="775"/>
        <v>0</v>
      </c>
      <c r="AT97" s="182">
        <f t="shared" si="775"/>
        <v>0</v>
      </c>
      <c r="AU97" s="182">
        <f t="shared" si="775"/>
        <v>0</v>
      </c>
      <c r="AV97" s="182">
        <f t="shared" si="775"/>
        <v>0</v>
      </c>
      <c r="AW97" s="182">
        <f t="shared" si="775"/>
        <v>0</v>
      </c>
      <c r="AX97" s="182">
        <f t="shared" si="775"/>
        <v>0</v>
      </c>
      <c r="AY97" s="182">
        <f t="shared" si="775"/>
        <v>0</v>
      </c>
      <c r="AZ97" s="182">
        <f t="shared" si="775"/>
        <v>0</v>
      </c>
      <c r="BA97" s="182">
        <f t="shared" si="775"/>
        <v>0</v>
      </c>
      <c r="BB97" s="182">
        <f t="shared" si="775"/>
        <v>0</v>
      </c>
      <c r="BC97" s="182">
        <f t="shared" si="775"/>
        <v>0</v>
      </c>
      <c r="BD97" s="182">
        <f t="shared" si="775"/>
        <v>0</v>
      </c>
      <c r="BE97" s="182">
        <f t="shared" si="775"/>
        <v>0</v>
      </c>
      <c r="BF97" s="182">
        <f t="shared" si="775"/>
        <v>0</v>
      </c>
      <c r="BG97" s="182">
        <f t="shared" si="775"/>
        <v>0</v>
      </c>
      <c r="BH97" s="182">
        <f t="shared" si="775"/>
        <v>0</v>
      </c>
      <c r="BI97" s="182">
        <f t="shared" si="775"/>
        <v>0</v>
      </c>
      <c r="BJ97" s="182">
        <f t="shared" si="775"/>
        <v>0</v>
      </c>
      <c r="BK97" s="182">
        <f t="shared" si="775"/>
        <v>0</v>
      </c>
      <c r="BL97" s="182">
        <f t="shared" si="775"/>
        <v>0</v>
      </c>
      <c r="BM97" s="182">
        <f t="shared" si="775"/>
        <v>0</v>
      </c>
      <c r="BN97" s="182">
        <f t="shared" si="775"/>
        <v>0</v>
      </c>
      <c r="BO97" s="182">
        <f t="shared" si="775"/>
        <v>0</v>
      </c>
      <c r="BP97" s="182">
        <f t="shared" si="775"/>
        <v>0</v>
      </c>
      <c r="BQ97" s="182">
        <f t="shared" si="775"/>
        <v>0</v>
      </c>
      <c r="BR97" s="182">
        <f t="shared" si="775"/>
        <v>0</v>
      </c>
      <c r="BS97" s="182">
        <f t="shared" ref="BS97:CX97" si="776">-SUM(BS124)*$F$90</f>
        <v>0</v>
      </c>
      <c r="BT97" s="182">
        <f t="shared" si="776"/>
        <v>0</v>
      </c>
      <c r="BU97" s="182">
        <f t="shared" si="776"/>
        <v>0</v>
      </c>
      <c r="BV97" s="182">
        <f t="shared" si="776"/>
        <v>0</v>
      </c>
      <c r="BW97" s="182">
        <f t="shared" si="776"/>
        <v>0</v>
      </c>
      <c r="BX97" s="182">
        <f t="shared" si="776"/>
        <v>0</v>
      </c>
      <c r="BY97" s="182">
        <f t="shared" si="776"/>
        <v>0</v>
      </c>
      <c r="BZ97" s="182">
        <f t="shared" si="776"/>
        <v>0</v>
      </c>
      <c r="CA97" s="182">
        <f t="shared" si="776"/>
        <v>0</v>
      </c>
      <c r="CB97" s="182">
        <f t="shared" si="776"/>
        <v>0</v>
      </c>
      <c r="CC97" s="182">
        <f t="shared" si="776"/>
        <v>0</v>
      </c>
      <c r="CD97" s="182">
        <f t="shared" si="776"/>
        <v>0</v>
      </c>
      <c r="CE97" s="182">
        <f t="shared" si="776"/>
        <v>0</v>
      </c>
      <c r="CF97" s="182">
        <f t="shared" si="776"/>
        <v>0</v>
      </c>
      <c r="CG97" s="182">
        <f t="shared" si="776"/>
        <v>0</v>
      </c>
      <c r="CH97" s="182">
        <f t="shared" si="776"/>
        <v>0</v>
      </c>
      <c r="CI97" s="182">
        <f t="shared" si="776"/>
        <v>0</v>
      </c>
      <c r="CJ97" s="182">
        <f t="shared" si="776"/>
        <v>0</v>
      </c>
      <c r="CK97" s="182">
        <f t="shared" si="776"/>
        <v>0</v>
      </c>
      <c r="CL97" s="182">
        <f t="shared" si="776"/>
        <v>0</v>
      </c>
      <c r="CM97" s="182">
        <f t="shared" si="776"/>
        <v>0</v>
      </c>
      <c r="CN97" s="182">
        <f t="shared" si="776"/>
        <v>0</v>
      </c>
      <c r="CO97" s="182">
        <f t="shared" si="776"/>
        <v>0</v>
      </c>
      <c r="CP97" s="182">
        <f t="shared" si="776"/>
        <v>0</v>
      </c>
      <c r="CQ97" s="182">
        <f t="shared" si="776"/>
        <v>0</v>
      </c>
      <c r="CR97" s="182">
        <f t="shared" si="776"/>
        <v>0</v>
      </c>
      <c r="CS97" s="182">
        <f t="shared" si="776"/>
        <v>0</v>
      </c>
      <c r="CT97" s="182">
        <f t="shared" si="776"/>
        <v>0</v>
      </c>
      <c r="CU97" s="182">
        <f t="shared" si="776"/>
        <v>0</v>
      </c>
      <c r="CV97" s="182">
        <f t="shared" si="776"/>
        <v>0</v>
      </c>
      <c r="CW97" s="182">
        <f t="shared" si="776"/>
        <v>0</v>
      </c>
      <c r="CX97" s="182">
        <f t="shared" si="776"/>
        <v>0</v>
      </c>
      <c r="CY97" s="182">
        <f t="shared" ref="CY97:EI97" si="777">-SUM(CY124)*$F$90</f>
        <v>0</v>
      </c>
      <c r="CZ97" s="182">
        <f t="shared" si="777"/>
        <v>0</v>
      </c>
      <c r="DA97" s="182">
        <f t="shared" si="777"/>
        <v>0</v>
      </c>
      <c r="DB97" s="182">
        <f t="shared" si="777"/>
        <v>0</v>
      </c>
      <c r="DC97" s="182">
        <f t="shared" si="777"/>
        <v>0</v>
      </c>
      <c r="DD97" s="182">
        <f t="shared" si="777"/>
        <v>0</v>
      </c>
      <c r="DE97" s="182">
        <f t="shared" si="777"/>
        <v>0</v>
      </c>
      <c r="DF97" s="182">
        <f t="shared" si="777"/>
        <v>0</v>
      </c>
      <c r="DG97" s="182">
        <f t="shared" si="777"/>
        <v>0</v>
      </c>
      <c r="DH97" s="182">
        <f t="shared" si="777"/>
        <v>0</v>
      </c>
      <c r="DI97" s="182">
        <f t="shared" si="777"/>
        <v>0</v>
      </c>
      <c r="DJ97" s="182">
        <f t="shared" si="777"/>
        <v>0</v>
      </c>
      <c r="DK97" s="182">
        <f t="shared" si="777"/>
        <v>0</v>
      </c>
      <c r="DL97" s="182">
        <f t="shared" si="777"/>
        <v>0</v>
      </c>
      <c r="DM97" s="182">
        <f t="shared" si="777"/>
        <v>0</v>
      </c>
      <c r="DN97" s="182">
        <f t="shared" si="777"/>
        <v>0</v>
      </c>
      <c r="DO97" s="182">
        <f t="shared" si="777"/>
        <v>0</v>
      </c>
      <c r="DP97" s="182">
        <f t="shared" si="777"/>
        <v>0</v>
      </c>
      <c r="DQ97" s="182">
        <f t="shared" si="777"/>
        <v>0</v>
      </c>
      <c r="DR97" s="182">
        <f t="shared" si="777"/>
        <v>0</v>
      </c>
      <c r="DS97" s="182">
        <f t="shared" si="777"/>
        <v>0</v>
      </c>
      <c r="DT97" s="182">
        <f t="shared" si="777"/>
        <v>0</v>
      </c>
      <c r="DU97" s="182">
        <f t="shared" si="777"/>
        <v>0</v>
      </c>
      <c r="DV97" s="182">
        <f t="shared" si="777"/>
        <v>0</v>
      </c>
      <c r="DW97" s="182">
        <f t="shared" si="777"/>
        <v>0</v>
      </c>
      <c r="DX97" s="182">
        <f t="shared" si="777"/>
        <v>0</v>
      </c>
      <c r="DY97" s="182">
        <f t="shared" si="777"/>
        <v>0</v>
      </c>
      <c r="DZ97" s="182">
        <f t="shared" si="777"/>
        <v>0</v>
      </c>
      <c r="EA97" s="182">
        <f t="shared" si="777"/>
        <v>0</v>
      </c>
      <c r="EB97" s="182">
        <f t="shared" si="777"/>
        <v>0</v>
      </c>
      <c r="EC97" s="182">
        <f t="shared" si="777"/>
        <v>0</v>
      </c>
      <c r="ED97" s="182">
        <f t="shared" si="777"/>
        <v>0</v>
      </c>
      <c r="EE97" s="182">
        <f t="shared" si="777"/>
        <v>0</v>
      </c>
      <c r="EF97" s="182">
        <f t="shared" si="777"/>
        <v>0</v>
      </c>
      <c r="EG97" s="182">
        <f t="shared" si="777"/>
        <v>0</v>
      </c>
      <c r="EH97" s="182">
        <f t="shared" si="777"/>
        <v>0</v>
      </c>
      <c r="EI97" s="182">
        <f t="shared" si="777"/>
        <v>0</v>
      </c>
      <c r="EJ97" s="24"/>
      <c r="EK97" s="24"/>
      <c r="EL97" s="24"/>
      <c r="EM97" s="1" t="s">
        <v>191</v>
      </c>
    </row>
    <row r="98" spans="2:143" s="83" customFormat="1" x14ac:dyDescent="0.45">
      <c r="D98" s="192" t="s">
        <v>194</v>
      </c>
      <c r="E98" s="193"/>
      <c r="F98" s="193"/>
      <c r="G98" s="193">
        <f>SUM(G96:G97)</f>
        <v>-7640382.4163567526</v>
      </c>
      <c r="H98" s="193">
        <f t="shared" ref="H98:BS98" si="778">SUM(H96:H97)</f>
        <v>0</v>
      </c>
      <c r="I98" s="193">
        <f t="shared" si="778"/>
        <v>0</v>
      </c>
      <c r="J98" s="193">
        <f t="shared" si="778"/>
        <v>0</v>
      </c>
      <c r="K98" s="193">
        <f t="shared" si="778"/>
        <v>0</v>
      </c>
      <c r="L98" s="193">
        <f t="shared" si="778"/>
        <v>0</v>
      </c>
      <c r="M98" s="193">
        <f t="shared" si="778"/>
        <v>0</v>
      </c>
      <c r="N98" s="193">
        <f t="shared" si="778"/>
        <v>0</v>
      </c>
      <c r="O98" s="193">
        <f t="shared" si="778"/>
        <v>0</v>
      </c>
      <c r="P98" s="193">
        <f t="shared" si="778"/>
        <v>0</v>
      </c>
      <c r="Q98" s="193">
        <f t="shared" si="778"/>
        <v>0</v>
      </c>
      <c r="R98" s="193">
        <f t="shared" si="778"/>
        <v>0</v>
      </c>
      <c r="S98" s="193">
        <f t="shared" si="778"/>
        <v>0</v>
      </c>
      <c r="T98" s="193">
        <f t="shared" si="778"/>
        <v>0</v>
      </c>
      <c r="U98" s="193">
        <f t="shared" si="778"/>
        <v>0</v>
      </c>
      <c r="V98" s="193">
        <f t="shared" si="778"/>
        <v>0</v>
      </c>
      <c r="W98" s="193">
        <f t="shared" si="778"/>
        <v>0</v>
      </c>
      <c r="X98" s="193">
        <f t="shared" si="778"/>
        <v>0</v>
      </c>
      <c r="Y98" s="193">
        <f t="shared" si="778"/>
        <v>0</v>
      </c>
      <c r="Z98" s="193">
        <f t="shared" si="778"/>
        <v>0</v>
      </c>
      <c r="AA98" s="193">
        <f t="shared" si="778"/>
        <v>0</v>
      </c>
      <c r="AB98" s="193">
        <f t="shared" si="778"/>
        <v>0</v>
      </c>
      <c r="AC98" s="193">
        <f t="shared" si="778"/>
        <v>0</v>
      </c>
      <c r="AD98" s="193">
        <f t="shared" si="778"/>
        <v>0</v>
      </c>
      <c r="AE98" s="193">
        <f t="shared" si="778"/>
        <v>0</v>
      </c>
      <c r="AF98" s="193">
        <f t="shared" si="778"/>
        <v>23101.724724953601</v>
      </c>
      <c r="AG98" s="193">
        <f t="shared" si="778"/>
        <v>25695.598844748547</v>
      </c>
      <c r="AH98" s="193">
        <f t="shared" si="778"/>
        <v>28299.788684246159</v>
      </c>
      <c r="AI98" s="193">
        <f t="shared" si="778"/>
        <v>35474.013936050105</v>
      </c>
      <c r="AJ98" s="193">
        <f t="shared" si="778"/>
        <v>42677.402491818102</v>
      </c>
      <c r="AK98" s="193">
        <f t="shared" si="778"/>
        <v>49910.044403866217</v>
      </c>
      <c r="AL98" s="193">
        <f t="shared" si="778"/>
        <v>50213.744381905664</v>
      </c>
      <c r="AM98" s="193">
        <f t="shared" si="778"/>
        <v>50518.101414842364</v>
      </c>
      <c r="AN98" s="193">
        <f t="shared" si="778"/>
        <v>7796331.7394082239</v>
      </c>
      <c r="AO98" s="193">
        <f t="shared" si="778"/>
        <v>21570.690019083933</v>
      </c>
      <c r="AP98" s="193">
        <f t="shared" si="778"/>
        <v>21822.967273686321</v>
      </c>
      <c r="AQ98" s="193">
        <f t="shared" si="778"/>
        <v>22075.790290053901</v>
      </c>
      <c r="AR98" s="193">
        <f t="shared" si="778"/>
        <v>22329.160238830493</v>
      </c>
      <c r="AS98" s="193">
        <f t="shared" si="778"/>
        <v>22583.078293154937</v>
      </c>
      <c r="AT98" s="193">
        <f t="shared" si="778"/>
        <v>22837.545628666245</v>
      </c>
      <c r="AU98" s="193">
        <f t="shared" si="778"/>
        <v>23092.563423508967</v>
      </c>
      <c r="AV98" s="193">
        <f t="shared" si="778"/>
        <v>23348.132858338529</v>
      </c>
      <c r="AW98" s="193">
        <f t="shared" si="778"/>
        <v>23604.255116326363</v>
      </c>
      <c r="AX98" s="193">
        <f t="shared" si="778"/>
        <v>23860.931383165447</v>
      </c>
      <c r="AY98" s="193">
        <f t="shared" si="778"/>
        <v>24118.162847075608</v>
      </c>
      <c r="AZ98" s="193">
        <f t="shared" si="778"/>
        <v>24375.950698808858</v>
      </c>
      <c r="BA98" s="193">
        <f t="shared" si="778"/>
        <v>24634.296131654555</v>
      </c>
      <c r="BB98" s="193">
        <f t="shared" si="778"/>
        <v>24893.200341445368</v>
      </c>
      <c r="BC98" s="193">
        <f t="shared" si="778"/>
        <v>25152.66452656201</v>
      </c>
      <c r="BD98" s="193">
        <f t="shared" si="778"/>
        <v>25412.689887939021</v>
      </c>
      <c r="BE98" s="193">
        <f t="shared" si="778"/>
        <v>25673.277629070002</v>
      </c>
      <c r="BF98" s="193">
        <f t="shared" si="778"/>
        <v>25934.428956013198</v>
      </c>
      <c r="BG98" s="193">
        <f t="shared" si="778"/>
        <v>26196.145077396934</v>
      </c>
      <c r="BH98" s="193">
        <f t="shared" si="778"/>
        <v>26458.427204424883</v>
      </c>
      <c r="BI98" s="193">
        <f t="shared" si="778"/>
        <v>26721.276550881706</v>
      </c>
      <c r="BJ98" s="193">
        <f t="shared" si="778"/>
        <v>26984.694333138366</v>
      </c>
      <c r="BK98" s="193">
        <f t="shared" si="778"/>
        <v>27248.681770157837</v>
      </c>
      <c r="BL98" s="193">
        <f t="shared" si="778"/>
        <v>27513.240083500343</v>
      </c>
      <c r="BM98" s="193">
        <f t="shared" si="778"/>
        <v>27778.370497329121</v>
      </c>
      <c r="BN98" s="193">
        <f t="shared" si="778"/>
        <v>28044.074238415702</v>
      </c>
      <c r="BO98" s="193">
        <f t="shared" si="778"/>
        <v>8224632.9812505031</v>
      </c>
      <c r="BP98" s="193">
        <f t="shared" si="778"/>
        <v>0</v>
      </c>
      <c r="BQ98" s="193">
        <f t="shared" si="778"/>
        <v>-746.66286415450577</v>
      </c>
      <c r="BR98" s="193">
        <f t="shared" si="778"/>
        <v>-748.19627432572918</v>
      </c>
      <c r="BS98" s="193">
        <f t="shared" si="778"/>
        <v>-749.73284220570486</v>
      </c>
      <c r="BT98" s="193">
        <f t="shared" ref="BT98:CV98" si="779">SUM(BT96:BT97)</f>
        <v>-751.27257431150042</v>
      </c>
      <c r="BU98" s="193">
        <f t="shared" si="779"/>
        <v>-752.81547717365754</v>
      </c>
      <c r="BV98" s="193">
        <f t="shared" si="779"/>
        <v>-754.36155733622002</v>
      </c>
      <c r="BW98" s="193">
        <f t="shared" si="779"/>
        <v>-755.91082135676311</v>
      </c>
      <c r="BX98" s="193">
        <f t="shared" si="779"/>
        <v>-757.4632758064198</v>
      </c>
      <c r="BY98" s="193">
        <f t="shared" si="779"/>
        <v>-759.01892726991127</v>
      </c>
      <c r="BZ98" s="193">
        <f t="shared" si="779"/>
        <v>-760.57778234557156</v>
      </c>
      <c r="CA98" s="193">
        <f t="shared" si="779"/>
        <v>-762.13984764537997</v>
      </c>
      <c r="CB98" s="193">
        <f t="shared" si="779"/>
        <v>-763.70512979498494</v>
      </c>
      <c r="CC98" s="193">
        <f t="shared" si="779"/>
        <v>-765.27363543373531</v>
      </c>
      <c r="CD98" s="193">
        <f t="shared" si="779"/>
        <v>-766.84537121470782</v>
      </c>
      <c r="CE98" s="193">
        <f t="shared" si="779"/>
        <v>-768.42034380473649</v>
      </c>
      <c r="CF98" s="193">
        <f t="shared" si="779"/>
        <v>-769.99855988443824</v>
      </c>
      <c r="CG98" s="193">
        <f t="shared" si="779"/>
        <v>-771.58002614824488</v>
      </c>
      <c r="CH98" s="193">
        <f t="shared" si="779"/>
        <v>-773.16474930443178</v>
      </c>
      <c r="CI98" s="193">
        <f t="shared" si="779"/>
        <v>-774.75273607513975</v>
      </c>
      <c r="CJ98" s="193">
        <f t="shared" si="779"/>
        <v>-776.34399319641386</v>
      </c>
      <c r="CK98" s="193">
        <f t="shared" si="779"/>
        <v>-777.93852741822695</v>
      </c>
      <c r="CL98" s="193">
        <f t="shared" si="779"/>
        <v>-779.53634550450579</v>
      </c>
      <c r="CM98" s="193">
        <f t="shared" si="779"/>
        <v>-781.13745423316595</v>
      </c>
      <c r="CN98" s="193">
        <f t="shared" si="779"/>
        <v>-782.74186039613653</v>
      </c>
      <c r="CO98" s="193">
        <f t="shared" si="779"/>
        <v>-784.34957079939102</v>
      </c>
      <c r="CP98" s="193">
        <f t="shared" si="779"/>
        <v>-785.96059226297541</v>
      </c>
      <c r="CQ98" s="193">
        <f t="shared" si="779"/>
        <v>-787.57493162103981</v>
      </c>
      <c r="CR98" s="193">
        <f t="shared" si="779"/>
        <v>-789.19259572186127</v>
      </c>
      <c r="CS98" s="193">
        <f t="shared" si="779"/>
        <v>-790.81359142788256</v>
      </c>
      <c r="CT98" s="193">
        <f t="shared" si="779"/>
        <v>-792.43792561573264</v>
      </c>
      <c r="CU98" s="193">
        <f t="shared" si="779"/>
        <v>-794.0656051762611</v>
      </c>
      <c r="CV98" s="193">
        <f t="shared" si="779"/>
        <v>-795.69663701456716</v>
      </c>
      <c r="CW98" s="193">
        <f t="shared" ref="CW98:EI98" si="780">SUM(CW96:CW97)</f>
        <v>-797.33102805002659</v>
      </c>
      <c r="CX98" s="193">
        <f t="shared" si="780"/>
        <v>-798.96878521632232</v>
      </c>
      <c r="CY98" s="193">
        <f t="shared" si="780"/>
        <v>-800.60991546147932</v>
      </c>
      <c r="CZ98" s="193">
        <f t="shared" si="780"/>
        <v>-802.25442574788428</v>
      </c>
      <c r="DA98" s="193">
        <f t="shared" si="780"/>
        <v>-803.90232305232325</v>
      </c>
      <c r="DB98" s="193">
        <f t="shared" si="780"/>
        <v>-805.55361436600913</v>
      </c>
      <c r="DC98" s="193">
        <f t="shared" si="780"/>
        <v>-807.20830669461009</v>
      </c>
      <c r="DD98" s="193">
        <f t="shared" si="780"/>
        <v>-808.86640705828381</v>
      </c>
      <c r="DE98" s="193">
        <f t="shared" si="780"/>
        <v>-810.52792249169943</v>
      </c>
      <c r="DF98" s="193">
        <f t="shared" si="780"/>
        <v>-812.19286004407695</v>
      </c>
      <c r="DG98" s="193">
        <f t="shared" si="780"/>
        <v>-813.86122677921287</v>
      </c>
      <c r="DH98" s="193">
        <f t="shared" si="780"/>
        <v>-815.53302977550732</v>
      </c>
      <c r="DI98" s="193">
        <f t="shared" si="780"/>
        <v>-817.20827612600021</v>
      </c>
      <c r="DJ98" s="193">
        <f t="shared" si="780"/>
        <v>-818.8869729383988</v>
      </c>
      <c r="DK98" s="193">
        <f t="shared" si="780"/>
        <v>-820.56912733510751</v>
      </c>
      <c r="DL98" s="193">
        <f t="shared" si="780"/>
        <v>-822.25474645325892</v>
      </c>
      <c r="DM98" s="193">
        <f t="shared" si="780"/>
        <v>-823.94383744474442</v>
      </c>
      <c r="DN98" s="193">
        <f t="shared" si="780"/>
        <v>-825.63640747624515</v>
      </c>
      <c r="DO98" s="193">
        <f t="shared" si="780"/>
        <v>-827.33246372926203</v>
      </c>
      <c r="DP98" s="193">
        <f t="shared" si="780"/>
        <v>-829.03201340014607</v>
      </c>
      <c r="DQ98" s="193">
        <f t="shared" si="780"/>
        <v>-830.7350637001291</v>
      </c>
      <c r="DR98" s="193">
        <f t="shared" si="780"/>
        <v>-832.4416218553589</v>
      </c>
      <c r="DS98" s="193">
        <f t="shared" si="780"/>
        <v>-834.15169510692056</v>
      </c>
      <c r="DT98" s="193">
        <f t="shared" si="780"/>
        <v>-835.86529071087796</v>
      </c>
      <c r="DU98" s="193">
        <f t="shared" si="780"/>
        <v>-837.58241593829882</v>
      </c>
      <c r="DV98" s="193">
        <f t="shared" si="780"/>
        <v>-839.30307807528334</v>
      </c>
      <c r="DW98" s="193">
        <f t="shared" si="780"/>
        <v>-841.02728442300543</v>
      </c>
      <c r="DX98" s="193">
        <f t="shared" si="780"/>
        <v>-842.75504229773196</v>
      </c>
      <c r="DY98" s="193">
        <f t="shared" si="780"/>
        <v>-844.48635903086165</v>
      </c>
      <c r="DZ98" s="193">
        <f t="shared" si="780"/>
        <v>-846.22124196895572</v>
      </c>
      <c r="EA98" s="193">
        <f t="shared" si="780"/>
        <v>-847.95969847376682</v>
      </c>
      <c r="EB98" s="193">
        <f t="shared" si="780"/>
        <v>-849.70173592226786</v>
      </c>
      <c r="EC98" s="193">
        <f t="shared" si="780"/>
        <v>-851.44736170669159</v>
      </c>
      <c r="ED98" s="193">
        <f t="shared" si="780"/>
        <v>-853.19658323455803</v>
      </c>
      <c r="EE98" s="193">
        <f t="shared" si="780"/>
        <v>-854.94940792870398</v>
      </c>
      <c r="EF98" s="193">
        <f t="shared" si="780"/>
        <v>-856.705843227316</v>
      </c>
      <c r="EG98" s="193">
        <f t="shared" si="780"/>
        <v>-858.46589658396488</v>
      </c>
      <c r="EH98" s="193">
        <f t="shared" si="780"/>
        <v>-860.22957546763598</v>
      </c>
      <c r="EI98" s="193">
        <f t="shared" si="780"/>
        <v>-861.99688736275561</v>
      </c>
      <c r="EJ98" s="185"/>
      <c r="EK98" s="185"/>
      <c r="EL98" s="185"/>
      <c r="EM98" s="1" t="s">
        <v>191</v>
      </c>
    </row>
    <row r="99" spans="2:143" x14ac:dyDescent="0.45">
      <c r="D99" s="181" t="s">
        <v>195</v>
      </c>
      <c r="E99" s="190">
        <f>XIRR(G98:EI98,$G$2:$EI$2)</f>
        <v>0.23664005398750307</v>
      </c>
      <c r="F99" s="182"/>
      <c r="G99" s="182"/>
      <c r="H99" s="182"/>
      <c r="I99" s="182"/>
      <c r="J99" s="182"/>
      <c r="K99" s="182"/>
      <c r="L99" s="182"/>
      <c r="M99" s="182"/>
      <c r="N99" s="182"/>
      <c r="O99" s="182"/>
      <c r="P99" s="182"/>
      <c r="Q99" s="182"/>
      <c r="R99" s="182"/>
      <c r="S99" s="182"/>
      <c r="T99" s="182"/>
      <c r="U99" s="182"/>
      <c r="V99" s="182"/>
      <c r="W99" s="182"/>
      <c r="X99" s="182"/>
      <c r="Y99" s="182"/>
      <c r="Z99" s="182"/>
      <c r="AA99" s="182"/>
      <c r="AB99" s="182"/>
      <c r="AC99" s="182"/>
      <c r="AD99" s="182"/>
      <c r="AE99" s="182"/>
      <c r="AF99" s="182"/>
      <c r="AG99" s="182"/>
      <c r="AH99" s="182"/>
      <c r="AI99" s="182"/>
      <c r="AJ99" s="182"/>
      <c r="AK99" s="182"/>
      <c r="AL99" s="182"/>
      <c r="AM99" s="182"/>
      <c r="AN99" s="182"/>
      <c r="AO99" s="182"/>
      <c r="AP99" s="182"/>
      <c r="AQ99" s="182"/>
      <c r="AR99" s="182"/>
      <c r="AS99" s="182"/>
      <c r="AT99" s="182"/>
      <c r="AU99" s="182"/>
      <c r="AV99" s="182"/>
      <c r="AW99" s="182"/>
      <c r="AX99" s="182"/>
      <c r="AY99" s="182"/>
      <c r="AZ99" s="182"/>
      <c r="BA99" s="182"/>
      <c r="BB99" s="182"/>
      <c r="BC99" s="182"/>
      <c r="BD99" s="182"/>
      <c r="BE99" s="182"/>
      <c r="BF99" s="182"/>
      <c r="BG99" s="182"/>
      <c r="BH99" s="182"/>
      <c r="BI99" s="182"/>
      <c r="BJ99" s="182"/>
      <c r="BK99" s="182"/>
      <c r="BL99" s="182"/>
      <c r="BM99" s="182"/>
      <c r="BN99" s="182"/>
      <c r="BO99" s="182"/>
      <c r="BP99" s="182"/>
      <c r="BQ99" s="182"/>
      <c r="BR99" s="182"/>
      <c r="BS99" s="182"/>
      <c r="BT99" s="182"/>
      <c r="BU99" s="182"/>
      <c r="BV99" s="182"/>
      <c r="BW99" s="182"/>
      <c r="BX99" s="182"/>
      <c r="BY99" s="182"/>
      <c r="BZ99" s="182"/>
      <c r="CA99" s="182"/>
      <c r="CB99" s="182"/>
      <c r="CC99" s="182"/>
      <c r="CD99" s="182"/>
      <c r="CE99" s="182"/>
      <c r="CF99" s="182"/>
      <c r="CG99" s="182"/>
      <c r="CH99" s="182"/>
      <c r="CI99" s="182"/>
      <c r="CJ99" s="182"/>
      <c r="CK99" s="182"/>
      <c r="CL99" s="182"/>
      <c r="CM99" s="182"/>
      <c r="CN99" s="182"/>
      <c r="CO99" s="182"/>
      <c r="CP99" s="182"/>
      <c r="CQ99" s="182"/>
      <c r="CR99" s="182"/>
      <c r="CS99" s="182"/>
      <c r="CT99" s="182"/>
      <c r="CU99" s="182"/>
      <c r="CV99" s="182"/>
      <c r="CW99" s="182"/>
      <c r="CX99" s="182"/>
      <c r="CY99" s="182"/>
      <c r="CZ99" s="182"/>
      <c r="DA99" s="182"/>
      <c r="DB99" s="182"/>
      <c r="DC99" s="182"/>
      <c r="DD99" s="182"/>
      <c r="DE99" s="182"/>
      <c r="DF99" s="182"/>
      <c r="DG99" s="182"/>
      <c r="DH99" s="182"/>
      <c r="DI99" s="182"/>
      <c r="DJ99" s="182"/>
      <c r="DK99" s="182"/>
      <c r="DL99" s="182"/>
      <c r="DM99" s="182"/>
      <c r="DN99" s="182"/>
      <c r="DO99" s="182"/>
      <c r="DP99" s="182"/>
      <c r="DQ99" s="182"/>
      <c r="DR99" s="182"/>
      <c r="DS99" s="182"/>
      <c r="DT99" s="182"/>
      <c r="DU99" s="182"/>
      <c r="DV99" s="182"/>
      <c r="DW99" s="182"/>
      <c r="DX99" s="182"/>
      <c r="DY99" s="182"/>
      <c r="DZ99" s="182"/>
      <c r="EA99" s="182"/>
      <c r="EB99" s="182"/>
      <c r="EC99" s="182"/>
      <c r="ED99" s="182"/>
      <c r="EE99" s="182"/>
      <c r="EF99" s="182"/>
      <c r="EG99" s="182"/>
      <c r="EH99" s="182"/>
      <c r="EI99" s="182"/>
      <c r="EJ99" s="24"/>
      <c r="EK99" s="24"/>
      <c r="EL99" s="24"/>
      <c r="EM99" s="1" t="s">
        <v>191</v>
      </c>
    </row>
    <row r="100" spans="2:143" x14ac:dyDescent="0.45">
      <c r="D100" s="183" t="s">
        <v>196</v>
      </c>
      <c r="E100" s="191">
        <f>-SUM(G96:EI96)/SUM(G97:EI97)</f>
        <v>2.2137778366212304</v>
      </c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/>
      <c r="Q100" s="184"/>
      <c r="R100" s="184"/>
      <c r="S100" s="184"/>
      <c r="T100" s="184"/>
      <c r="U100" s="184"/>
      <c r="V100" s="184"/>
      <c r="W100" s="184"/>
      <c r="X100" s="184"/>
      <c r="Y100" s="184"/>
      <c r="Z100" s="184"/>
      <c r="AA100" s="184"/>
      <c r="AB100" s="184"/>
      <c r="AC100" s="184"/>
      <c r="AD100" s="184"/>
      <c r="AE100" s="184"/>
      <c r="AF100" s="184"/>
      <c r="AG100" s="184"/>
      <c r="AH100" s="184"/>
      <c r="AI100" s="184"/>
      <c r="AJ100" s="184"/>
      <c r="AK100" s="184"/>
      <c r="AL100" s="184"/>
      <c r="AM100" s="184"/>
      <c r="AN100" s="184"/>
      <c r="AO100" s="184"/>
      <c r="AP100" s="184"/>
      <c r="AQ100" s="184"/>
      <c r="AR100" s="184"/>
      <c r="AS100" s="184"/>
      <c r="AT100" s="184"/>
      <c r="AU100" s="184"/>
      <c r="AV100" s="184"/>
      <c r="AW100" s="184"/>
      <c r="AX100" s="184"/>
      <c r="AY100" s="184"/>
      <c r="AZ100" s="184"/>
      <c r="BA100" s="184"/>
      <c r="BB100" s="184"/>
      <c r="BC100" s="184"/>
      <c r="BD100" s="184"/>
      <c r="BE100" s="184"/>
      <c r="BF100" s="184"/>
      <c r="BG100" s="184"/>
      <c r="BH100" s="184"/>
      <c r="BI100" s="184"/>
      <c r="BJ100" s="184"/>
      <c r="BK100" s="184"/>
      <c r="BL100" s="184"/>
      <c r="BM100" s="184"/>
      <c r="BN100" s="184"/>
      <c r="BO100" s="184"/>
      <c r="BP100" s="184"/>
      <c r="BQ100" s="184"/>
      <c r="BR100" s="184"/>
      <c r="BS100" s="184"/>
      <c r="BT100" s="184"/>
      <c r="BU100" s="184"/>
      <c r="BV100" s="184"/>
      <c r="BW100" s="184"/>
      <c r="BX100" s="184"/>
      <c r="BY100" s="184"/>
      <c r="BZ100" s="184"/>
      <c r="CA100" s="184"/>
      <c r="CB100" s="184"/>
      <c r="CC100" s="184"/>
      <c r="CD100" s="184"/>
      <c r="CE100" s="184"/>
      <c r="CF100" s="184"/>
      <c r="CG100" s="184"/>
      <c r="CH100" s="184"/>
      <c r="CI100" s="184"/>
      <c r="CJ100" s="184"/>
      <c r="CK100" s="184"/>
      <c r="CL100" s="184"/>
      <c r="CM100" s="184"/>
      <c r="CN100" s="184"/>
      <c r="CO100" s="184"/>
      <c r="CP100" s="184"/>
      <c r="CQ100" s="184"/>
      <c r="CR100" s="184"/>
      <c r="CS100" s="184"/>
      <c r="CT100" s="184"/>
      <c r="CU100" s="184"/>
      <c r="CV100" s="184"/>
      <c r="CW100" s="184"/>
      <c r="CX100" s="184"/>
      <c r="CY100" s="184"/>
      <c r="CZ100" s="184"/>
      <c r="DA100" s="184"/>
      <c r="DB100" s="184"/>
      <c r="DC100" s="184"/>
      <c r="DD100" s="184"/>
      <c r="DE100" s="184"/>
      <c r="DF100" s="184"/>
      <c r="DG100" s="184"/>
      <c r="DH100" s="184"/>
      <c r="DI100" s="184"/>
      <c r="DJ100" s="184"/>
      <c r="DK100" s="184"/>
      <c r="DL100" s="184"/>
      <c r="DM100" s="184"/>
      <c r="DN100" s="184"/>
      <c r="DO100" s="184"/>
      <c r="DP100" s="184"/>
      <c r="DQ100" s="184"/>
      <c r="DR100" s="184"/>
      <c r="DS100" s="184"/>
      <c r="DT100" s="184"/>
      <c r="DU100" s="184"/>
      <c r="DV100" s="184"/>
      <c r="DW100" s="184"/>
      <c r="DX100" s="184"/>
      <c r="DY100" s="184"/>
      <c r="DZ100" s="184"/>
      <c r="EA100" s="184"/>
      <c r="EB100" s="184"/>
      <c r="EC100" s="184"/>
      <c r="ED100" s="184"/>
      <c r="EE100" s="184"/>
      <c r="EF100" s="184"/>
      <c r="EG100" s="184"/>
      <c r="EH100" s="184"/>
      <c r="EI100" s="184"/>
      <c r="EJ100" s="24"/>
      <c r="EK100" s="24"/>
      <c r="EL100" s="24"/>
      <c r="EM100" s="1" t="s">
        <v>191</v>
      </c>
    </row>
    <row r="101" spans="2:143" x14ac:dyDescent="0.45"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  <c r="CP101" s="24"/>
      <c r="CQ101" s="24"/>
      <c r="CR101" s="24"/>
      <c r="CS101" s="24"/>
      <c r="CT101" s="24"/>
      <c r="CU101" s="24"/>
      <c r="CV101" s="24"/>
      <c r="CW101" s="24"/>
      <c r="CX101" s="24"/>
      <c r="CY101" s="24"/>
      <c r="CZ101" s="24"/>
      <c r="DA101" s="24"/>
      <c r="DB101" s="24"/>
      <c r="DC101" s="24"/>
      <c r="DD101" s="24"/>
      <c r="DE101" s="24"/>
      <c r="DF101" s="24"/>
      <c r="DG101" s="24"/>
      <c r="DH101" s="24"/>
      <c r="DI101" s="24"/>
      <c r="DJ101" s="24"/>
      <c r="DK101" s="24"/>
      <c r="DL101" s="24"/>
      <c r="DM101" s="24"/>
      <c r="DN101" s="24"/>
      <c r="DO101" s="24"/>
      <c r="DP101" s="24"/>
      <c r="DQ101" s="24"/>
      <c r="DR101" s="24"/>
      <c r="DS101" s="24"/>
      <c r="DT101" s="24"/>
      <c r="DU101" s="24"/>
      <c r="DV101" s="24"/>
      <c r="DW101" s="24"/>
      <c r="DX101" s="24"/>
      <c r="DY101" s="24"/>
      <c r="DZ101" s="24"/>
      <c r="EA101" s="24"/>
      <c r="EB101" s="24"/>
      <c r="EC101" s="24"/>
      <c r="ED101" s="24"/>
      <c r="EE101" s="24"/>
      <c r="EF101" s="24"/>
      <c r="EG101" s="24"/>
      <c r="EH101" s="24"/>
      <c r="EI101" s="24"/>
      <c r="EJ101" s="24"/>
      <c r="EK101" s="24"/>
      <c r="EL101" s="24"/>
      <c r="EM101" s="1" t="s">
        <v>191</v>
      </c>
    </row>
    <row r="102" spans="2:143" x14ac:dyDescent="0.45">
      <c r="D102" s="79" t="s">
        <v>222</v>
      </c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  <c r="AA102" s="176"/>
      <c r="AB102" s="176"/>
      <c r="AC102" s="176"/>
      <c r="AD102" s="176"/>
      <c r="AE102" s="176"/>
      <c r="AF102" s="176"/>
      <c r="AG102" s="176"/>
      <c r="AH102" s="176"/>
      <c r="AI102" s="176"/>
      <c r="AJ102" s="176"/>
      <c r="AK102" s="176"/>
      <c r="AL102" s="176"/>
      <c r="AM102" s="176"/>
      <c r="AN102" s="176"/>
      <c r="AO102" s="176"/>
      <c r="AP102" s="176"/>
      <c r="AQ102" s="176"/>
      <c r="AR102" s="176"/>
      <c r="AS102" s="176"/>
      <c r="AT102" s="176"/>
      <c r="AU102" s="176"/>
      <c r="AV102" s="176"/>
      <c r="AW102" s="176"/>
      <c r="AX102" s="176"/>
      <c r="AY102" s="176"/>
      <c r="AZ102" s="176"/>
      <c r="BA102" s="176"/>
      <c r="BB102" s="176"/>
      <c r="BC102" s="176"/>
      <c r="BD102" s="176"/>
      <c r="BE102" s="176"/>
      <c r="BF102" s="176"/>
      <c r="BG102" s="176"/>
      <c r="BH102" s="176"/>
      <c r="BI102" s="176"/>
      <c r="BJ102" s="176"/>
      <c r="BK102" s="176"/>
      <c r="BL102" s="176"/>
      <c r="BM102" s="176"/>
      <c r="BN102" s="176"/>
      <c r="BO102" s="176"/>
      <c r="BP102" s="176"/>
      <c r="BQ102" s="176"/>
      <c r="BR102" s="176"/>
      <c r="BS102" s="176"/>
      <c r="BT102" s="176"/>
      <c r="BU102" s="176"/>
      <c r="BV102" s="176"/>
      <c r="BW102" s="176"/>
      <c r="BX102" s="176"/>
      <c r="BY102" s="176"/>
      <c r="BZ102" s="176"/>
      <c r="CA102" s="176"/>
      <c r="CB102" s="176"/>
      <c r="CC102" s="176"/>
      <c r="CD102" s="176"/>
      <c r="CE102" s="176"/>
      <c r="CF102" s="176"/>
      <c r="CG102" s="176"/>
      <c r="CH102" s="176"/>
      <c r="CI102" s="176"/>
      <c r="CJ102" s="176"/>
      <c r="CK102" s="176"/>
      <c r="CL102" s="176"/>
      <c r="CM102" s="176"/>
      <c r="CN102" s="176"/>
      <c r="CO102" s="176"/>
      <c r="CP102" s="176"/>
      <c r="CQ102" s="176"/>
      <c r="CR102" s="176"/>
      <c r="CS102" s="176"/>
      <c r="CT102" s="176"/>
      <c r="CU102" s="176"/>
      <c r="CV102" s="176"/>
      <c r="CW102" s="176"/>
      <c r="CX102" s="176"/>
      <c r="CY102" s="176"/>
      <c r="CZ102" s="176"/>
      <c r="DA102" s="176"/>
      <c r="DB102" s="176"/>
      <c r="DC102" s="176"/>
      <c r="DD102" s="176"/>
      <c r="DE102" s="176"/>
      <c r="DF102" s="176"/>
      <c r="DG102" s="176"/>
      <c r="DH102" s="176"/>
      <c r="DI102" s="176"/>
      <c r="DJ102" s="176"/>
      <c r="DK102" s="176"/>
      <c r="DL102" s="176"/>
      <c r="DM102" s="176"/>
      <c r="DN102" s="176"/>
      <c r="DO102" s="176"/>
      <c r="DP102" s="176"/>
      <c r="DQ102" s="176"/>
      <c r="DR102" s="176"/>
      <c r="DS102" s="176"/>
      <c r="DT102" s="176"/>
      <c r="DU102" s="176"/>
      <c r="DV102" s="176"/>
      <c r="DW102" s="176"/>
      <c r="DX102" s="176"/>
      <c r="DY102" s="176"/>
      <c r="DZ102" s="176"/>
      <c r="EA102" s="176"/>
      <c r="EB102" s="176"/>
      <c r="EC102" s="176"/>
      <c r="ED102" s="176"/>
      <c r="EE102" s="176"/>
      <c r="EF102" s="176"/>
      <c r="EG102" s="176"/>
      <c r="EH102" s="176"/>
      <c r="EI102" s="176"/>
      <c r="EJ102" s="24"/>
      <c r="EK102" s="24"/>
      <c r="EL102" s="24"/>
      <c r="EM102" s="1" t="s">
        <v>191</v>
      </c>
    </row>
    <row r="103" spans="2:143" x14ac:dyDescent="0.45">
      <c r="B103" s="24">
        <f>SUM(G103:EI103)</f>
        <v>6716929.8084277175</v>
      </c>
      <c r="D103" s="181" t="s">
        <v>192</v>
      </c>
      <c r="E103" s="182"/>
      <c r="F103" s="182"/>
      <c r="G103" s="182">
        <f>SUM(G146,G164,G169)+(G96/$F$90*$F$89)</f>
        <v>0</v>
      </c>
      <c r="H103" s="182">
        <f t="shared" ref="H103:AL103" si="781">SUM(H146,H164,H169)+(H96/$F$90*$F$89)</f>
        <v>0</v>
      </c>
      <c r="I103" s="182">
        <f t="shared" si="781"/>
        <v>0</v>
      </c>
      <c r="J103" s="182">
        <f t="shared" si="781"/>
        <v>0</v>
      </c>
      <c r="K103" s="182">
        <f t="shared" si="781"/>
        <v>0</v>
      </c>
      <c r="L103" s="182">
        <f t="shared" si="781"/>
        <v>0</v>
      </c>
      <c r="M103" s="182">
        <f t="shared" si="781"/>
        <v>0</v>
      </c>
      <c r="N103" s="182">
        <f t="shared" si="781"/>
        <v>0</v>
      </c>
      <c r="O103" s="182">
        <f t="shared" si="781"/>
        <v>0</v>
      </c>
      <c r="P103" s="182">
        <f t="shared" si="781"/>
        <v>0</v>
      </c>
      <c r="Q103" s="182">
        <f t="shared" si="781"/>
        <v>0</v>
      </c>
      <c r="R103" s="182">
        <f t="shared" si="781"/>
        <v>0</v>
      </c>
      <c r="S103" s="182">
        <f t="shared" si="781"/>
        <v>0</v>
      </c>
      <c r="T103" s="182">
        <f t="shared" si="781"/>
        <v>0</v>
      </c>
      <c r="U103" s="182">
        <f t="shared" si="781"/>
        <v>0</v>
      </c>
      <c r="V103" s="182">
        <f t="shared" si="781"/>
        <v>0</v>
      </c>
      <c r="W103" s="182">
        <f t="shared" si="781"/>
        <v>0</v>
      </c>
      <c r="X103" s="182">
        <f t="shared" si="781"/>
        <v>0</v>
      </c>
      <c r="Y103" s="182">
        <f t="shared" si="781"/>
        <v>0</v>
      </c>
      <c r="Z103" s="182">
        <f t="shared" si="781"/>
        <v>0</v>
      </c>
      <c r="AA103" s="182">
        <f t="shared" si="781"/>
        <v>0</v>
      </c>
      <c r="AB103" s="182">
        <f t="shared" si="781"/>
        <v>0</v>
      </c>
      <c r="AC103" s="182">
        <f t="shared" si="781"/>
        <v>0</v>
      </c>
      <c r="AD103" s="182">
        <f t="shared" si="781"/>
        <v>0</v>
      </c>
      <c r="AE103" s="182">
        <f t="shared" si="781"/>
        <v>0</v>
      </c>
      <c r="AF103" s="182">
        <f t="shared" si="781"/>
        <v>3121.8102167111219</v>
      </c>
      <c r="AG103" s="182">
        <f t="shared" si="781"/>
        <v>3419.3281893864241</v>
      </c>
      <c r="AH103" s="182">
        <f t="shared" si="781"/>
        <v>3718.028742221627</v>
      </c>
      <c r="AI103" s="182">
        <f t="shared" si="781"/>
        <v>4541.3333427729976</v>
      </c>
      <c r="AJ103" s="182">
        <f t="shared" si="781"/>
        <v>5367.9833623741397</v>
      </c>
      <c r="AK103" s="182">
        <f t="shared" si="781"/>
        <v>6197.9891287991732</v>
      </c>
      <c r="AL103" s="182">
        <f t="shared" si="781"/>
        <v>6233.0732206546145</v>
      </c>
      <c r="AM103" s="182">
        <f t="shared" ref="AM103:BR103" si="782">SUM(AM146,AM164,AM169)+(AM96/$F$90*$F$89)</f>
        <v>6268.2330769194714</v>
      </c>
      <c r="AN103" s="182">
        <f t="shared" si="782"/>
        <v>1670557.0712759288</v>
      </c>
      <c r="AO103" s="182">
        <f t="shared" si="782"/>
        <v>8190.4257229495652</v>
      </c>
      <c r="AP103" s="182">
        <f t="shared" si="782"/>
        <v>8279.8732593066979</v>
      </c>
      <c r="AQ103" s="182">
        <f t="shared" si="782"/>
        <v>8369.5141602862168</v>
      </c>
      <c r="AR103" s="182">
        <f t="shared" si="782"/>
        <v>8459.3488404236905</v>
      </c>
      <c r="AS103" s="182">
        <f t="shared" si="782"/>
        <v>8549.3777151378326</v>
      </c>
      <c r="AT103" s="182">
        <f t="shared" si="782"/>
        <v>8639.6012007323279</v>
      </c>
      <c r="AU103" s="182">
        <f t="shared" si="782"/>
        <v>8730.0197143977166</v>
      </c>
      <c r="AV103" s="182">
        <f t="shared" si="782"/>
        <v>8820.6336742133008</v>
      </c>
      <c r="AW103" s="182">
        <f t="shared" si="782"/>
        <v>8911.4434991489488</v>
      </c>
      <c r="AX103" s="182">
        <f t="shared" si="782"/>
        <v>9002.4496090670582</v>
      </c>
      <c r="AY103" s="182">
        <f t="shared" si="782"/>
        <v>9093.652424724427</v>
      </c>
      <c r="AZ103" s="182">
        <f t="shared" si="782"/>
        <v>9185.0523677741567</v>
      </c>
      <c r="BA103" s="182">
        <f t="shared" si="782"/>
        <v>9276.6498607674657</v>
      </c>
      <c r="BB103" s="182">
        <f t="shared" si="782"/>
        <v>9368.4453271557941</v>
      </c>
      <c r="BC103" s="182">
        <f t="shared" si="782"/>
        <v>9460.4391912925039</v>
      </c>
      <c r="BD103" s="182">
        <f t="shared" si="782"/>
        <v>9552.6318784348932</v>
      </c>
      <c r="BE103" s="182">
        <f t="shared" si="782"/>
        <v>9645.0238147460732</v>
      </c>
      <c r="BF103" s="182">
        <f t="shared" si="782"/>
        <v>9737.6154272969325</v>
      </c>
      <c r="BG103" s="182">
        <f t="shared" si="782"/>
        <v>9830.40714406806</v>
      </c>
      <c r="BH103" s="182">
        <f t="shared" si="782"/>
        <v>9923.3993939516167</v>
      </c>
      <c r="BI103" s="182">
        <f t="shared" si="782"/>
        <v>10016.592606753318</v>
      </c>
      <c r="BJ103" s="182">
        <f t="shared" si="782"/>
        <v>10109.987213194334</v>
      </c>
      <c r="BK103" s="182">
        <f t="shared" si="782"/>
        <v>10203.583644913282</v>
      </c>
      <c r="BL103" s="182">
        <f t="shared" si="782"/>
        <v>10297.382334468115</v>
      </c>
      <c r="BM103" s="182">
        <f t="shared" si="782"/>
        <v>10391.383715338128</v>
      </c>
      <c r="BN103" s="182">
        <f t="shared" si="782"/>
        <v>10485.588221925842</v>
      </c>
      <c r="BO103" s="182">
        <f>SUM(BO146,BO164,BO169)+(BO96/$F$90*$F$89)</f>
        <v>4707963.8577108476</v>
      </c>
      <c r="BP103" s="182">
        <f t="shared" si="782"/>
        <v>0</v>
      </c>
      <c r="BQ103" s="182">
        <f t="shared" si="782"/>
        <v>746.66286415450543</v>
      </c>
      <c r="BR103" s="182">
        <f t="shared" si="782"/>
        <v>748.19627432572884</v>
      </c>
      <c r="BS103" s="182">
        <f t="shared" ref="BS103:CX103" si="783">SUM(BS146,BS164,BS169)+(BS96/$F$90*$F$89)</f>
        <v>749.73284220570463</v>
      </c>
      <c r="BT103" s="182">
        <f t="shared" si="783"/>
        <v>751.27257431150019</v>
      </c>
      <c r="BU103" s="182">
        <f t="shared" si="783"/>
        <v>752.81547717365675</v>
      </c>
      <c r="BV103" s="182">
        <f t="shared" si="783"/>
        <v>754.36155733621945</v>
      </c>
      <c r="BW103" s="182">
        <f t="shared" si="783"/>
        <v>755.9108213567622</v>
      </c>
      <c r="BX103" s="182">
        <f t="shared" si="783"/>
        <v>757.4632758064198</v>
      </c>
      <c r="BY103" s="182">
        <f t="shared" si="783"/>
        <v>759.01892726991127</v>
      </c>
      <c r="BZ103" s="182">
        <f t="shared" si="783"/>
        <v>760.57778234557168</v>
      </c>
      <c r="CA103" s="182">
        <f t="shared" si="783"/>
        <v>762.13984764537997</v>
      </c>
      <c r="CB103" s="182">
        <f t="shared" si="783"/>
        <v>763.7051297949846</v>
      </c>
      <c r="CC103" s="182">
        <f t="shared" si="783"/>
        <v>765.27363543373508</v>
      </c>
      <c r="CD103" s="182">
        <f t="shared" si="783"/>
        <v>766.8453712147076</v>
      </c>
      <c r="CE103" s="182">
        <f t="shared" si="783"/>
        <v>768.42034380473604</v>
      </c>
      <c r="CF103" s="182">
        <f t="shared" si="783"/>
        <v>769.99855988443778</v>
      </c>
      <c r="CG103" s="182">
        <f t="shared" si="783"/>
        <v>771.58002614824545</v>
      </c>
      <c r="CH103" s="182">
        <f t="shared" si="783"/>
        <v>773.1647493044311</v>
      </c>
      <c r="CI103" s="182">
        <f t="shared" si="783"/>
        <v>774.75273607513941</v>
      </c>
      <c r="CJ103" s="182">
        <f t="shared" si="783"/>
        <v>776.34399319641409</v>
      </c>
      <c r="CK103" s="182">
        <f t="shared" si="783"/>
        <v>777.93852741822639</v>
      </c>
      <c r="CL103" s="182">
        <f t="shared" si="783"/>
        <v>779.53634550450556</v>
      </c>
      <c r="CM103" s="182">
        <f t="shared" si="783"/>
        <v>781.13745423316516</v>
      </c>
      <c r="CN103" s="182">
        <f t="shared" si="783"/>
        <v>782.74186039613619</v>
      </c>
      <c r="CO103" s="182">
        <f t="shared" si="783"/>
        <v>784.3495707993909</v>
      </c>
      <c r="CP103" s="182">
        <f t="shared" si="783"/>
        <v>785.96059226297564</v>
      </c>
      <c r="CQ103" s="182">
        <f t="shared" si="783"/>
        <v>787.57493162103924</v>
      </c>
      <c r="CR103" s="182">
        <f t="shared" si="783"/>
        <v>789.19259572186138</v>
      </c>
      <c r="CS103" s="182">
        <f t="shared" si="783"/>
        <v>790.81359142788233</v>
      </c>
      <c r="CT103" s="182">
        <f t="shared" si="783"/>
        <v>792.43792561573241</v>
      </c>
      <c r="CU103" s="182">
        <f t="shared" si="783"/>
        <v>794.0656051762611</v>
      </c>
      <c r="CV103" s="182">
        <f t="shared" si="783"/>
        <v>795.6966370145667</v>
      </c>
      <c r="CW103" s="182">
        <f t="shared" si="783"/>
        <v>797.33102805002591</v>
      </c>
      <c r="CX103" s="182">
        <f t="shared" si="783"/>
        <v>798.968785216323</v>
      </c>
      <c r="CY103" s="182">
        <f t="shared" ref="CY103:EI103" si="784">SUM(CY146,CY164,CY169)+(CY96/$F$90*$F$89)</f>
        <v>800.60991546147909</v>
      </c>
      <c r="CZ103" s="182">
        <f t="shared" si="784"/>
        <v>802.25442574788406</v>
      </c>
      <c r="DA103" s="182">
        <f t="shared" si="784"/>
        <v>803.9023230523228</v>
      </c>
      <c r="DB103" s="182">
        <f t="shared" si="784"/>
        <v>805.55361436600867</v>
      </c>
      <c r="DC103" s="182">
        <f t="shared" si="784"/>
        <v>807.20830669461054</v>
      </c>
      <c r="DD103" s="182">
        <f t="shared" si="784"/>
        <v>808.86640705828268</v>
      </c>
      <c r="DE103" s="182">
        <f t="shared" si="784"/>
        <v>810.52792249169886</v>
      </c>
      <c r="DF103" s="182">
        <f t="shared" si="784"/>
        <v>812.19286004407718</v>
      </c>
      <c r="DG103" s="182">
        <f t="shared" si="784"/>
        <v>813.86122677921242</v>
      </c>
      <c r="DH103" s="182">
        <f t="shared" si="784"/>
        <v>815.53302977550698</v>
      </c>
      <c r="DI103" s="182">
        <f t="shared" si="784"/>
        <v>817.20827612599987</v>
      </c>
      <c r="DJ103" s="182">
        <f t="shared" si="784"/>
        <v>818.8869729383988</v>
      </c>
      <c r="DK103" s="182">
        <f t="shared" si="784"/>
        <v>820.56912733510717</v>
      </c>
      <c r="DL103" s="182">
        <f t="shared" si="784"/>
        <v>822.25474645325846</v>
      </c>
      <c r="DM103" s="182">
        <f t="shared" si="784"/>
        <v>823.94383744474419</v>
      </c>
      <c r="DN103" s="182">
        <f t="shared" si="784"/>
        <v>825.63640747624493</v>
      </c>
      <c r="DO103" s="182">
        <f t="shared" si="784"/>
        <v>827.33246372926135</v>
      </c>
      <c r="DP103" s="182">
        <f t="shared" si="784"/>
        <v>829.03201340014493</v>
      </c>
      <c r="DQ103" s="182">
        <f t="shared" si="784"/>
        <v>830.73506370012967</v>
      </c>
      <c r="DR103" s="182">
        <f t="shared" si="784"/>
        <v>832.44162185535833</v>
      </c>
      <c r="DS103" s="182">
        <f t="shared" si="784"/>
        <v>834.15169510692067</v>
      </c>
      <c r="DT103" s="182">
        <f t="shared" si="784"/>
        <v>835.86529071087807</v>
      </c>
      <c r="DU103" s="182">
        <f t="shared" si="784"/>
        <v>837.58241593829746</v>
      </c>
      <c r="DV103" s="182">
        <f t="shared" si="784"/>
        <v>839.303078075283</v>
      </c>
      <c r="DW103" s="182">
        <f t="shared" si="784"/>
        <v>841.02728442300497</v>
      </c>
      <c r="DX103" s="182">
        <f t="shared" si="784"/>
        <v>842.75504229773151</v>
      </c>
      <c r="DY103" s="182">
        <f t="shared" si="784"/>
        <v>844.48635903086233</v>
      </c>
      <c r="DZ103" s="182">
        <f t="shared" si="784"/>
        <v>846.22124196895606</v>
      </c>
      <c r="EA103" s="182">
        <f t="shared" si="784"/>
        <v>847.95969847376557</v>
      </c>
      <c r="EB103" s="182">
        <f t="shared" si="784"/>
        <v>849.70173592226661</v>
      </c>
      <c r="EC103" s="182">
        <f t="shared" si="784"/>
        <v>851.44736170669182</v>
      </c>
      <c r="ED103" s="182">
        <f t="shared" si="784"/>
        <v>853.19658323455815</v>
      </c>
      <c r="EE103" s="182">
        <f t="shared" si="784"/>
        <v>854.94940792870398</v>
      </c>
      <c r="EF103" s="182">
        <f t="shared" si="784"/>
        <v>856.70584322731622</v>
      </c>
      <c r="EG103" s="182">
        <f t="shared" si="784"/>
        <v>858.46589658396533</v>
      </c>
      <c r="EH103" s="182">
        <f t="shared" si="784"/>
        <v>860.22957546763519</v>
      </c>
      <c r="EI103" s="182">
        <f t="shared" si="784"/>
        <v>861.99688736275561</v>
      </c>
      <c r="EJ103" s="24"/>
      <c r="EK103" s="24"/>
      <c r="EL103" s="24"/>
      <c r="EM103" s="1" t="s">
        <v>191</v>
      </c>
    </row>
    <row r="104" spans="2:143" x14ac:dyDescent="0.45">
      <c r="B104" s="24">
        <f>SUM(G104:EI104)</f>
        <v>-848931.37959519483</v>
      </c>
      <c r="D104" s="181" t="s">
        <v>193</v>
      </c>
      <c r="E104" s="182"/>
      <c r="F104" s="182"/>
      <c r="G104" s="182">
        <f t="shared" ref="G104:AL104" si="785">-G124*$F$89</f>
        <v>-848931.37959519483</v>
      </c>
      <c r="H104" s="182">
        <f t="shared" si="785"/>
        <v>0</v>
      </c>
      <c r="I104" s="182">
        <f t="shared" si="785"/>
        <v>0</v>
      </c>
      <c r="J104" s="182">
        <f t="shared" si="785"/>
        <v>0</v>
      </c>
      <c r="K104" s="182">
        <f t="shared" si="785"/>
        <v>0</v>
      </c>
      <c r="L104" s="182">
        <f t="shared" si="785"/>
        <v>0</v>
      </c>
      <c r="M104" s="182">
        <f t="shared" si="785"/>
        <v>0</v>
      </c>
      <c r="N104" s="182">
        <f t="shared" si="785"/>
        <v>0</v>
      </c>
      <c r="O104" s="182">
        <f t="shared" si="785"/>
        <v>0</v>
      </c>
      <c r="P104" s="182">
        <f t="shared" si="785"/>
        <v>0</v>
      </c>
      <c r="Q104" s="182">
        <f t="shared" si="785"/>
        <v>0</v>
      </c>
      <c r="R104" s="182">
        <f t="shared" si="785"/>
        <v>0</v>
      </c>
      <c r="S104" s="182">
        <f t="shared" si="785"/>
        <v>0</v>
      </c>
      <c r="T104" s="182">
        <f t="shared" si="785"/>
        <v>0</v>
      </c>
      <c r="U104" s="182">
        <f t="shared" si="785"/>
        <v>0</v>
      </c>
      <c r="V104" s="182">
        <f t="shared" si="785"/>
        <v>0</v>
      </c>
      <c r="W104" s="182">
        <f t="shared" si="785"/>
        <v>0</v>
      </c>
      <c r="X104" s="182">
        <f t="shared" si="785"/>
        <v>0</v>
      </c>
      <c r="Y104" s="182">
        <f t="shared" si="785"/>
        <v>0</v>
      </c>
      <c r="Z104" s="182">
        <f t="shared" si="785"/>
        <v>0</v>
      </c>
      <c r="AA104" s="182">
        <f t="shared" si="785"/>
        <v>0</v>
      </c>
      <c r="AB104" s="182">
        <f t="shared" si="785"/>
        <v>0</v>
      </c>
      <c r="AC104" s="182">
        <f t="shared" si="785"/>
        <v>0</v>
      </c>
      <c r="AD104" s="182">
        <f t="shared" si="785"/>
        <v>0</v>
      </c>
      <c r="AE104" s="182">
        <f t="shared" si="785"/>
        <v>0</v>
      </c>
      <c r="AF104" s="182">
        <f t="shared" si="785"/>
        <v>0</v>
      </c>
      <c r="AG104" s="182">
        <f t="shared" si="785"/>
        <v>0</v>
      </c>
      <c r="AH104" s="182">
        <f t="shared" si="785"/>
        <v>0</v>
      </c>
      <c r="AI104" s="182">
        <f t="shared" si="785"/>
        <v>0</v>
      </c>
      <c r="AJ104" s="182">
        <f t="shared" si="785"/>
        <v>0</v>
      </c>
      <c r="AK104" s="182">
        <f t="shared" si="785"/>
        <v>0</v>
      </c>
      <c r="AL104" s="182">
        <f t="shared" si="785"/>
        <v>0</v>
      </c>
      <c r="AM104" s="182">
        <f t="shared" ref="AM104:BR104" si="786">-AM124*$F$89</f>
        <v>0</v>
      </c>
      <c r="AN104" s="182">
        <f t="shared" si="786"/>
        <v>0</v>
      </c>
      <c r="AO104" s="182">
        <f t="shared" si="786"/>
        <v>0</v>
      </c>
      <c r="AP104" s="182">
        <f t="shared" si="786"/>
        <v>0</v>
      </c>
      <c r="AQ104" s="182">
        <f t="shared" si="786"/>
        <v>0</v>
      </c>
      <c r="AR104" s="182">
        <f t="shared" si="786"/>
        <v>0</v>
      </c>
      <c r="AS104" s="182">
        <f t="shared" si="786"/>
        <v>0</v>
      </c>
      <c r="AT104" s="182">
        <f t="shared" si="786"/>
        <v>0</v>
      </c>
      <c r="AU104" s="182">
        <f t="shared" si="786"/>
        <v>0</v>
      </c>
      <c r="AV104" s="182">
        <f t="shared" si="786"/>
        <v>0</v>
      </c>
      <c r="AW104" s="182">
        <f t="shared" si="786"/>
        <v>0</v>
      </c>
      <c r="AX104" s="182">
        <f t="shared" si="786"/>
        <v>0</v>
      </c>
      <c r="AY104" s="182">
        <f t="shared" si="786"/>
        <v>0</v>
      </c>
      <c r="AZ104" s="182">
        <f t="shared" si="786"/>
        <v>0</v>
      </c>
      <c r="BA104" s="182">
        <f t="shared" si="786"/>
        <v>0</v>
      </c>
      <c r="BB104" s="182">
        <f t="shared" si="786"/>
        <v>0</v>
      </c>
      <c r="BC104" s="182">
        <f t="shared" si="786"/>
        <v>0</v>
      </c>
      <c r="BD104" s="182">
        <f t="shared" si="786"/>
        <v>0</v>
      </c>
      <c r="BE104" s="182">
        <f t="shared" si="786"/>
        <v>0</v>
      </c>
      <c r="BF104" s="182">
        <f t="shared" si="786"/>
        <v>0</v>
      </c>
      <c r="BG104" s="182">
        <f t="shared" si="786"/>
        <v>0</v>
      </c>
      <c r="BH104" s="182">
        <f t="shared" si="786"/>
        <v>0</v>
      </c>
      <c r="BI104" s="182">
        <f t="shared" si="786"/>
        <v>0</v>
      </c>
      <c r="BJ104" s="182">
        <f t="shared" si="786"/>
        <v>0</v>
      </c>
      <c r="BK104" s="182">
        <f t="shared" si="786"/>
        <v>0</v>
      </c>
      <c r="BL104" s="182">
        <f t="shared" si="786"/>
        <v>0</v>
      </c>
      <c r="BM104" s="182">
        <f t="shared" si="786"/>
        <v>0</v>
      </c>
      <c r="BN104" s="182">
        <f t="shared" si="786"/>
        <v>0</v>
      </c>
      <c r="BO104" s="182">
        <f t="shared" si="786"/>
        <v>0</v>
      </c>
      <c r="BP104" s="182">
        <f t="shared" si="786"/>
        <v>0</v>
      </c>
      <c r="BQ104" s="182">
        <f t="shared" si="786"/>
        <v>0</v>
      </c>
      <c r="BR104" s="182">
        <f t="shared" si="786"/>
        <v>0</v>
      </c>
      <c r="BS104" s="182">
        <f t="shared" ref="BS104:CX104" si="787">-BS124*$F$89</f>
        <v>0</v>
      </c>
      <c r="BT104" s="182">
        <f t="shared" si="787"/>
        <v>0</v>
      </c>
      <c r="BU104" s="182">
        <f t="shared" si="787"/>
        <v>0</v>
      </c>
      <c r="BV104" s="182">
        <f t="shared" si="787"/>
        <v>0</v>
      </c>
      <c r="BW104" s="182">
        <f t="shared" si="787"/>
        <v>0</v>
      </c>
      <c r="BX104" s="182">
        <f t="shared" si="787"/>
        <v>0</v>
      </c>
      <c r="BY104" s="182">
        <f t="shared" si="787"/>
        <v>0</v>
      </c>
      <c r="BZ104" s="182">
        <f t="shared" si="787"/>
        <v>0</v>
      </c>
      <c r="CA104" s="182">
        <f t="shared" si="787"/>
        <v>0</v>
      </c>
      <c r="CB104" s="182">
        <f t="shared" si="787"/>
        <v>0</v>
      </c>
      <c r="CC104" s="182">
        <f t="shared" si="787"/>
        <v>0</v>
      </c>
      <c r="CD104" s="182">
        <f t="shared" si="787"/>
        <v>0</v>
      </c>
      <c r="CE104" s="182">
        <f t="shared" si="787"/>
        <v>0</v>
      </c>
      <c r="CF104" s="182">
        <f t="shared" si="787"/>
        <v>0</v>
      </c>
      <c r="CG104" s="182">
        <f t="shared" si="787"/>
        <v>0</v>
      </c>
      <c r="CH104" s="182">
        <f t="shared" si="787"/>
        <v>0</v>
      </c>
      <c r="CI104" s="182">
        <f t="shared" si="787"/>
        <v>0</v>
      </c>
      <c r="CJ104" s="182">
        <f t="shared" si="787"/>
        <v>0</v>
      </c>
      <c r="CK104" s="182">
        <f t="shared" si="787"/>
        <v>0</v>
      </c>
      <c r="CL104" s="182">
        <f t="shared" si="787"/>
        <v>0</v>
      </c>
      <c r="CM104" s="182">
        <f t="shared" si="787"/>
        <v>0</v>
      </c>
      <c r="CN104" s="182">
        <f t="shared" si="787"/>
        <v>0</v>
      </c>
      <c r="CO104" s="182">
        <f t="shared" si="787"/>
        <v>0</v>
      </c>
      <c r="CP104" s="182">
        <f t="shared" si="787"/>
        <v>0</v>
      </c>
      <c r="CQ104" s="182">
        <f t="shared" si="787"/>
        <v>0</v>
      </c>
      <c r="CR104" s="182">
        <f t="shared" si="787"/>
        <v>0</v>
      </c>
      <c r="CS104" s="182">
        <f t="shared" si="787"/>
        <v>0</v>
      </c>
      <c r="CT104" s="182">
        <f t="shared" si="787"/>
        <v>0</v>
      </c>
      <c r="CU104" s="182">
        <f t="shared" si="787"/>
        <v>0</v>
      </c>
      <c r="CV104" s="182">
        <f t="shared" si="787"/>
        <v>0</v>
      </c>
      <c r="CW104" s="182">
        <f t="shared" si="787"/>
        <v>0</v>
      </c>
      <c r="CX104" s="182">
        <f t="shared" si="787"/>
        <v>0</v>
      </c>
      <c r="CY104" s="182">
        <f t="shared" ref="CY104:EI104" si="788">-CY124*$F$89</f>
        <v>0</v>
      </c>
      <c r="CZ104" s="182">
        <f t="shared" si="788"/>
        <v>0</v>
      </c>
      <c r="DA104" s="182">
        <f t="shared" si="788"/>
        <v>0</v>
      </c>
      <c r="DB104" s="182">
        <f t="shared" si="788"/>
        <v>0</v>
      </c>
      <c r="DC104" s="182">
        <f t="shared" si="788"/>
        <v>0</v>
      </c>
      <c r="DD104" s="182">
        <f t="shared" si="788"/>
        <v>0</v>
      </c>
      <c r="DE104" s="182">
        <f t="shared" si="788"/>
        <v>0</v>
      </c>
      <c r="DF104" s="182">
        <f t="shared" si="788"/>
        <v>0</v>
      </c>
      <c r="DG104" s="182">
        <f t="shared" si="788"/>
        <v>0</v>
      </c>
      <c r="DH104" s="182">
        <f t="shared" si="788"/>
        <v>0</v>
      </c>
      <c r="DI104" s="182">
        <f t="shared" si="788"/>
        <v>0</v>
      </c>
      <c r="DJ104" s="182">
        <f t="shared" si="788"/>
        <v>0</v>
      </c>
      <c r="DK104" s="182">
        <f t="shared" si="788"/>
        <v>0</v>
      </c>
      <c r="DL104" s="182">
        <f t="shared" si="788"/>
        <v>0</v>
      </c>
      <c r="DM104" s="182">
        <f t="shared" si="788"/>
        <v>0</v>
      </c>
      <c r="DN104" s="182">
        <f t="shared" si="788"/>
        <v>0</v>
      </c>
      <c r="DO104" s="182">
        <f t="shared" si="788"/>
        <v>0</v>
      </c>
      <c r="DP104" s="182">
        <f t="shared" si="788"/>
        <v>0</v>
      </c>
      <c r="DQ104" s="182">
        <f t="shared" si="788"/>
        <v>0</v>
      </c>
      <c r="DR104" s="182">
        <f t="shared" si="788"/>
        <v>0</v>
      </c>
      <c r="DS104" s="182">
        <f t="shared" si="788"/>
        <v>0</v>
      </c>
      <c r="DT104" s="182">
        <f t="shared" si="788"/>
        <v>0</v>
      </c>
      <c r="DU104" s="182">
        <f t="shared" si="788"/>
        <v>0</v>
      </c>
      <c r="DV104" s="182">
        <f t="shared" si="788"/>
        <v>0</v>
      </c>
      <c r="DW104" s="182">
        <f t="shared" si="788"/>
        <v>0</v>
      </c>
      <c r="DX104" s="182">
        <f t="shared" si="788"/>
        <v>0</v>
      </c>
      <c r="DY104" s="182">
        <f t="shared" si="788"/>
        <v>0</v>
      </c>
      <c r="DZ104" s="182">
        <f t="shared" si="788"/>
        <v>0</v>
      </c>
      <c r="EA104" s="182">
        <f t="shared" si="788"/>
        <v>0</v>
      </c>
      <c r="EB104" s="182">
        <f t="shared" si="788"/>
        <v>0</v>
      </c>
      <c r="EC104" s="182">
        <f t="shared" si="788"/>
        <v>0</v>
      </c>
      <c r="ED104" s="182">
        <f t="shared" si="788"/>
        <v>0</v>
      </c>
      <c r="EE104" s="182">
        <f t="shared" si="788"/>
        <v>0</v>
      </c>
      <c r="EF104" s="182">
        <f t="shared" si="788"/>
        <v>0</v>
      </c>
      <c r="EG104" s="182">
        <f t="shared" si="788"/>
        <v>0</v>
      </c>
      <c r="EH104" s="182">
        <f t="shared" si="788"/>
        <v>0</v>
      </c>
      <c r="EI104" s="182">
        <f t="shared" si="788"/>
        <v>0</v>
      </c>
      <c r="EJ104" s="24"/>
      <c r="EK104" s="24"/>
      <c r="EL104" s="24"/>
      <c r="EM104" s="1" t="s">
        <v>191</v>
      </c>
    </row>
    <row r="105" spans="2:143" s="83" customFormat="1" x14ac:dyDescent="0.45">
      <c r="D105" s="192" t="s">
        <v>194</v>
      </c>
      <c r="E105" s="193"/>
      <c r="F105" s="193"/>
      <c r="G105" s="193">
        <f>SUM(G103:G104)</f>
        <v>-848931.37959519483</v>
      </c>
      <c r="H105" s="193">
        <f t="shared" ref="H105:BS105" si="789">SUM(H103:H104)</f>
        <v>0</v>
      </c>
      <c r="I105" s="193">
        <f t="shared" si="789"/>
        <v>0</v>
      </c>
      <c r="J105" s="193">
        <f t="shared" si="789"/>
        <v>0</v>
      </c>
      <c r="K105" s="193">
        <f t="shared" si="789"/>
        <v>0</v>
      </c>
      <c r="L105" s="193">
        <f t="shared" si="789"/>
        <v>0</v>
      </c>
      <c r="M105" s="193">
        <f t="shared" si="789"/>
        <v>0</v>
      </c>
      <c r="N105" s="193">
        <f t="shared" si="789"/>
        <v>0</v>
      </c>
      <c r="O105" s="193">
        <f t="shared" si="789"/>
        <v>0</v>
      </c>
      <c r="P105" s="193">
        <f t="shared" si="789"/>
        <v>0</v>
      </c>
      <c r="Q105" s="193">
        <f t="shared" si="789"/>
        <v>0</v>
      </c>
      <c r="R105" s="193">
        <f t="shared" si="789"/>
        <v>0</v>
      </c>
      <c r="S105" s="193">
        <f t="shared" si="789"/>
        <v>0</v>
      </c>
      <c r="T105" s="193">
        <f t="shared" si="789"/>
        <v>0</v>
      </c>
      <c r="U105" s="193">
        <f t="shared" si="789"/>
        <v>0</v>
      </c>
      <c r="V105" s="193">
        <f t="shared" si="789"/>
        <v>0</v>
      </c>
      <c r="W105" s="193">
        <f t="shared" si="789"/>
        <v>0</v>
      </c>
      <c r="X105" s="193">
        <f t="shared" si="789"/>
        <v>0</v>
      </c>
      <c r="Y105" s="193">
        <f t="shared" si="789"/>
        <v>0</v>
      </c>
      <c r="Z105" s="193">
        <f t="shared" si="789"/>
        <v>0</v>
      </c>
      <c r="AA105" s="193">
        <f t="shared" si="789"/>
        <v>0</v>
      </c>
      <c r="AB105" s="193">
        <f t="shared" si="789"/>
        <v>0</v>
      </c>
      <c r="AC105" s="193">
        <f t="shared" si="789"/>
        <v>0</v>
      </c>
      <c r="AD105" s="193">
        <f t="shared" si="789"/>
        <v>0</v>
      </c>
      <c r="AE105" s="193">
        <f t="shared" si="789"/>
        <v>0</v>
      </c>
      <c r="AF105" s="193">
        <f t="shared" si="789"/>
        <v>3121.8102167111219</v>
      </c>
      <c r="AG105" s="193">
        <f t="shared" si="789"/>
        <v>3419.3281893864241</v>
      </c>
      <c r="AH105" s="193">
        <f t="shared" si="789"/>
        <v>3718.028742221627</v>
      </c>
      <c r="AI105" s="193">
        <f t="shared" si="789"/>
        <v>4541.3333427729976</v>
      </c>
      <c r="AJ105" s="193">
        <f t="shared" si="789"/>
        <v>5367.9833623741397</v>
      </c>
      <c r="AK105" s="193">
        <f t="shared" si="789"/>
        <v>6197.9891287991732</v>
      </c>
      <c r="AL105" s="193">
        <f t="shared" si="789"/>
        <v>6233.0732206546145</v>
      </c>
      <c r="AM105" s="193">
        <f t="shared" si="789"/>
        <v>6268.2330769194714</v>
      </c>
      <c r="AN105" s="193">
        <f t="shared" si="789"/>
        <v>1670557.0712759288</v>
      </c>
      <c r="AO105" s="193">
        <f t="shared" si="789"/>
        <v>8190.4257229495652</v>
      </c>
      <c r="AP105" s="193">
        <f t="shared" si="789"/>
        <v>8279.8732593066979</v>
      </c>
      <c r="AQ105" s="193">
        <f t="shared" si="789"/>
        <v>8369.5141602862168</v>
      </c>
      <c r="AR105" s="193">
        <f t="shared" si="789"/>
        <v>8459.3488404236905</v>
      </c>
      <c r="AS105" s="193">
        <f t="shared" si="789"/>
        <v>8549.3777151378326</v>
      </c>
      <c r="AT105" s="193">
        <f t="shared" si="789"/>
        <v>8639.6012007323279</v>
      </c>
      <c r="AU105" s="193">
        <f t="shared" si="789"/>
        <v>8730.0197143977166</v>
      </c>
      <c r="AV105" s="193">
        <f t="shared" si="789"/>
        <v>8820.6336742133008</v>
      </c>
      <c r="AW105" s="193">
        <f t="shared" si="789"/>
        <v>8911.4434991489488</v>
      </c>
      <c r="AX105" s="193">
        <f t="shared" si="789"/>
        <v>9002.4496090670582</v>
      </c>
      <c r="AY105" s="193">
        <f t="shared" si="789"/>
        <v>9093.652424724427</v>
      </c>
      <c r="AZ105" s="193">
        <f t="shared" si="789"/>
        <v>9185.0523677741567</v>
      </c>
      <c r="BA105" s="193">
        <f t="shared" si="789"/>
        <v>9276.6498607674657</v>
      </c>
      <c r="BB105" s="193">
        <f t="shared" si="789"/>
        <v>9368.4453271557941</v>
      </c>
      <c r="BC105" s="193">
        <f t="shared" si="789"/>
        <v>9460.4391912925039</v>
      </c>
      <c r="BD105" s="193">
        <f t="shared" si="789"/>
        <v>9552.6318784348932</v>
      </c>
      <c r="BE105" s="193">
        <f t="shared" si="789"/>
        <v>9645.0238147460732</v>
      </c>
      <c r="BF105" s="193">
        <f t="shared" si="789"/>
        <v>9737.6154272969325</v>
      </c>
      <c r="BG105" s="193">
        <f t="shared" si="789"/>
        <v>9830.40714406806</v>
      </c>
      <c r="BH105" s="193">
        <f t="shared" si="789"/>
        <v>9923.3993939516167</v>
      </c>
      <c r="BI105" s="193">
        <f t="shared" si="789"/>
        <v>10016.592606753318</v>
      </c>
      <c r="BJ105" s="193">
        <f t="shared" si="789"/>
        <v>10109.987213194334</v>
      </c>
      <c r="BK105" s="193">
        <f t="shared" si="789"/>
        <v>10203.583644913282</v>
      </c>
      <c r="BL105" s="193">
        <f t="shared" si="789"/>
        <v>10297.382334468115</v>
      </c>
      <c r="BM105" s="193">
        <f t="shared" si="789"/>
        <v>10391.383715338128</v>
      </c>
      <c r="BN105" s="193">
        <f t="shared" si="789"/>
        <v>10485.588221925842</v>
      </c>
      <c r="BO105" s="193">
        <f t="shared" si="789"/>
        <v>4707963.8577108476</v>
      </c>
      <c r="BP105" s="193">
        <f t="shared" si="789"/>
        <v>0</v>
      </c>
      <c r="BQ105" s="193">
        <f t="shared" si="789"/>
        <v>746.66286415450543</v>
      </c>
      <c r="BR105" s="193">
        <f t="shared" si="789"/>
        <v>748.19627432572884</v>
      </c>
      <c r="BS105" s="193">
        <f t="shared" si="789"/>
        <v>749.73284220570463</v>
      </c>
      <c r="BT105" s="193">
        <f t="shared" ref="BT105:CV105" si="790">SUM(BT103:BT104)</f>
        <v>751.27257431150019</v>
      </c>
      <c r="BU105" s="193">
        <f t="shared" si="790"/>
        <v>752.81547717365675</v>
      </c>
      <c r="BV105" s="193">
        <f t="shared" si="790"/>
        <v>754.36155733621945</v>
      </c>
      <c r="BW105" s="193">
        <f t="shared" si="790"/>
        <v>755.9108213567622</v>
      </c>
      <c r="BX105" s="193">
        <f t="shared" si="790"/>
        <v>757.4632758064198</v>
      </c>
      <c r="BY105" s="193">
        <f t="shared" si="790"/>
        <v>759.01892726991127</v>
      </c>
      <c r="BZ105" s="193">
        <f t="shared" si="790"/>
        <v>760.57778234557168</v>
      </c>
      <c r="CA105" s="193">
        <f t="shared" si="790"/>
        <v>762.13984764537997</v>
      </c>
      <c r="CB105" s="193">
        <f t="shared" si="790"/>
        <v>763.7051297949846</v>
      </c>
      <c r="CC105" s="193">
        <f t="shared" si="790"/>
        <v>765.27363543373508</v>
      </c>
      <c r="CD105" s="193">
        <f t="shared" si="790"/>
        <v>766.8453712147076</v>
      </c>
      <c r="CE105" s="193">
        <f t="shared" si="790"/>
        <v>768.42034380473604</v>
      </c>
      <c r="CF105" s="193">
        <f t="shared" si="790"/>
        <v>769.99855988443778</v>
      </c>
      <c r="CG105" s="193">
        <f t="shared" si="790"/>
        <v>771.58002614824545</v>
      </c>
      <c r="CH105" s="193">
        <f t="shared" si="790"/>
        <v>773.1647493044311</v>
      </c>
      <c r="CI105" s="193">
        <f t="shared" si="790"/>
        <v>774.75273607513941</v>
      </c>
      <c r="CJ105" s="193">
        <f t="shared" si="790"/>
        <v>776.34399319641409</v>
      </c>
      <c r="CK105" s="193">
        <f t="shared" si="790"/>
        <v>777.93852741822639</v>
      </c>
      <c r="CL105" s="193">
        <f t="shared" si="790"/>
        <v>779.53634550450556</v>
      </c>
      <c r="CM105" s="193">
        <f t="shared" si="790"/>
        <v>781.13745423316516</v>
      </c>
      <c r="CN105" s="193">
        <f t="shared" si="790"/>
        <v>782.74186039613619</v>
      </c>
      <c r="CO105" s="193">
        <f t="shared" si="790"/>
        <v>784.3495707993909</v>
      </c>
      <c r="CP105" s="193">
        <f t="shared" si="790"/>
        <v>785.96059226297564</v>
      </c>
      <c r="CQ105" s="193">
        <f t="shared" si="790"/>
        <v>787.57493162103924</v>
      </c>
      <c r="CR105" s="193">
        <f t="shared" si="790"/>
        <v>789.19259572186138</v>
      </c>
      <c r="CS105" s="193">
        <f t="shared" si="790"/>
        <v>790.81359142788233</v>
      </c>
      <c r="CT105" s="193">
        <f t="shared" si="790"/>
        <v>792.43792561573241</v>
      </c>
      <c r="CU105" s="193">
        <f t="shared" si="790"/>
        <v>794.0656051762611</v>
      </c>
      <c r="CV105" s="193">
        <f t="shared" si="790"/>
        <v>795.6966370145667</v>
      </c>
      <c r="CW105" s="193">
        <f t="shared" ref="CW105:EI105" si="791">SUM(CW103:CW104)</f>
        <v>797.33102805002591</v>
      </c>
      <c r="CX105" s="193">
        <f t="shared" si="791"/>
        <v>798.968785216323</v>
      </c>
      <c r="CY105" s="193">
        <f t="shared" si="791"/>
        <v>800.60991546147909</v>
      </c>
      <c r="CZ105" s="193">
        <f t="shared" si="791"/>
        <v>802.25442574788406</v>
      </c>
      <c r="DA105" s="193">
        <f t="shared" si="791"/>
        <v>803.9023230523228</v>
      </c>
      <c r="DB105" s="193">
        <f t="shared" si="791"/>
        <v>805.55361436600867</v>
      </c>
      <c r="DC105" s="193">
        <f t="shared" si="791"/>
        <v>807.20830669461054</v>
      </c>
      <c r="DD105" s="193">
        <f t="shared" si="791"/>
        <v>808.86640705828268</v>
      </c>
      <c r="DE105" s="193">
        <f t="shared" si="791"/>
        <v>810.52792249169886</v>
      </c>
      <c r="DF105" s="193">
        <f t="shared" si="791"/>
        <v>812.19286004407718</v>
      </c>
      <c r="DG105" s="193">
        <f t="shared" si="791"/>
        <v>813.86122677921242</v>
      </c>
      <c r="DH105" s="193">
        <f t="shared" si="791"/>
        <v>815.53302977550698</v>
      </c>
      <c r="DI105" s="193">
        <f t="shared" si="791"/>
        <v>817.20827612599987</v>
      </c>
      <c r="DJ105" s="193">
        <f t="shared" si="791"/>
        <v>818.8869729383988</v>
      </c>
      <c r="DK105" s="193">
        <f t="shared" si="791"/>
        <v>820.56912733510717</v>
      </c>
      <c r="DL105" s="193">
        <f t="shared" si="791"/>
        <v>822.25474645325846</v>
      </c>
      <c r="DM105" s="193">
        <f t="shared" si="791"/>
        <v>823.94383744474419</v>
      </c>
      <c r="DN105" s="193">
        <f t="shared" si="791"/>
        <v>825.63640747624493</v>
      </c>
      <c r="DO105" s="193">
        <f t="shared" si="791"/>
        <v>827.33246372926135</v>
      </c>
      <c r="DP105" s="193">
        <f t="shared" si="791"/>
        <v>829.03201340014493</v>
      </c>
      <c r="DQ105" s="193">
        <f t="shared" si="791"/>
        <v>830.73506370012967</v>
      </c>
      <c r="DR105" s="193">
        <f t="shared" si="791"/>
        <v>832.44162185535833</v>
      </c>
      <c r="DS105" s="193">
        <f t="shared" si="791"/>
        <v>834.15169510692067</v>
      </c>
      <c r="DT105" s="193">
        <f t="shared" si="791"/>
        <v>835.86529071087807</v>
      </c>
      <c r="DU105" s="193">
        <f t="shared" si="791"/>
        <v>837.58241593829746</v>
      </c>
      <c r="DV105" s="193">
        <f t="shared" si="791"/>
        <v>839.303078075283</v>
      </c>
      <c r="DW105" s="193">
        <f t="shared" si="791"/>
        <v>841.02728442300497</v>
      </c>
      <c r="DX105" s="193">
        <f t="shared" si="791"/>
        <v>842.75504229773151</v>
      </c>
      <c r="DY105" s="193">
        <f t="shared" si="791"/>
        <v>844.48635903086233</v>
      </c>
      <c r="DZ105" s="193">
        <f t="shared" si="791"/>
        <v>846.22124196895606</v>
      </c>
      <c r="EA105" s="193">
        <f t="shared" si="791"/>
        <v>847.95969847376557</v>
      </c>
      <c r="EB105" s="193">
        <f t="shared" si="791"/>
        <v>849.70173592226661</v>
      </c>
      <c r="EC105" s="193">
        <f t="shared" si="791"/>
        <v>851.44736170669182</v>
      </c>
      <c r="ED105" s="193">
        <f t="shared" si="791"/>
        <v>853.19658323455815</v>
      </c>
      <c r="EE105" s="193">
        <f t="shared" si="791"/>
        <v>854.94940792870398</v>
      </c>
      <c r="EF105" s="193">
        <f t="shared" si="791"/>
        <v>856.70584322731622</v>
      </c>
      <c r="EG105" s="193">
        <f t="shared" si="791"/>
        <v>858.46589658396533</v>
      </c>
      <c r="EH105" s="193">
        <f t="shared" si="791"/>
        <v>860.22957546763519</v>
      </c>
      <c r="EI105" s="193">
        <f t="shared" si="791"/>
        <v>861.99688736275561</v>
      </c>
      <c r="EJ105" s="185"/>
      <c r="EK105" s="185"/>
      <c r="EL105" s="185"/>
      <c r="EM105" s="1" t="s">
        <v>191</v>
      </c>
    </row>
    <row r="106" spans="2:143" x14ac:dyDescent="0.45">
      <c r="D106" s="181" t="s">
        <v>195</v>
      </c>
      <c r="E106" s="190">
        <f>XIRR(G105:EI105,$G$2:$EI$2)</f>
        <v>0.65247290730476393</v>
      </c>
      <c r="F106" s="182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82"/>
      <c r="S106" s="182"/>
      <c r="T106" s="182"/>
      <c r="U106" s="182"/>
      <c r="V106" s="182"/>
      <c r="W106" s="182"/>
      <c r="X106" s="182"/>
      <c r="Y106" s="182"/>
      <c r="Z106" s="182"/>
      <c r="AA106" s="182"/>
      <c r="AB106" s="182"/>
      <c r="AC106" s="182"/>
      <c r="AD106" s="182"/>
      <c r="AE106" s="182"/>
      <c r="AF106" s="182"/>
      <c r="AG106" s="182"/>
      <c r="AH106" s="182"/>
      <c r="AI106" s="182"/>
      <c r="AJ106" s="182"/>
      <c r="AK106" s="182"/>
      <c r="AL106" s="182"/>
      <c r="AM106" s="182"/>
      <c r="AN106" s="182"/>
      <c r="AO106" s="182"/>
      <c r="AP106" s="182"/>
      <c r="AQ106" s="182"/>
      <c r="AR106" s="182"/>
      <c r="AS106" s="182"/>
      <c r="AT106" s="182"/>
      <c r="AU106" s="182"/>
      <c r="AV106" s="182"/>
      <c r="AW106" s="182"/>
      <c r="AX106" s="182"/>
      <c r="AY106" s="182"/>
      <c r="AZ106" s="182"/>
      <c r="BA106" s="182"/>
      <c r="BB106" s="182"/>
      <c r="BC106" s="182"/>
      <c r="BD106" s="182"/>
      <c r="BE106" s="182"/>
      <c r="BF106" s="182"/>
      <c r="BG106" s="182"/>
      <c r="BH106" s="182"/>
      <c r="BI106" s="182"/>
      <c r="BJ106" s="182"/>
      <c r="BK106" s="182"/>
      <c r="BL106" s="182"/>
      <c r="BM106" s="182"/>
      <c r="BN106" s="182"/>
      <c r="BO106" s="182"/>
      <c r="BP106" s="182"/>
      <c r="BQ106" s="182"/>
      <c r="BR106" s="182"/>
      <c r="BS106" s="182"/>
      <c r="BT106" s="182"/>
      <c r="BU106" s="182"/>
      <c r="BV106" s="182"/>
      <c r="BW106" s="182"/>
      <c r="BX106" s="182"/>
      <c r="BY106" s="182"/>
      <c r="BZ106" s="182"/>
      <c r="CA106" s="182"/>
      <c r="CB106" s="182"/>
      <c r="CC106" s="182"/>
      <c r="CD106" s="182"/>
      <c r="CE106" s="182"/>
      <c r="CF106" s="182"/>
      <c r="CG106" s="182"/>
      <c r="CH106" s="182"/>
      <c r="CI106" s="182"/>
      <c r="CJ106" s="182"/>
      <c r="CK106" s="182"/>
      <c r="CL106" s="182"/>
      <c r="CM106" s="182"/>
      <c r="CN106" s="182"/>
      <c r="CO106" s="182"/>
      <c r="CP106" s="182"/>
      <c r="CQ106" s="182"/>
      <c r="CR106" s="182"/>
      <c r="CS106" s="182"/>
      <c r="CT106" s="182"/>
      <c r="CU106" s="182"/>
      <c r="CV106" s="182"/>
      <c r="CW106" s="182"/>
      <c r="CX106" s="182"/>
      <c r="CY106" s="182"/>
      <c r="CZ106" s="182"/>
      <c r="DA106" s="182"/>
      <c r="DB106" s="182"/>
      <c r="DC106" s="182"/>
      <c r="DD106" s="182"/>
      <c r="DE106" s="182"/>
      <c r="DF106" s="182"/>
      <c r="DG106" s="182"/>
      <c r="DH106" s="182"/>
      <c r="DI106" s="182"/>
      <c r="DJ106" s="182"/>
      <c r="DK106" s="182"/>
      <c r="DL106" s="182"/>
      <c r="DM106" s="182"/>
      <c r="DN106" s="182"/>
      <c r="DO106" s="182"/>
      <c r="DP106" s="182"/>
      <c r="DQ106" s="182"/>
      <c r="DR106" s="182"/>
      <c r="DS106" s="182"/>
      <c r="DT106" s="182"/>
      <c r="DU106" s="182"/>
      <c r="DV106" s="182"/>
      <c r="DW106" s="182"/>
      <c r="DX106" s="182"/>
      <c r="DY106" s="182"/>
      <c r="DZ106" s="182"/>
      <c r="EA106" s="182"/>
      <c r="EB106" s="182"/>
      <c r="EC106" s="182"/>
      <c r="ED106" s="182"/>
      <c r="EE106" s="182"/>
      <c r="EF106" s="182"/>
      <c r="EG106" s="182"/>
      <c r="EH106" s="182"/>
      <c r="EI106" s="182"/>
      <c r="EJ106" s="24"/>
      <c r="EK106" s="24"/>
      <c r="EL106" s="24"/>
      <c r="EM106" s="1" t="s">
        <v>191</v>
      </c>
    </row>
    <row r="107" spans="2:143" x14ac:dyDescent="0.45">
      <c r="D107" s="183" t="s">
        <v>196</v>
      </c>
      <c r="E107" s="191">
        <f>-SUM(G103:EI103)/SUM(G104:EI104)</f>
        <v>7.9122176065992802</v>
      </c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/>
      <c r="Q107" s="184"/>
      <c r="R107" s="184"/>
      <c r="S107" s="184"/>
      <c r="T107" s="184"/>
      <c r="U107" s="184"/>
      <c r="V107" s="184"/>
      <c r="W107" s="184"/>
      <c r="X107" s="184"/>
      <c r="Y107" s="184"/>
      <c r="Z107" s="184"/>
      <c r="AA107" s="184"/>
      <c r="AB107" s="184"/>
      <c r="AC107" s="184"/>
      <c r="AD107" s="184"/>
      <c r="AE107" s="184"/>
      <c r="AF107" s="184"/>
      <c r="AG107" s="184"/>
      <c r="AH107" s="184"/>
      <c r="AI107" s="184"/>
      <c r="AJ107" s="184"/>
      <c r="AK107" s="184"/>
      <c r="AL107" s="184"/>
      <c r="AM107" s="184"/>
      <c r="AN107" s="184"/>
      <c r="AO107" s="184"/>
      <c r="AP107" s="184"/>
      <c r="AQ107" s="184"/>
      <c r="AR107" s="184"/>
      <c r="AS107" s="184"/>
      <c r="AT107" s="184"/>
      <c r="AU107" s="184"/>
      <c r="AV107" s="184"/>
      <c r="AW107" s="184"/>
      <c r="AX107" s="184"/>
      <c r="AY107" s="184"/>
      <c r="AZ107" s="184"/>
      <c r="BA107" s="184"/>
      <c r="BB107" s="184"/>
      <c r="BC107" s="184"/>
      <c r="BD107" s="184"/>
      <c r="BE107" s="184"/>
      <c r="BF107" s="184"/>
      <c r="BG107" s="184"/>
      <c r="BH107" s="184"/>
      <c r="BI107" s="184"/>
      <c r="BJ107" s="184"/>
      <c r="BK107" s="184"/>
      <c r="BL107" s="184"/>
      <c r="BM107" s="184"/>
      <c r="BN107" s="184"/>
      <c r="BO107" s="184"/>
      <c r="BP107" s="184"/>
      <c r="BQ107" s="184"/>
      <c r="BR107" s="184"/>
      <c r="BS107" s="184"/>
      <c r="BT107" s="184"/>
      <c r="BU107" s="184"/>
      <c r="BV107" s="184"/>
      <c r="BW107" s="184"/>
      <c r="BX107" s="184"/>
      <c r="BY107" s="184"/>
      <c r="BZ107" s="184"/>
      <c r="CA107" s="184"/>
      <c r="CB107" s="184"/>
      <c r="CC107" s="184"/>
      <c r="CD107" s="184"/>
      <c r="CE107" s="184"/>
      <c r="CF107" s="184"/>
      <c r="CG107" s="184"/>
      <c r="CH107" s="184"/>
      <c r="CI107" s="184"/>
      <c r="CJ107" s="184"/>
      <c r="CK107" s="184"/>
      <c r="CL107" s="184"/>
      <c r="CM107" s="184"/>
      <c r="CN107" s="184"/>
      <c r="CO107" s="184"/>
      <c r="CP107" s="184"/>
      <c r="CQ107" s="184"/>
      <c r="CR107" s="184"/>
      <c r="CS107" s="184"/>
      <c r="CT107" s="184"/>
      <c r="CU107" s="184"/>
      <c r="CV107" s="184"/>
      <c r="CW107" s="184"/>
      <c r="CX107" s="184"/>
      <c r="CY107" s="184"/>
      <c r="CZ107" s="184"/>
      <c r="DA107" s="184"/>
      <c r="DB107" s="184"/>
      <c r="DC107" s="184"/>
      <c r="DD107" s="184"/>
      <c r="DE107" s="184"/>
      <c r="DF107" s="184"/>
      <c r="DG107" s="184"/>
      <c r="DH107" s="184"/>
      <c r="DI107" s="184"/>
      <c r="DJ107" s="184"/>
      <c r="DK107" s="184"/>
      <c r="DL107" s="184"/>
      <c r="DM107" s="184"/>
      <c r="DN107" s="184"/>
      <c r="DO107" s="184"/>
      <c r="DP107" s="184"/>
      <c r="DQ107" s="184"/>
      <c r="DR107" s="184"/>
      <c r="DS107" s="184"/>
      <c r="DT107" s="184"/>
      <c r="DU107" s="184"/>
      <c r="DV107" s="184"/>
      <c r="DW107" s="184"/>
      <c r="DX107" s="184"/>
      <c r="DY107" s="184"/>
      <c r="DZ107" s="184"/>
      <c r="EA107" s="184"/>
      <c r="EB107" s="184"/>
      <c r="EC107" s="184"/>
      <c r="ED107" s="184"/>
      <c r="EE107" s="184"/>
      <c r="EF107" s="184"/>
      <c r="EG107" s="184"/>
      <c r="EH107" s="184"/>
      <c r="EI107" s="184"/>
      <c r="EJ107" s="24"/>
      <c r="EK107" s="24"/>
      <c r="EL107" s="24"/>
      <c r="EM107" s="1" t="s">
        <v>191</v>
      </c>
    </row>
    <row r="108" spans="2:143" x14ac:dyDescent="0.45"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24"/>
      <c r="DF108" s="24"/>
      <c r="DG108" s="24"/>
      <c r="DH108" s="24"/>
      <c r="DI108" s="24"/>
      <c r="DJ108" s="24"/>
      <c r="DK108" s="24"/>
      <c r="DL108" s="24"/>
      <c r="DM108" s="24"/>
      <c r="DN108" s="24"/>
      <c r="DO108" s="24"/>
      <c r="DP108" s="24"/>
      <c r="DQ108" s="24"/>
      <c r="DR108" s="24"/>
      <c r="DS108" s="24"/>
      <c r="DT108" s="24"/>
      <c r="DU108" s="24"/>
      <c r="DV108" s="24"/>
      <c r="DW108" s="24"/>
      <c r="DX108" s="24"/>
      <c r="DY108" s="24"/>
      <c r="DZ108" s="24"/>
      <c r="EA108" s="24"/>
      <c r="EB108" s="24"/>
      <c r="EC108" s="24"/>
      <c r="ED108" s="24"/>
      <c r="EE108" s="24"/>
      <c r="EF108" s="24"/>
      <c r="EG108" s="24"/>
      <c r="EH108" s="24"/>
      <c r="EI108" s="24"/>
      <c r="EJ108" s="24"/>
      <c r="EK108" s="24"/>
      <c r="EL108" s="24"/>
      <c r="EM108" s="1" t="s">
        <v>191</v>
      </c>
    </row>
    <row r="109" spans="2:143" s="83" customFormat="1" x14ac:dyDescent="0.45">
      <c r="D109" s="83" t="s">
        <v>216</v>
      </c>
      <c r="E109" s="382" t="b">
        <f>E110=E111</f>
        <v>1</v>
      </c>
      <c r="F109" s="185"/>
      <c r="G109" s="382">
        <f t="shared" ref="G109:AL109" si="792">+G111-G110</f>
        <v>0</v>
      </c>
      <c r="H109" s="382">
        <f t="shared" si="792"/>
        <v>0</v>
      </c>
      <c r="I109" s="382">
        <f t="shared" si="792"/>
        <v>0</v>
      </c>
      <c r="J109" s="382">
        <f t="shared" si="792"/>
        <v>0</v>
      </c>
      <c r="K109" s="382">
        <f t="shared" si="792"/>
        <v>0</v>
      </c>
      <c r="L109" s="382">
        <f t="shared" si="792"/>
        <v>0</v>
      </c>
      <c r="M109" s="382">
        <f t="shared" si="792"/>
        <v>0</v>
      </c>
      <c r="N109" s="382">
        <f t="shared" si="792"/>
        <v>0</v>
      </c>
      <c r="O109" s="382">
        <f t="shared" si="792"/>
        <v>0</v>
      </c>
      <c r="P109" s="382">
        <f t="shared" si="792"/>
        <v>0</v>
      </c>
      <c r="Q109" s="382">
        <f t="shared" si="792"/>
        <v>0</v>
      </c>
      <c r="R109" s="382">
        <f t="shared" si="792"/>
        <v>0</v>
      </c>
      <c r="S109" s="382">
        <f t="shared" si="792"/>
        <v>0</v>
      </c>
      <c r="T109" s="382">
        <f t="shared" si="792"/>
        <v>0</v>
      </c>
      <c r="U109" s="382">
        <f t="shared" si="792"/>
        <v>0</v>
      </c>
      <c r="V109" s="382">
        <f t="shared" si="792"/>
        <v>0</v>
      </c>
      <c r="W109" s="382">
        <f t="shared" si="792"/>
        <v>0</v>
      </c>
      <c r="X109" s="382">
        <f t="shared" si="792"/>
        <v>0</v>
      </c>
      <c r="Y109" s="382">
        <f t="shared" si="792"/>
        <v>0</v>
      </c>
      <c r="Z109" s="382">
        <f t="shared" si="792"/>
        <v>0</v>
      </c>
      <c r="AA109" s="382">
        <f t="shared" si="792"/>
        <v>0</v>
      </c>
      <c r="AB109" s="382">
        <f t="shared" si="792"/>
        <v>0</v>
      </c>
      <c r="AC109" s="382">
        <f t="shared" si="792"/>
        <v>0</v>
      </c>
      <c r="AD109" s="382">
        <f t="shared" si="792"/>
        <v>0</v>
      </c>
      <c r="AE109" s="382">
        <f t="shared" si="792"/>
        <v>0</v>
      </c>
      <c r="AF109" s="382">
        <f t="shared" si="792"/>
        <v>0</v>
      </c>
      <c r="AG109" s="382">
        <f t="shared" si="792"/>
        <v>0</v>
      </c>
      <c r="AH109" s="382">
        <f t="shared" si="792"/>
        <v>0</v>
      </c>
      <c r="AI109" s="382">
        <f t="shared" si="792"/>
        <v>0</v>
      </c>
      <c r="AJ109" s="382">
        <f t="shared" si="792"/>
        <v>0</v>
      </c>
      <c r="AK109" s="382">
        <f t="shared" si="792"/>
        <v>0</v>
      </c>
      <c r="AL109" s="382">
        <f t="shared" si="792"/>
        <v>0</v>
      </c>
      <c r="AM109" s="382">
        <f t="shared" ref="AM109:BR109" si="793">+AM111-AM110</f>
        <v>0</v>
      </c>
      <c r="AN109" s="382">
        <f t="shared" si="793"/>
        <v>0</v>
      </c>
      <c r="AO109" s="382">
        <f t="shared" si="793"/>
        <v>0</v>
      </c>
      <c r="AP109" s="382">
        <f t="shared" si="793"/>
        <v>0</v>
      </c>
      <c r="AQ109" s="382">
        <f t="shared" si="793"/>
        <v>0</v>
      </c>
      <c r="AR109" s="382">
        <f t="shared" si="793"/>
        <v>0</v>
      </c>
      <c r="AS109" s="382">
        <f t="shared" si="793"/>
        <v>0</v>
      </c>
      <c r="AT109" s="382">
        <f t="shared" si="793"/>
        <v>0</v>
      </c>
      <c r="AU109" s="382">
        <f t="shared" si="793"/>
        <v>0</v>
      </c>
      <c r="AV109" s="382">
        <f t="shared" si="793"/>
        <v>0</v>
      </c>
      <c r="AW109" s="382">
        <f t="shared" si="793"/>
        <v>0</v>
      </c>
      <c r="AX109" s="382">
        <f t="shared" si="793"/>
        <v>0</v>
      </c>
      <c r="AY109" s="382">
        <f t="shared" si="793"/>
        <v>0</v>
      </c>
      <c r="AZ109" s="382">
        <f t="shared" si="793"/>
        <v>0</v>
      </c>
      <c r="BA109" s="382">
        <f t="shared" si="793"/>
        <v>0</v>
      </c>
      <c r="BB109" s="382">
        <f t="shared" si="793"/>
        <v>0</v>
      </c>
      <c r="BC109" s="382">
        <f t="shared" si="793"/>
        <v>0</v>
      </c>
      <c r="BD109" s="382">
        <f t="shared" si="793"/>
        <v>0</v>
      </c>
      <c r="BE109" s="382">
        <f t="shared" si="793"/>
        <v>0</v>
      </c>
      <c r="BF109" s="382">
        <f t="shared" si="793"/>
        <v>0</v>
      </c>
      <c r="BG109" s="382">
        <f t="shared" si="793"/>
        <v>0</v>
      </c>
      <c r="BH109" s="382">
        <f t="shared" si="793"/>
        <v>0</v>
      </c>
      <c r="BI109" s="382">
        <f t="shared" si="793"/>
        <v>0</v>
      </c>
      <c r="BJ109" s="382">
        <f t="shared" si="793"/>
        <v>0</v>
      </c>
      <c r="BK109" s="382">
        <f t="shared" si="793"/>
        <v>0</v>
      </c>
      <c r="BL109" s="382">
        <f t="shared" si="793"/>
        <v>0</v>
      </c>
      <c r="BM109" s="382">
        <f t="shared" si="793"/>
        <v>0</v>
      </c>
      <c r="BN109" s="382">
        <f t="shared" si="793"/>
        <v>0</v>
      </c>
      <c r="BO109" s="382">
        <f t="shared" si="793"/>
        <v>0</v>
      </c>
      <c r="BP109" s="382">
        <f t="shared" si="793"/>
        <v>0</v>
      </c>
      <c r="BQ109" s="382">
        <f t="shared" si="793"/>
        <v>0</v>
      </c>
      <c r="BR109" s="382">
        <f t="shared" si="793"/>
        <v>0</v>
      </c>
      <c r="BS109" s="382">
        <f t="shared" ref="BS109:CX109" si="794">+BS111-BS110</f>
        <v>0</v>
      </c>
      <c r="BT109" s="382">
        <f t="shared" si="794"/>
        <v>0</v>
      </c>
      <c r="BU109" s="382">
        <f t="shared" si="794"/>
        <v>0</v>
      </c>
      <c r="BV109" s="382">
        <f t="shared" si="794"/>
        <v>0</v>
      </c>
      <c r="BW109" s="382">
        <f t="shared" si="794"/>
        <v>-9.0949470177292824E-13</v>
      </c>
      <c r="BX109" s="382">
        <f t="shared" si="794"/>
        <v>0</v>
      </c>
      <c r="BY109" s="382">
        <f t="shared" si="794"/>
        <v>0</v>
      </c>
      <c r="BZ109" s="382">
        <f t="shared" si="794"/>
        <v>0</v>
      </c>
      <c r="CA109" s="382">
        <f t="shared" si="794"/>
        <v>0</v>
      </c>
      <c r="CB109" s="382">
        <f t="shared" si="794"/>
        <v>0</v>
      </c>
      <c r="CC109" s="382">
        <f t="shared" si="794"/>
        <v>0</v>
      </c>
      <c r="CD109" s="382">
        <f t="shared" si="794"/>
        <v>0</v>
      </c>
      <c r="CE109" s="382">
        <f t="shared" si="794"/>
        <v>0</v>
      </c>
      <c r="CF109" s="382">
        <f t="shared" si="794"/>
        <v>0</v>
      </c>
      <c r="CG109" s="382">
        <f t="shared" si="794"/>
        <v>0</v>
      </c>
      <c r="CH109" s="382">
        <f t="shared" si="794"/>
        <v>0</v>
      </c>
      <c r="CI109" s="382">
        <f t="shared" si="794"/>
        <v>0</v>
      </c>
      <c r="CJ109" s="382">
        <f t="shared" si="794"/>
        <v>0</v>
      </c>
      <c r="CK109" s="382">
        <f t="shared" si="794"/>
        <v>0</v>
      </c>
      <c r="CL109" s="382">
        <f t="shared" si="794"/>
        <v>0</v>
      </c>
      <c r="CM109" s="382">
        <f t="shared" si="794"/>
        <v>0</v>
      </c>
      <c r="CN109" s="382">
        <f t="shared" si="794"/>
        <v>0</v>
      </c>
      <c r="CO109" s="382">
        <f t="shared" si="794"/>
        <v>0</v>
      </c>
      <c r="CP109" s="382">
        <f t="shared" si="794"/>
        <v>0</v>
      </c>
      <c r="CQ109" s="382">
        <f t="shared" si="794"/>
        <v>0</v>
      </c>
      <c r="CR109" s="382">
        <f t="shared" si="794"/>
        <v>0</v>
      </c>
      <c r="CS109" s="382">
        <f t="shared" si="794"/>
        <v>0</v>
      </c>
      <c r="CT109" s="382">
        <f t="shared" si="794"/>
        <v>0</v>
      </c>
      <c r="CU109" s="382">
        <f t="shared" si="794"/>
        <v>0</v>
      </c>
      <c r="CV109" s="382">
        <f t="shared" si="794"/>
        <v>0</v>
      </c>
      <c r="CW109" s="382">
        <f t="shared" si="794"/>
        <v>0</v>
      </c>
      <c r="CX109" s="382">
        <f t="shared" si="794"/>
        <v>0</v>
      </c>
      <c r="CY109" s="382">
        <f t="shared" ref="CY109:ED109" si="795">+CY111-CY110</f>
        <v>0</v>
      </c>
      <c r="CZ109" s="382">
        <f t="shared" si="795"/>
        <v>0</v>
      </c>
      <c r="DA109" s="382">
        <f t="shared" si="795"/>
        <v>0</v>
      </c>
      <c r="DB109" s="382">
        <f t="shared" si="795"/>
        <v>0</v>
      </c>
      <c r="DC109" s="382">
        <f t="shared" si="795"/>
        <v>0</v>
      </c>
      <c r="DD109" s="382">
        <f t="shared" si="795"/>
        <v>-1.1368683772161603E-12</v>
      </c>
      <c r="DE109" s="382">
        <f t="shared" si="795"/>
        <v>0</v>
      </c>
      <c r="DF109" s="382">
        <f t="shared" si="795"/>
        <v>0</v>
      </c>
      <c r="DG109" s="382">
        <f t="shared" si="795"/>
        <v>0</v>
      </c>
      <c r="DH109" s="382">
        <f t="shared" si="795"/>
        <v>0</v>
      </c>
      <c r="DI109" s="382">
        <f t="shared" si="795"/>
        <v>0</v>
      </c>
      <c r="DJ109" s="382">
        <f t="shared" si="795"/>
        <v>0</v>
      </c>
      <c r="DK109" s="382">
        <f t="shared" si="795"/>
        <v>0</v>
      </c>
      <c r="DL109" s="382">
        <f t="shared" si="795"/>
        <v>0</v>
      </c>
      <c r="DM109" s="382">
        <f t="shared" si="795"/>
        <v>0</v>
      </c>
      <c r="DN109" s="382">
        <f t="shared" si="795"/>
        <v>0</v>
      </c>
      <c r="DO109" s="382">
        <f t="shared" si="795"/>
        <v>0</v>
      </c>
      <c r="DP109" s="382">
        <f t="shared" si="795"/>
        <v>-1.1368683772161603E-12</v>
      </c>
      <c r="DQ109" s="382">
        <f t="shared" si="795"/>
        <v>0</v>
      </c>
      <c r="DR109" s="382">
        <f t="shared" si="795"/>
        <v>0</v>
      </c>
      <c r="DS109" s="382">
        <f t="shared" si="795"/>
        <v>0</v>
      </c>
      <c r="DT109" s="382">
        <f t="shared" si="795"/>
        <v>0</v>
      </c>
      <c r="DU109" s="382">
        <f t="shared" si="795"/>
        <v>-1.3642420526593924E-12</v>
      </c>
      <c r="DV109" s="382">
        <f t="shared" si="795"/>
        <v>0</v>
      </c>
      <c r="DW109" s="382">
        <f t="shared" si="795"/>
        <v>0</v>
      </c>
      <c r="DX109" s="382">
        <f t="shared" si="795"/>
        <v>0</v>
      </c>
      <c r="DY109" s="382">
        <f t="shared" si="795"/>
        <v>0</v>
      </c>
      <c r="DZ109" s="382">
        <f t="shared" si="795"/>
        <v>0</v>
      </c>
      <c r="EA109" s="382">
        <f t="shared" si="795"/>
        <v>-1.2505552149377763E-12</v>
      </c>
      <c r="EB109" s="382">
        <f t="shared" si="795"/>
        <v>-1.2505552149377763E-12</v>
      </c>
      <c r="EC109" s="382">
        <f t="shared" si="795"/>
        <v>0</v>
      </c>
      <c r="ED109" s="382">
        <f t="shared" si="795"/>
        <v>0</v>
      </c>
      <c r="EE109" s="382">
        <f t="shared" ref="EE109:EI109" si="796">+EE111-EE110</f>
        <v>0</v>
      </c>
      <c r="EF109" s="382">
        <f t="shared" si="796"/>
        <v>0</v>
      </c>
      <c r="EG109" s="382">
        <f t="shared" si="796"/>
        <v>0</v>
      </c>
      <c r="EH109" s="382">
        <f t="shared" si="796"/>
        <v>0</v>
      </c>
      <c r="EI109" s="382">
        <f t="shared" si="796"/>
        <v>0</v>
      </c>
      <c r="EJ109" s="185"/>
      <c r="EK109" s="185"/>
      <c r="EL109" s="185"/>
      <c r="EM109" s="83" t="s">
        <v>191</v>
      </c>
    </row>
    <row r="110" spans="2:143" x14ac:dyDescent="0.45">
      <c r="D110" s="1" t="s">
        <v>217</v>
      </c>
      <c r="E110" s="24">
        <f>SUM(G110:EI110)</f>
        <v>15141725.269116921</v>
      </c>
      <c r="F110" s="24"/>
      <c r="G110" s="24">
        <f>IF(G2=Assumptions!$F$2,SUM($B$55:$B$55),0)+MAX(0,G69)</f>
        <v>-8489313.7959519476</v>
      </c>
      <c r="H110" s="24">
        <f>IF(H2=Assumptions!$F$2,SUM($B$55:$B$55),0)+MAX(0,H69)</f>
        <v>0</v>
      </c>
      <c r="I110" s="24">
        <f>IF(I2=Assumptions!$F$2,SUM($B$55:$B$55),0)+MAX(0,I69)</f>
        <v>0</v>
      </c>
      <c r="J110" s="24">
        <f>IF(J2=Assumptions!$F$2,SUM($B$55:$B$55),0)+MAX(0,J69)</f>
        <v>0</v>
      </c>
      <c r="K110" s="24">
        <f>IF(K2=Assumptions!$F$2,SUM($B$55:$B$55),0)+MAX(0,K69)</f>
        <v>0</v>
      </c>
      <c r="L110" s="24">
        <f>IF(L2=Assumptions!$F$2,SUM($B$55:$B$55),0)+MAX(0,L69)</f>
        <v>0</v>
      </c>
      <c r="M110" s="24">
        <f>IF(M2=Assumptions!$F$2,SUM($B$55:$B$55),0)+MAX(0,M69)</f>
        <v>0</v>
      </c>
      <c r="N110" s="24">
        <f>IF(N2=Assumptions!$F$2,SUM($B$55:$B$55),0)+MAX(0,N69)</f>
        <v>0</v>
      </c>
      <c r="O110" s="24">
        <f>IF(O2=Assumptions!$F$2,SUM($B$55:$B$55),0)+MAX(0,O69)</f>
        <v>0</v>
      </c>
      <c r="P110" s="24">
        <f>IF(P2=Assumptions!$F$2,SUM($B$55:$B$55),0)+MAX(0,P69)</f>
        <v>0</v>
      </c>
      <c r="Q110" s="24">
        <f>IF(Q2=Assumptions!$F$2,SUM($B$55:$B$55),0)+MAX(0,Q69)</f>
        <v>0</v>
      </c>
      <c r="R110" s="24">
        <f>IF(R2=Assumptions!$F$2,SUM($B$55:$B$55),0)+MAX(0,R69)</f>
        <v>0</v>
      </c>
      <c r="S110" s="24">
        <f>IF(S2=Assumptions!$F$2,SUM($B$55:$B$55),0)+MAX(0,S69)</f>
        <v>0</v>
      </c>
      <c r="T110" s="24">
        <f>IF(T2=Assumptions!$F$2,SUM($B$55:$B$55),0)+MAX(0,T69)</f>
        <v>0</v>
      </c>
      <c r="U110" s="24">
        <f>IF(U2=Assumptions!$F$2,SUM($B$55:$B$55),0)+MAX(0,U69)</f>
        <v>0</v>
      </c>
      <c r="V110" s="24">
        <f>IF(V2=Assumptions!$F$2,SUM($B$55:$B$55),0)+MAX(0,V69)</f>
        <v>0</v>
      </c>
      <c r="W110" s="24">
        <f>IF(W2=Assumptions!$F$2,SUM($B$55:$B$55),0)+MAX(0,W69)</f>
        <v>0</v>
      </c>
      <c r="X110" s="24">
        <f>IF(X2=Assumptions!$F$2,SUM($B$55:$B$55),0)+MAX(0,X69)</f>
        <v>0</v>
      </c>
      <c r="Y110" s="24">
        <f>IF(Y2=Assumptions!$F$2,SUM($B$55:$B$55),0)+MAX(0,Y69)</f>
        <v>0</v>
      </c>
      <c r="Z110" s="24">
        <f>IF(Z2=Assumptions!$F$2,SUM($B$55:$B$55),0)+MAX(0,Z69)</f>
        <v>0</v>
      </c>
      <c r="AA110" s="24">
        <f>IF(AA2=Assumptions!$F$2,SUM($B$55:$B$55),0)+MAX(0,AA69)</f>
        <v>0</v>
      </c>
      <c r="AB110" s="24">
        <f>IF(AB2=Assumptions!$F$2,SUM($B$55:$B$55),0)+MAX(0,AB69)</f>
        <v>0</v>
      </c>
      <c r="AC110" s="24">
        <f>IF(AC2=Assumptions!$F$2,SUM($B$55:$B$55),0)+MAX(0,AC69)</f>
        <v>0</v>
      </c>
      <c r="AD110" s="24">
        <f>IF(AD2=Assumptions!$F$2,SUM($B$55:$B$55),0)+MAX(0,AD69)</f>
        <v>0</v>
      </c>
      <c r="AE110" s="24">
        <f>IF(AE2=Assumptions!$F$2,SUM($B$55:$B$55),0)+MAX(0,AE69)</f>
        <v>0</v>
      </c>
      <c r="AF110" s="24">
        <f>IF(AF2=Assumptions!$F$2,SUM($B$55:$B$55),0)+MAX(0,AF69)</f>
        <v>26223.534941664722</v>
      </c>
      <c r="AG110" s="24">
        <f>IF(AG2=Assumptions!$F$2,SUM($B$55:$B$55),0)+MAX(0,AG69)</f>
        <v>29114.927034134969</v>
      </c>
      <c r="AH110" s="24">
        <f>IF(AH2=Assumptions!$F$2,SUM($B$55:$B$55),0)+MAX(0,AH69)</f>
        <v>32017.817426467787</v>
      </c>
      <c r="AI110" s="24">
        <f>IF(AI2=Assumptions!$F$2,SUM($B$55:$B$55),0)+MAX(0,AI69)</f>
        <v>40015.347278823101</v>
      </c>
      <c r="AJ110" s="24">
        <f>IF(AJ2=Assumptions!$F$2,SUM($B$55:$B$55),0)+MAX(0,AJ69)</f>
        <v>48045.385854192238</v>
      </c>
      <c r="AK110" s="24">
        <f>IF(AK2=Assumptions!$F$2,SUM($B$55:$B$55),0)+MAX(0,AK69)</f>
        <v>56108.033532665388</v>
      </c>
      <c r="AL110" s="24">
        <f>IF(AL2=Assumptions!$F$2,SUM($B$55:$B$55),0)+MAX(0,AL69)</f>
        <v>56446.817602560273</v>
      </c>
      <c r="AM110" s="24">
        <f>IF(AM2=Assumptions!$F$2,SUM($B$55:$B$55),0)+MAX(0,AM69)</f>
        <v>56786.334491761838</v>
      </c>
      <c r="AN110" s="24">
        <f>IF(AN2=Assumptions!$F$2,SUM($B$55:$B$55),0)+MAX(0,AN69)</f>
        <v>9466888.8106841538</v>
      </c>
      <c r="AO110" s="24">
        <f>IF(AO2=Assumptions!$F$2,SUM($B$55:$B$55),0)+MAX(0,AO69)</f>
        <v>29761.115742033497</v>
      </c>
      <c r="AP110" s="24">
        <f>IF(AP2=Assumptions!$F$2,SUM($B$55:$B$55),0)+MAX(0,AP69)</f>
        <v>30102.840532993025</v>
      </c>
      <c r="AQ110" s="24">
        <f>IF(AQ2=Assumptions!$F$2,SUM($B$55:$B$55),0)+MAX(0,AQ69)</f>
        <v>30445.304450340122</v>
      </c>
      <c r="AR110" s="24">
        <f>IF(AR2=Assumptions!$F$2,SUM($B$55:$B$55),0)+MAX(0,AR69)</f>
        <v>30788.509079254185</v>
      </c>
      <c r="AS110" s="24">
        <f>IF(AS2=Assumptions!$F$2,SUM($B$55:$B$55),0)+MAX(0,AS69)</f>
        <v>31132.456008292771</v>
      </c>
      <c r="AT110" s="24">
        <f>IF(AT2=Assumptions!$F$2,SUM($B$55:$B$55),0)+MAX(0,AT69)</f>
        <v>31477.146829398574</v>
      </c>
      <c r="AU110" s="24">
        <f>IF(AU2=Assumptions!$F$2,SUM($B$55:$B$55),0)+MAX(0,AU69)</f>
        <v>31822.583137906691</v>
      </c>
      <c r="AV110" s="24">
        <f>IF(AV2=Assumptions!$F$2,SUM($B$55:$B$55),0)+MAX(0,AV69)</f>
        <v>32168.766532551832</v>
      </c>
      <c r="AW110" s="24">
        <f>IF(AW2=Assumptions!$F$2,SUM($B$55:$B$55),0)+MAX(0,AW69)</f>
        <v>32515.69861547531</v>
      </c>
      <c r="AX110" s="24">
        <f>IF(AX2=Assumptions!$F$2,SUM($B$55:$B$55),0)+MAX(0,AX69)</f>
        <v>32863.380992232502</v>
      </c>
      <c r="AY110" s="24">
        <f>IF(AY2=Assumptions!$F$2,SUM($B$55:$B$55),0)+MAX(0,AY69)</f>
        <v>33211.815271800035</v>
      </c>
      <c r="AZ110" s="24">
        <f>IF(AZ2=Assumptions!$F$2,SUM($B$55:$B$55),0)+MAX(0,AZ69)</f>
        <v>33561.003066583013</v>
      </c>
      <c r="BA110" s="24">
        <f>IF(BA2=Assumptions!$F$2,SUM($B$55:$B$55),0)+MAX(0,BA69)</f>
        <v>33910.945992422014</v>
      </c>
      <c r="BB110" s="24">
        <f>IF(BB2=Assumptions!$F$2,SUM($B$55:$B$55),0)+MAX(0,BB69)</f>
        <v>34261.645668601166</v>
      </c>
      <c r="BC110" s="24">
        <f>IF(BC2=Assumptions!$F$2,SUM($B$55:$B$55),0)+MAX(0,BC69)</f>
        <v>34613.103717854508</v>
      </c>
      <c r="BD110" s="24">
        <f>IF(BD2=Assumptions!$F$2,SUM($B$55:$B$55),0)+MAX(0,BD69)</f>
        <v>34965.32176637392</v>
      </c>
      <c r="BE110" s="24">
        <f>IF(BE2=Assumptions!$F$2,SUM($B$55:$B$55),0)+MAX(0,BE69)</f>
        <v>35318.301443816075</v>
      </c>
      <c r="BF110" s="24">
        <f>IF(BF2=Assumptions!$F$2,SUM($B$55:$B$55),0)+MAX(0,BF69)</f>
        <v>35672.044383310131</v>
      </c>
      <c r="BG110" s="24">
        <f>IF(BG2=Assumptions!$F$2,SUM($B$55:$B$55),0)+MAX(0,BG69)</f>
        <v>36026.552221464997</v>
      </c>
      <c r="BH110" s="24">
        <f>IF(BH2=Assumptions!$F$2,SUM($B$55:$B$55),0)+MAX(0,BH69)</f>
        <v>36381.826598376501</v>
      </c>
      <c r="BI110" s="24">
        <f>IF(BI2=Assumptions!$F$2,SUM($B$55:$B$55),0)+MAX(0,BI69)</f>
        <v>36737.869157635025</v>
      </c>
      <c r="BJ110" s="24">
        <f>IF(BJ2=Assumptions!$F$2,SUM($B$55:$B$55),0)+MAX(0,BJ69)</f>
        <v>37094.6815463327</v>
      </c>
      <c r="BK110" s="24">
        <f>IF(BK2=Assumptions!$F$2,SUM($B$55:$B$55),0)+MAX(0,BK69)</f>
        <v>37452.265415071117</v>
      </c>
      <c r="BL110" s="24">
        <f>IF(BL2=Assumptions!$F$2,SUM($B$55:$B$55),0)+MAX(0,BL69)</f>
        <v>37810.622417968458</v>
      </c>
      <c r="BM110" s="24">
        <f>IF(BM2=Assumptions!$F$2,SUM($B$55:$B$55),0)+MAX(0,BM69)</f>
        <v>38169.754212667249</v>
      </c>
      <c r="BN110" s="24">
        <f>IF(BN2=Assumptions!$F$2,SUM($B$55:$B$55),0)+MAX(0,BN69)</f>
        <v>38529.662460341548</v>
      </c>
      <c r="BO110" s="24">
        <f>IF(BO2=Assumptions!$F$2,SUM($B$55:$B$55),0)+MAX(0,BO69)</f>
        <v>12932596.838961352</v>
      </c>
      <c r="BP110" s="24">
        <f>IF(BP2=Assumptions!$F$2,SUM($B$55:$B$55),0)+MAX(0,BP69)</f>
        <v>0</v>
      </c>
      <c r="BQ110" s="24">
        <f>IF(BQ2=Assumptions!$F$2,SUM($B$55:$B$55),0)+MAX(0,BQ69)</f>
        <v>0</v>
      </c>
      <c r="BR110" s="24">
        <f>IF(BR2=Assumptions!$F$2,SUM($B$55:$B$55),0)+MAX(0,BR69)</f>
        <v>0</v>
      </c>
      <c r="BS110" s="24">
        <f>IF(BS2=Assumptions!$F$2,SUM($B$55:$B$55),0)+MAX(0,BS69)</f>
        <v>0</v>
      </c>
      <c r="BT110" s="24">
        <f>IF(BT2=Assumptions!$F$2,SUM($B$55:$B$55),0)+MAX(0,BT69)</f>
        <v>0</v>
      </c>
      <c r="BU110" s="24">
        <f>IF(BU2=Assumptions!$F$2,SUM($B$55:$B$55),0)+MAX(0,BU69)</f>
        <v>0</v>
      </c>
      <c r="BV110" s="24">
        <f>IF(BV2=Assumptions!$F$2,SUM($B$55:$B$55),0)+MAX(0,BV69)</f>
        <v>0</v>
      </c>
      <c r="BW110" s="24">
        <f>IF(BW2=Assumptions!$F$2,SUM($B$55:$B$55),0)+MAX(0,BW69)</f>
        <v>0</v>
      </c>
      <c r="BX110" s="24">
        <f>IF(BX2=Assumptions!$F$2,SUM($B$55:$B$55),0)+MAX(0,BX69)</f>
        <v>0</v>
      </c>
      <c r="BY110" s="24">
        <f>IF(BY2=Assumptions!$F$2,SUM($B$55:$B$55),0)+MAX(0,BY69)</f>
        <v>0</v>
      </c>
      <c r="BZ110" s="24">
        <f>IF(BZ2=Assumptions!$F$2,SUM($B$55:$B$55),0)+MAX(0,BZ69)</f>
        <v>0</v>
      </c>
      <c r="CA110" s="24">
        <f>IF(CA2=Assumptions!$F$2,SUM($B$55:$B$55),0)+MAX(0,CA69)</f>
        <v>0</v>
      </c>
      <c r="CB110" s="24">
        <f>IF(CB2=Assumptions!$F$2,SUM($B$55:$B$55),0)+MAX(0,CB69)</f>
        <v>0</v>
      </c>
      <c r="CC110" s="24">
        <f>IF(CC2=Assumptions!$F$2,SUM($B$55:$B$55),0)+MAX(0,CC69)</f>
        <v>0</v>
      </c>
      <c r="CD110" s="24">
        <f>IF(CD2=Assumptions!$F$2,SUM($B$55:$B$55),0)+MAX(0,CD69)</f>
        <v>0</v>
      </c>
      <c r="CE110" s="24">
        <f>IF(CE2=Assumptions!$F$2,SUM($B$55:$B$55),0)+MAX(0,CE69)</f>
        <v>0</v>
      </c>
      <c r="CF110" s="24">
        <f>IF(CF2=Assumptions!$F$2,SUM($B$55:$B$55),0)+MAX(0,CF69)</f>
        <v>0</v>
      </c>
      <c r="CG110" s="24">
        <f>IF(CG2=Assumptions!$F$2,SUM($B$55:$B$55),0)+MAX(0,CG69)</f>
        <v>0</v>
      </c>
      <c r="CH110" s="24">
        <f>IF(CH2=Assumptions!$F$2,SUM($B$55:$B$55),0)+MAX(0,CH69)</f>
        <v>0</v>
      </c>
      <c r="CI110" s="24">
        <f>IF(CI2=Assumptions!$F$2,SUM($B$55:$B$55),0)+MAX(0,CI69)</f>
        <v>0</v>
      </c>
      <c r="CJ110" s="24">
        <f>IF(CJ2=Assumptions!$F$2,SUM($B$55:$B$55),0)+MAX(0,CJ69)</f>
        <v>0</v>
      </c>
      <c r="CK110" s="24">
        <f>IF(CK2=Assumptions!$F$2,SUM($B$55:$B$55),0)+MAX(0,CK69)</f>
        <v>0</v>
      </c>
      <c r="CL110" s="24">
        <f>IF(CL2=Assumptions!$F$2,SUM($B$55:$B$55),0)+MAX(0,CL69)</f>
        <v>0</v>
      </c>
      <c r="CM110" s="24">
        <f>IF(CM2=Assumptions!$F$2,SUM($B$55:$B$55),0)+MAX(0,CM69)</f>
        <v>0</v>
      </c>
      <c r="CN110" s="24">
        <f>IF(CN2=Assumptions!$F$2,SUM($B$55:$B$55),0)+MAX(0,CN69)</f>
        <v>0</v>
      </c>
      <c r="CO110" s="24">
        <f>IF(CO2=Assumptions!$F$2,SUM($B$55:$B$55),0)+MAX(0,CO69)</f>
        <v>0</v>
      </c>
      <c r="CP110" s="24">
        <f>IF(CP2=Assumptions!$F$2,SUM($B$55:$B$55),0)+MAX(0,CP69)</f>
        <v>0</v>
      </c>
      <c r="CQ110" s="24">
        <f>IF(CQ2=Assumptions!$F$2,SUM($B$55:$B$55),0)+MAX(0,CQ69)</f>
        <v>0</v>
      </c>
      <c r="CR110" s="24">
        <f>IF(CR2=Assumptions!$F$2,SUM($B$55:$B$55),0)+MAX(0,CR69)</f>
        <v>0</v>
      </c>
      <c r="CS110" s="24">
        <f>IF(CS2=Assumptions!$F$2,SUM($B$55:$B$55),0)+MAX(0,CS69)</f>
        <v>0</v>
      </c>
      <c r="CT110" s="24">
        <f>IF(CT2=Assumptions!$F$2,SUM($B$55:$B$55),0)+MAX(0,CT69)</f>
        <v>0</v>
      </c>
      <c r="CU110" s="24">
        <f>IF(CU2=Assumptions!$F$2,SUM($B$55:$B$55),0)+MAX(0,CU69)</f>
        <v>0</v>
      </c>
      <c r="CV110" s="24">
        <f>IF(CV2=Assumptions!$F$2,SUM($B$55:$B$55),0)+MAX(0,CV69)</f>
        <v>0</v>
      </c>
      <c r="CW110" s="24">
        <f>IF(CW2=Assumptions!$F$2,SUM($B$55:$B$55),0)+MAX(0,CW69)</f>
        <v>0</v>
      </c>
      <c r="CX110" s="24">
        <f>IF(CX2=Assumptions!$F$2,SUM($B$55:$B$55),0)+MAX(0,CX69)</f>
        <v>0</v>
      </c>
      <c r="CY110" s="24">
        <f>IF(CY2=Assumptions!$F$2,SUM($B$55:$B$55),0)+MAX(0,CY69)</f>
        <v>0</v>
      </c>
      <c r="CZ110" s="24">
        <f>IF(CZ2=Assumptions!$F$2,SUM($B$55:$B$55),0)+MAX(0,CZ69)</f>
        <v>0</v>
      </c>
      <c r="DA110" s="24">
        <f>IF(DA2=Assumptions!$F$2,SUM($B$55:$B$55),0)+MAX(0,DA69)</f>
        <v>0</v>
      </c>
      <c r="DB110" s="24">
        <f>IF(DB2=Assumptions!$F$2,SUM($B$55:$B$55),0)+MAX(0,DB69)</f>
        <v>0</v>
      </c>
      <c r="DC110" s="24">
        <f>IF(DC2=Assumptions!$F$2,SUM($B$55:$B$55),0)+MAX(0,DC69)</f>
        <v>0</v>
      </c>
      <c r="DD110" s="24">
        <f>IF(DD2=Assumptions!$F$2,SUM($B$55:$B$55),0)+MAX(0,DD69)</f>
        <v>0</v>
      </c>
      <c r="DE110" s="24">
        <f>IF(DE2=Assumptions!$F$2,SUM($B$55:$B$55),0)+MAX(0,DE69)</f>
        <v>0</v>
      </c>
      <c r="DF110" s="24">
        <f>IF(DF2=Assumptions!$F$2,SUM($B$55:$B$55),0)+MAX(0,DF69)</f>
        <v>0</v>
      </c>
      <c r="DG110" s="24">
        <f>IF(DG2=Assumptions!$F$2,SUM($B$55:$B$55),0)+MAX(0,DG69)</f>
        <v>0</v>
      </c>
      <c r="DH110" s="24">
        <f>IF(DH2=Assumptions!$F$2,SUM($B$55:$B$55),0)+MAX(0,DH69)</f>
        <v>0</v>
      </c>
      <c r="DI110" s="24">
        <f>IF(DI2=Assumptions!$F$2,SUM($B$55:$B$55),0)+MAX(0,DI69)</f>
        <v>0</v>
      </c>
      <c r="DJ110" s="24">
        <f>IF(DJ2=Assumptions!$F$2,SUM($B$55:$B$55),0)+MAX(0,DJ69)</f>
        <v>0</v>
      </c>
      <c r="DK110" s="24">
        <f>IF(DK2=Assumptions!$F$2,SUM($B$55:$B$55),0)+MAX(0,DK69)</f>
        <v>0</v>
      </c>
      <c r="DL110" s="24">
        <f>IF(DL2=Assumptions!$F$2,SUM($B$55:$B$55),0)+MAX(0,DL69)</f>
        <v>0</v>
      </c>
      <c r="DM110" s="24">
        <f>IF(DM2=Assumptions!$F$2,SUM($B$55:$B$55),0)+MAX(0,DM69)</f>
        <v>0</v>
      </c>
      <c r="DN110" s="24">
        <f>IF(DN2=Assumptions!$F$2,SUM($B$55:$B$55),0)+MAX(0,DN69)</f>
        <v>0</v>
      </c>
      <c r="DO110" s="24">
        <f>IF(DO2=Assumptions!$F$2,SUM($B$55:$B$55),0)+MAX(0,DO69)</f>
        <v>0</v>
      </c>
      <c r="DP110" s="24">
        <f>IF(DP2=Assumptions!$F$2,SUM($B$55:$B$55),0)+MAX(0,DP69)</f>
        <v>0</v>
      </c>
      <c r="DQ110" s="24">
        <f>IF(DQ2=Assumptions!$F$2,SUM($B$55:$B$55),0)+MAX(0,DQ69)</f>
        <v>0</v>
      </c>
      <c r="DR110" s="24">
        <f>IF(DR2=Assumptions!$F$2,SUM($B$55:$B$55),0)+MAX(0,DR69)</f>
        <v>0</v>
      </c>
      <c r="DS110" s="24">
        <f>IF(DS2=Assumptions!$F$2,SUM($B$55:$B$55),0)+MAX(0,DS69)</f>
        <v>0</v>
      </c>
      <c r="DT110" s="24">
        <f>IF(DT2=Assumptions!$F$2,SUM($B$55:$B$55),0)+MAX(0,DT69)</f>
        <v>0</v>
      </c>
      <c r="DU110" s="24">
        <f>IF(DU2=Assumptions!$F$2,SUM($B$55:$B$55),0)+MAX(0,DU69)</f>
        <v>0</v>
      </c>
      <c r="DV110" s="24">
        <f>IF(DV2=Assumptions!$F$2,SUM($B$55:$B$55),0)+MAX(0,DV69)</f>
        <v>0</v>
      </c>
      <c r="DW110" s="24">
        <f>IF(DW2=Assumptions!$F$2,SUM($B$55:$B$55),0)+MAX(0,DW69)</f>
        <v>0</v>
      </c>
      <c r="DX110" s="24">
        <f>IF(DX2=Assumptions!$F$2,SUM($B$55:$B$55),0)+MAX(0,DX69)</f>
        <v>0</v>
      </c>
      <c r="DY110" s="24">
        <f>IF(DY2=Assumptions!$F$2,SUM($B$55:$B$55),0)+MAX(0,DY69)</f>
        <v>0</v>
      </c>
      <c r="DZ110" s="24">
        <f>IF(DZ2=Assumptions!$F$2,SUM($B$55:$B$55),0)+MAX(0,DZ69)</f>
        <v>0</v>
      </c>
      <c r="EA110" s="24">
        <f>IF(EA2=Assumptions!$F$2,SUM($B$55:$B$55),0)+MAX(0,EA69)</f>
        <v>0</v>
      </c>
      <c r="EB110" s="24">
        <f>IF(EB2=Assumptions!$F$2,SUM($B$55:$B$55),0)+MAX(0,EB69)</f>
        <v>0</v>
      </c>
      <c r="EC110" s="24">
        <f>IF(EC2=Assumptions!$F$2,SUM($B$55:$B$55),0)+MAX(0,EC69)</f>
        <v>0</v>
      </c>
      <c r="ED110" s="24">
        <f>IF(ED2=Assumptions!$F$2,SUM($B$55:$B$55),0)+MAX(0,ED69)</f>
        <v>0</v>
      </c>
      <c r="EE110" s="24">
        <f>IF(EE2=Assumptions!$F$2,SUM($B$55:$B$55),0)+MAX(0,EE69)</f>
        <v>0</v>
      </c>
      <c r="EF110" s="24">
        <f>IF(EF2=Assumptions!$F$2,SUM($B$55:$B$55),0)+MAX(0,EF69)</f>
        <v>0</v>
      </c>
      <c r="EG110" s="24">
        <f>IF(EG2=Assumptions!$F$2,SUM($B$55:$B$55),0)+MAX(0,EG69)</f>
        <v>0</v>
      </c>
      <c r="EH110" s="24">
        <f>IF(EH2=Assumptions!$F$2,SUM($B$55:$B$55),0)+MAX(0,EH69)</f>
        <v>0</v>
      </c>
      <c r="EI110" s="24">
        <f>IF(EI2=Assumptions!$F$2,SUM($B$55:$B$55),0)+MAX(0,EI69)</f>
        <v>0</v>
      </c>
      <c r="EJ110" s="24"/>
      <c r="EK110" s="24"/>
      <c r="EL110" s="24"/>
      <c r="EM110" s="1" t="s">
        <v>191</v>
      </c>
    </row>
    <row r="111" spans="2:143" x14ac:dyDescent="0.45">
      <c r="D111" s="1" t="s">
        <v>218</v>
      </c>
      <c r="E111" s="24">
        <f>SUM(G105:EI105,G98:EI98)</f>
        <v>15141725.269116919</v>
      </c>
      <c r="F111" s="24"/>
      <c r="G111" s="24">
        <f>+G98+G105</f>
        <v>-8489313.7959519476</v>
      </c>
      <c r="H111" s="24">
        <f t="shared" ref="H111:BS111" si="797">+H98+H105</f>
        <v>0</v>
      </c>
      <c r="I111" s="24">
        <f t="shared" si="797"/>
        <v>0</v>
      </c>
      <c r="J111" s="24">
        <f t="shared" si="797"/>
        <v>0</v>
      </c>
      <c r="K111" s="24">
        <f t="shared" si="797"/>
        <v>0</v>
      </c>
      <c r="L111" s="24">
        <f t="shared" si="797"/>
        <v>0</v>
      </c>
      <c r="M111" s="24">
        <f t="shared" si="797"/>
        <v>0</v>
      </c>
      <c r="N111" s="24">
        <f t="shared" si="797"/>
        <v>0</v>
      </c>
      <c r="O111" s="24">
        <f t="shared" si="797"/>
        <v>0</v>
      </c>
      <c r="P111" s="24">
        <f t="shared" si="797"/>
        <v>0</v>
      </c>
      <c r="Q111" s="24">
        <f t="shared" si="797"/>
        <v>0</v>
      </c>
      <c r="R111" s="24">
        <f t="shared" si="797"/>
        <v>0</v>
      </c>
      <c r="S111" s="24">
        <f t="shared" si="797"/>
        <v>0</v>
      </c>
      <c r="T111" s="24">
        <f t="shared" si="797"/>
        <v>0</v>
      </c>
      <c r="U111" s="24">
        <f t="shared" si="797"/>
        <v>0</v>
      </c>
      <c r="V111" s="24">
        <f t="shared" si="797"/>
        <v>0</v>
      </c>
      <c r="W111" s="24">
        <f t="shared" si="797"/>
        <v>0</v>
      </c>
      <c r="X111" s="24">
        <f t="shared" si="797"/>
        <v>0</v>
      </c>
      <c r="Y111" s="24">
        <f t="shared" si="797"/>
        <v>0</v>
      </c>
      <c r="Z111" s="24">
        <f t="shared" si="797"/>
        <v>0</v>
      </c>
      <c r="AA111" s="24">
        <f t="shared" si="797"/>
        <v>0</v>
      </c>
      <c r="AB111" s="24">
        <f t="shared" si="797"/>
        <v>0</v>
      </c>
      <c r="AC111" s="24">
        <f t="shared" si="797"/>
        <v>0</v>
      </c>
      <c r="AD111" s="24">
        <f t="shared" si="797"/>
        <v>0</v>
      </c>
      <c r="AE111" s="24">
        <f t="shared" si="797"/>
        <v>0</v>
      </c>
      <c r="AF111" s="24">
        <f t="shared" si="797"/>
        <v>26223.534941664722</v>
      </c>
      <c r="AG111" s="24">
        <f t="shared" si="797"/>
        <v>29114.927034134969</v>
      </c>
      <c r="AH111" s="24">
        <f t="shared" si="797"/>
        <v>32017.817426467787</v>
      </c>
      <c r="AI111" s="24">
        <f t="shared" si="797"/>
        <v>40015.347278823101</v>
      </c>
      <c r="AJ111" s="24">
        <f t="shared" si="797"/>
        <v>48045.385854192238</v>
      </c>
      <c r="AK111" s="24">
        <f t="shared" si="797"/>
        <v>56108.033532665388</v>
      </c>
      <c r="AL111" s="24">
        <f t="shared" si="797"/>
        <v>56446.817602560281</v>
      </c>
      <c r="AM111" s="24">
        <f t="shared" si="797"/>
        <v>56786.334491761838</v>
      </c>
      <c r="AN111" s="24">
        <f t="shared" si="797"/>
        <v>9466888.8106841519</v>
      </c>
      <c r="AO111" s="24">
        <f t="shared" si="797"/>
        <v>29761.1157420335</v>
      </c>
      <c r="AP111" s="24">
        <f t="shared" si="797"/>
        <v>30102.840532993017</v>
      </c>
      <c r="AQ111" s="24">
        <f t="shared" si="797"/>
        <v>30445.304450340118</v>
      </c>
      <c r="AR111" s="24">
        <f t="shared" si="797"/>
        <v>30788.509079254181</v>
      </c>
      <c r="AS111" s="24">
        <f t="shared" si="797"/>
        <v>31132.456008292771</v>
      </c>
      <c r="AT111" s="24">
        <f t="shared" si="797"/>
        <v>31477.146829398574</v>
      </c>
      <c r="AU111" s="24">
        <f t="shared" si="797"/>
        <v>31822.583137906684</v>
      </c>
      <c r="AV111" s="24">
        <f t="shared" si="797"/>
        <v>32168.766532551832</v>
      </c>
      <c r="AW111" s="24">
        <f t="shared" si="797"/>
        <v>32515.69861547531</v>
      </c>
      <c r="AX111" s="24">
        <f t="shared" si="797"/>
        <v>32863.380992232502</v>
      </c>
      <c r="AY111" s="24">
        <f t="shared" si="797"/>
        <v>33211.815271800035</v>
      </c>
      <c r="AZ111" s="24">
        <f t="shared" si="797"/>
        <v>33561.003066583013</v>
      </c>
      <c r="BA111" s="24">
        <f t="shared" si="797"/>
        <v>33910.945992422021</v>
      </c>
      <c r="BB111" s="24">
        <f t="shared" si="797"/>
        <v>34261.645668601166</v>
      </c>
      <c r="BC111" s="24">
        <f t="shared" si="797"/>
        <v>34613.103717854516</v>
      </c>
      <c r="BD111" s="24">
        <f t="shared" si="797"/>
        <v>34965.321766373912</v>
      </c>
      <c r="BE111" s="24">
        <f t="shared" si="797"/>
        <v>35318.301443816075</v>
      </c>
      <c r="BF111" s="24">
        <f t="shared" si="797"/>
        <v>35672.044383310131</v>
      </c>
      <c r="BG111" s="24">
        <f t="shared" si="797"/>
        <v>36026.552221464997</v>
      </c>
      <c r="BH111" s="24">
        <f t="shared" si="797"/>
        <v>36381.826598376501</v>
      </c>
      <c r="BI111" s="24">
        <f t="shared" si="797"/>
        <v>36737.869157635025</v>
      </c>
      <c r="BJ111" s="24">
        <f t="shared" si="797"/>
        <v>37094.6815463327</v>
      </c>
      <c r="BK111" s="24">
        <f t="shared" si="797"/>
        <v>37452.265415071117</v>
      </c>
      <c r="BL111" s="24">
        <f t="shared" si="797"/>
        <v>37810.622417968458</v>
      </c>
      <c r="BM111" s="24">
        <f t="shared" si="797"/>
        <v>38169.754212667249</v>
      </c>
      <c r="BN111" s="24">
        <f t="shared" si="797"/>
        <v>38529.66246034154</v>
      </c>
      <c r="BO111" s="24">
        <f t="shared" si="797"/>
        <v>12932596.838961352</v>
      </c>
      <c r="BP111" s="24">
        <f t="shared" si="797"/>
        <v>0</v>
      </c>
      <c r="BQ111" s="24">
        <f t="shared" si="797"/>
        <v>0</v>
      </c>
      <c r="BR111" s="24">
        <f t="shared" si="797"/>
        <v>0</v>
      </c>
      <c r="BS111" s="24">
        <f t="shared" si="797"/>
        <v>0</v>
      </c>
      <c r="BT111" s="24">
        <f t="shared" ref="BT111:EE111" si="798">+BT98+BT105</f>
        <v>0</v>
      </c>
      <c r="BU111" s="24">
        <f t="shared" si="798"/>
        <v>0</v>
      </c>
      <c r="BV111" s="24">
        <f t="shared" si="798"/>
        <v>0</v>
      </c>
      <c r="BW111" s="24">
        <f t="shared" si="798"/>
        <v>-9.0949470177292824E-13</v>
      </c>
      <c r="BX111" s="24">
        <f t="shared" si="798"/>
        <v>0</v>
      </c>
      <c r="BY111" s="24">
        <f t="shared" si="798"/>
        <v>0</v>
      </c>
      <c r="BZ111" s="24">
        <f t="shared" si="798"/>
        <v>0</v>
      </c>
      <c r="CA111" s="24">
        <f t="shared" si="798"/>
        <v>0</v>
      </c>
      <c r="CB111" s="24">
        <f t="shared" si="798"/>
        <v>0</v>
      </c>
      <c r="CC111" s="24">
        <f t="shared" si="798"/>
        <v>0</v>
      </c>
      <c r="CD111" s="24">
        <f t="shared" si="798"/>
        <v>0</v>
      </c>
      <c r="CE111" s="24">
        <f t="shared" si="798"/>
        <v>0</v>
      </c>
      <c r="CF111" s="24">
        <f t="shared" si="798"/>
        <v>0</v>
      </c>
      <c r="CG111" s="24">
        <f t="shared" si="798"/>
        <v>0</v>
      </c>
      <c r="CH111" s="24">
        <f t="shared" si="798"/>
        <v>0</v>
      </c>
      <c r="CI111" s="24">
        <f t="shared" si="798"/>
        <v>0</v>
      </c>
      <c r="CJ111" s="24">
        <f t="shared" si="798"/>
        <v>0</v>
      </c>
      <c r="CK111" s="24">
        <f t="shared" si="798"/>
        <v>0</v>
      </c>
      <c r="CL111" s="24">
        <f t="shared" si="798"/>
        <v>0</v>
      </c>
      <c r="CM111" s="24">
        <f t="shared" si="798"/>
        <v>0</v>
      </c>
      <c r="CN111" s="24">
        <f t="shared" si="798"/>
        <v>0</v>
      </c>
      <c r="CO111" s="24">
        <f t="shared" si="798"/>
        <v>0</v>
      </c>
      <c r="CP111" s="24">
        <f t="shared" si="798"/>
        <v>0</v>
      </c>
      <c r="CQ111" s="24">
        <f t="shared" si="798"/>
        <v>0</v>
      </c>
      <c r="CR111" s="24">
        <f t="shared" si="798"/>
        <v>0</v>
      </c>
      <c r="CS111" s="24">
        <f t="shared" si="798"/>
        <v>0</v>
      </c>
      <c r="CT111" s="24">
        <f t="shared" si="798"/>
        <v>0</v>
      </c>
      <c r="CU111" s="24">
        <f t="shared" si="798"/>
        <v>0</v>
      </c>
      <c r="CV111" s="24">
        <f t="shared" si="798"/>
        <v>0</v>
      </c>
      <c r="CW111" s="24">
        <f t="shared" si="798"/>
        <v>0</v>
      </c>
      <c r="CX111" s="24">
        <f t="shared" si="798"/>
        <v>0</v>
      </c>
      <c r="CY111" s="24">
        <f t="shared" si="798"/>
        <v>0</v>
      </c>
      <c r="CZ111" s="24">
        <f t="shared" si="798"/>
        <v>0</v>
      </c>
      <c r="DA111" s="24">
        <f t="shared" si="798"/>
        <v>0</v>
      </c>
      <c r="DB111" s="24">
        <f t="shared" si="798"/>
        <v>0</v>
      </c>
      <c r="DC111" s="24">
        <f t="shared" si="798"/>
        <v>0</v>
      </c>
      <c r="DD111" s="24">
        <f t="shared" si="798"/>
        <v>-1.1368683772161603E-12</v>
      </c>
      <c r="DE111" s="24">
        <f t="shared" si="798"/>
        <v>0</v>
      </c>
      <c r="DF111" s="24">
        <f t="shared" si="798"/>
        <v>0</v>
      </c>
      <c r="DG111" s="24">
        <f t="shared" si="798"/>
        <v>0</v>
      </c>
      <c r="DH111" s="24">
        <f t="shared" si="798"/>
        <v>0</v>
      </c>
      <c r="DI111" s="24">
        <f t="shared" si="798"/>
        <v>0</v>
      </c>
      <c r="DJ111" s="24">
        <f t="shared" si="798"/>
        <v>0</v>
      </c>
      <c r="DK111" s="24">
        <f t="shared" si="798"/>
        <v>0</v>
      </c>
      <c r="DL111" s="24">
        <f t="shared" si="798"/>
        <v>0</v>
      </c>
      <c r="DM111" s="24">
        <f t="shared" si="798"/>
        <v>0</v>
      </c>
      <c r="DN111" s="24">
        <f t="shared" si="798"/>
        <v>0</v>
      </c>
      <c r="DO111" s="24">
        <f t="shared" si="798"/>
        <v>0</v>
      </c>
      <c r="DP111" s="24">
        <f t="shared" si="798"/>
        <v>-1.1368683772161603E-12</v>
      </c>
      <c r="DQ111" s="24">
        <f t="shared" si="798"/>
        <v>0</v>
      </c>
      <c r="DR111" s="24">
        <f t="shared" si="798"/>
        <v>0</v>
      </c>
      <c r="DS111" s="24">
        <f t="shared" si="798"/>
        <v>0</v>
      </c>
      <c r="DT111" s="24">
        <f t="shared" si="798"/>
        <v>0</v>
      </c>
      <c r="DU111" s="24">
        <f t="shared" si="798"/>
        <v>-1.3642420526593924E-12</v>
      </c>
      <c r="DV111" s="24">
        <f t="shared" si="798"/>
        <v>0</v>
      </c>
      <c r="DW111" s="24">
        <f t="shared" si="798"/>
        <v>0</v>
      </c>
      <c r="DX111" s="24">
        <f t="shared" si="798"/>
        <v>0</v>
      </c>
      <c r="DY111" s="24">
        <f t="shared" si="798"/>
        <v>0</v>
      </c>
      <c r="DZ111" s="24">
        <f t="shared" si="798"/>
        <v>0</v>
      </c>
      <c r="EA111" s="24">
        <f t="shared" si="798"/>
        <v>-1.2505552149377763E-12</v>
      </c>
      <c r="EB111" s="24">
        <f t="shared" si="798"/>
        <v>-1.2505552149377763E-12</v>
      </c>
      <c r="EC111" s="24">
        <f t="shared" si="798"/>
        <v>0</v>
      </c>
      <c r="ED111" s="24">
        <f t="shared" si="798"/>
        <v>0</v>
      </c>
      <c r="EE111" s="24">
        <f t="shared" si="798"/>
        <v>0</v>
      </c>
      <c r="EF111" s="24">
        <f t="shared" ref="EF111:EI111" si="799">+EF98+EF105</f>
        <v>0</v>
      </c>
      <c r="EG111" s="24">
        <f t="shared" si="799"/>
        <v>0</v>
      </c>
      <c r="EH111" s="24">
        <f t="shared" si="799"/>
        <v>0</v>
      </c>
      <c r="EI111" s="24">
        <f t="shared" si="799"/>
        <v>0</v>
      </c>
      <c r="EJ111" s="24"/>
      <c r="EK111" s="24"/>
      <c r="EL111" s="24"/>
      <c r="EM111" s="1" t="s">
        <v>191</v>
      </c>
    </row>
    <row r="112" spans="2:143" x14ac:dyDescent="0.45"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4"/>
      <c r="CA112" s="24"/>
      <c r="CB112" s="24"/>
      <c r="CC112" s="24"/>
      <c r="CD112" s="24"/>
      <c r="CE112" s="24"/>
      <c r="CF112" s="24"/>
      <c r="CG112" s="24"/>
      <c r="CH112" s="24"/>
      <c r="CI112" s="24"/>
      <c r="CJ112" s="24"/>
      <c r="CK112" s="24"/>
      <c r="CL112" s="24"/>
      <c r="CM112" s="24"/>
      <c r="CN112" s="24"/>
      <c r="CO112" s="24"/>
      <c r="CP112" s="24"/>
      <c r="CQ112" s="24"/>
      <c r="CR112" s="24"/>
      <c r="CS112" s="24"/>
      <c r="CT112" s="24"/>
      <c r="CU112" s="24"/>
      <c r="CV112" s="24"/>
      <c r="CW112" s="24"/>
      <c r="CX112" s="24"/>
      <c r="CY112" s="24"/>
      <c r="CZ112" s="24"/>
      <c r="DA112" s="24"/>
      <c r="DB112" s="24"/>
      <c r="DC112" s="24"/>
      <c r="DD112" s="24"/>
      <c r="DE112" s="24"/>
      <c r="DF112" s="24"/>
      <c r="DG112" s="24"/>
      <c r="DH112" s="24"/>
      <c r="DI112" s="24"/>
      <c r="DJ112" s="24"/>
      <c r="DK112" s="24"/>
      <c r="DL112" s="24"/>
      <c r="DM112" s="24"/>
      <c r="DN112" s="24"/>
      <c r="DO112" s="24"/>
      <c r="DP112" s="24"/>
      <c r="DQ112" s="24"/>
      <c r="DR112" s="24"/>
      <c r="DS112" s="24"/>
      <c r="DT112" s="24"/>
      <c r="DU112" s="24"/>
      <c r="DV112" s="24"/>
      <c r="DW112" s="24"/>
      <c r="DX112" s="24"/>
      <c r="DY112" s="24"/>
      <c r="DZ112" s="24"/>
      <c r="EA112" s="24"/>
      <c r="EB112" s="24"/>
      <c r="EC112" s="24"/>
      <c r="ED112" s="24"/>
      <c r="EE112" s="24"/>
      <c r="EF112" s="24"/>
      <c r="EG112" s="24"/>
      <c r="EH112" s="24"/>
      <c r="EI112" s="24"/>
      <c r="EJ112" s="24"/>
      <c r="EK112" s="24"/>
      <c r="EL112" s="24"/>
      <c r="EM112" s="1" t="s">
        <v>191</v>
      </c>
    </row>
    <row r="113" spans="4:143" x14ac:dyDescent="0.45">
      <c r="D113" s="1" t="s">
        <v>224</v>
      </c>
      <c r="E113" s="24"/>
      <c r="F113" s="24"/>
      <c r="G113" s="24" cm="1">
        <f t="array" ref="G113">IFERROR(INDEX('NOI Walk'!$H$34:$EI$34,,MATCH(G4,'NOI Walk'!$H$16:$EI$16,0)),0)</f>
        <v>0</v>
      </c>
      <c r="H113" s="24" cm="1">
        <f t="array" ref="H113">IFERROR(INDEX('NOI Walk'!$H$34:$EI$34,,MATCH(H4,'NOI Walk'!$H$16:$EI$16,0)),0)</f>
        <v>135936.78800000006</v>
      </c>
      <c r="I113" s="24" cm="1">
        <f t="array" ref="I113">IFERROR(INDEX('NOI Walk'!$H$34:$EI$34,,MATCH(I4,'NOI Walk'!$H$16:$EI$16,0)),0)</f>
        <v>130975.48486979173</v>
      </c>
      <c r="J113" s="24" cm="1">
        <f t="array" ref="J113">IFERROR(INDEX('NOI Walk'!$H$34:$EI$34,,MATCH(J4,'NOI Walk'!$H$16:$EI$16,0)),0)</f>
        <v>125993.34458069797</v>
      </c>
      <c r="K113" s="24" cm="1">
        <f t="array" ref="K113">IFERROR(INDEX('NOI Walk'!$H$34:$EI$34,,MATCH(K4,'NOI Walk'!$H$16:$EI$16,0)),0)</f>
        <v>120990.30246483885</v>
      </c>
      <c r="L113" s="24" cm="1">
        <f t="array" ref="L113">IFERROR(INDEX('NOI Walk'!$H$34:$EI$34,,MATCH(L4,'NOI Walk'!$H$16:$EI$16,0)),0)</f>
        <v>123844.60663855475</v>
      </c>
      <c r="M113" s="24" cm="1">
        <f t="array" ref="M113">IFERROR(INDEX('NOI Walk'!$H$34:$EI$34,,MATCH(M4,'NOI Walk'!$H$16:$EI$16,0)),0)</f>
        <v>128278.37047821633</v>
      </c>
      <c r="N113" s="24" cm="1">
        <f t="array" ref="N113">IFERROR(INDEX('NOI Walk'!$H$34:$EI$34,,MATCH(N4,'NOI Walk'!$H$16:$EI$16,0)),0)</f>
        <v>131158.06279324053</v>
      </c>
      <c r="O113" s="24" cm="1">
        <f t="array" ref="O113">IFERROR(INDEX('NOI Walk'!$H$34:$EI$34,,MATCH(O4,'NOI Walk'!$H$16:$EI$16,0)),0)</f>
        <v>134049.19937347985</v>
      </c>
      <c r="P113" s="24" cm="1">
        <f t="array" ref="P113">IFERROR(INDEX('NOI Walk'!$H$34:$EI$34,,MATCH(P4,'NOI Walk'!$H$16:$EI$16,0)),0)</f>
        <v>136951.81540855972</v>
      </c>
      <c r="Q113" s="24" cm="1">
        <f t="array" ref="Q113">IFERROR(INDEX('NOI Walk'!$H$34:$EI$34,,MATCH(Q4,'NOI Walk'!$H$16:$EI$16,0)),0)</f>
        <v>139865.9461850643</v>
      </c>
      <c r="R113" s="24" cm="1">
        <f t="array" ref="R113">IFERROR(INDEX('NOI Walk'!$H$34:$EI$34,,MATCH(R4,'NOI Walk'!$H$16:$EI$16,0)),0)</f>
        <v>142791.62708678743</v>
      </c>
      <c r="S113" s="24" cm="1">
        <f t="array" ref="S113">IFERROR(INDEX('NOI Walk'!$H$34:$EI$34,,MATCH(S4,'NOI Walk'!$H$16:$EI$16,0)),0)</f>
        <v>145728.89359498475</v>
      </c>
      <c r="T113" s="24" cm="1">
        <f t="array" ref="T113">IFERROR(INDEX('NOI Walk'!$H$34:$EI$34,,MATCH(T4,'NOI Walk'!$H$16:$EI$16,0)),0)</f>
        <v>148677.7812886262</v>
      </c>
      <c r="U113" s="24" cm="1">
        <f t="array" ref="U113">IFERROR(INDEX('NOI Walk'!$H$34:$EI$34,,MATCH(U4,'NOI Walk'!$H$16:$EI$16,0)),0)</f>
        <v>151638.32584464911</v>
      </c>
      <c r="V113" s="24" cm="1">
        <f t="array" ref="V113">IFERROR(INDEX('NOI Walk'!$H$34:$EI$34,,MATCH(V4,'NOI Walk'!$H$16:$EI$16,0)),0)</f>
        <v>154610.56303821199</v>
      </c>
      <c r="W113" s="24" cm="1">
        <f t="array" ref="W113">IFERROR(INDEX('NOI Walk'!$H$34:$EI$34,,MATCH(W4,'NOI Walk'!$H$16:$EI$16,0)),0)</f>
        <v>157594.52874294901</v>
      </c>
      <c r="X113" s="24" cm="1">
        <f t="array" ref="X113">IFERROR(INDEX('NOI Walk'!$H$34:$EI$34,,MATCH(X4,'NOI Walk'!$H$16:$EI$16,0)),0)</f>
        <v>160590.25893122505</v>
      </c>
      <c r="Y113" s="24" cm="1">
        <f t="array" ref="Y113">IFERROR(INDEX('NOI Walk'!$H$34:$EI$34,,MATCH(Y4,'NOI Walk'!$H$16:$EI$16,0)),0)</f>
        <v>163597.78967439124</v>
      </c>
      <c r="Z113" s="24" cm="1">
        <f t="array" ref="Z113">IFERROR(INDEX('NOI Walk'!$H$34:$EI$34,,MATCH(Z4,'NOI Walk'!$H$16:$EI$16,0)),0)</f>
        <v>166617.15714304143</v>
      </c>
      <c r="AA113" s="24" cm="1">
        <f t="array" ref="AA113">IFERROR(INDEX('NOI Walk'!$H$34:$EI$34,,MATCH(AA4,'NOI Walk'!$H$16:$EI$16,0)),0)</f>
        <v>169648.39760726929</v>
      </c>
      <c r="AB113" s="24" cm="1">
        <f t="array" ref="AB113">IFERROR(INDEX('NOI Walk'!$H$34:$EI$34,,MATCH(AB4,'NOI Walk'!$H$16:$EI$16,0)),0)</f>
        <v>172691.54743692552</v>
      </c>
      <c r="AC113" s="24" cm="1">
        <f t="array" ref="AC113">IFERROR(INDEX('NOI Walk'!$H$34:$EI$34,,MATCH(AC4,'NOI Walk'!$H$16:$EI$16,0)),0)</f>
        <v>175746.64310187637</v>
      </c>
      <c r="AD113" s="24" cm="1">
        <f t="array" ref="AD113">IFERROR(INDEX('NOI Walk'!$H$34:$EI$34,,MATCH(AD4,'NOI Walk'!$H$16:$EI$16,0)),0)</f>
        <v>178813.72117226251</v>
      </c>
      <c r="AE113" s="24" cm="1">
        <f t="array" ref="AE113">IFERROR(INDEX('NOI Walk'!$H$34:$EI$34,,MATCH(AE4,'NOI Walk'!$H$16:$EI$16,0)),0)</f>
        <v>181892.8183187586</v>
      </c>
      <c r="AF113" s="24" cm="1">
        <f t="array" ref="AF113">IFERROR(INDEX('NOI Walk'!$H$34:$EI$34,,MATCH(AF4,'NOI Walk'!$H$16:$EI$16,0)),0)</f>
        <v>184983.97131283322</v>
      </c>
      <c r="AG113" s="24" cm="1">
        <f t="array" ref="AG113">IFERROR(INDEX('NOI Walk'!$H$34:$EI$34,,MATCH(AG4,'NOI Walk'!$H$16:$EI$16,0)),0)</f>
        <v>188087.21702700999</v>
      </c>
      <c r="AH113" s="24" cm="1">
        <f t="array" ref="AH113">IFERROR(INDEX('NOI Walk'!$H$34:$EI$34,,MATCH(AH4,'NOI Walk'!$H$16:$EI$16,0)),0)</f>
        <v>191202.5924351289</v>
      </c>
      <c r="AI113" s="24" cm="1">
        <f t="array" ref="AI113">IFERROR(INDEX('NOI Walk'!$H$34:$EI$34,,MATCH(AI4,'NOI Walk'!$H$16:$EI$16,0)),0)</f>
        <v>199925.41292247648</v>
      </c>
      <c r="AJ113" s="24" cm="1">
        <f t="array" ref="AJ113">IFERROR(INDEX('NOI Walk'!$H$34:$EI$34,,MATCH(AJ4,'NOI Walk'!$H$16:$EI$16,0)),0)</f>
        <v>208683.25072404247</v>
      </c>
      <c r="AK113" s="24" cm="1">
        <f t="array" ref="AK113">IFERROR(INDEX('NOI Walk'!$H$34:$EI$34,,MATCH(AK4,'NOI Walk'!$H$16:$EI$16,0)),0)</f>
        <v>217476.21316023503</v>
      </c>
      <c r="AL113" s="24" cm="1">
        <f t="array" ref="AL113">IFERROR(INDEX('NOI Walk'!$H$34:$EI$34,,MATCH(AL4,'NOI Walk'!$H$16:$EI$16,0)),0)</f>
        <v>217922.76311058761</v>
      </c>
      <c r="AM113" s="24" cm="1">
        <f t="array" ref="AM113">IFERROR(INDEX('NOI Walk'!$H$34:$EI$34,,MATCH(AM4,'NOI Walk'!$H$16:$EI$16,0)),0)</f>
        <v>218370.23249751391</v>
      </c>
      <c r="AN113" s="24" cm="1">
        <f t="array" ref="AN113">IFERROR(INDEX('NOI Walk'!$H$34:$EI$34,,MATCH(AN4,'NOI Walk'!$H$16:$EI$16,0)),0)</f>
        <v>218818.62321838035</v>
      </c>
      <c r="AO113" s="24" cm="1">
        <f t="array" ref="AO113">IFERROR(INDEX('NOI Walk'!$H$34:$EI$34,,MATCH(AO4,'NOI Walk'!$H$16:$EI$16,0)),0)</f>
        <v>219267.93717447607</v>
      </c>
      <c r="AP113" s="24" cm="1">
        <f t="array" ref="AP113">IFERROR(INDEX('NOI Walk'!$H$34:$EI$34,,MATCH(AP4,'NOI Walk'!$H$16:$EI$16,0)),0)</f>
        <v>219718.17627102096</v>
      </c>
      <c r="AQ113" s="24" cm="1">
        <f t="array" ref="AQ113">IFERROR(INDEX('NOI Walk'!$H$34:$EI$34,,MATCH(AQ4,'NOI Walk'!$H$16:$EI$16,0)),0)</f>
        <v>220169.3424171739</v>
      </c>
      <c r="AR113" s="24" cm="1">
        <f t="array" ref="AR113">IFERROR(INDEX('NOI Walk'!$H$34:$EI$34,,MATCH(AR4,'NOI Walk'!$H$16:$EI$16,0)),0)</f>
        <v>220621.43752604059</v>
      </c>
      <c r="AS113" s="24" cm="1">
        <f t="array" ref="AS113">IFERROR(INDEX('NOI Walk'!$H$34:$EI$34,,MATCH(AS4,'NOI Walk'!$H$16:$EI$16,0)),0)</f>
        <v>221074.46351468217</v>
      </c>
      <c r="AT113" s="24" cm="1">
        <f t="array" ref="AT113">IFERROR(INDEX('NOI Walk'!$H$34:$EI$34,,MATCH(AT4,'NOI Walk'!$H$16:$EI$16,0)),0)</f>
        <v>221528.42230412306</v>
      </c>
      <c r="AU113" s="24" cm="1">
        <f t="array" ref="AU113">IFERROR(INDEX('NOI Walk'!$H$34:$EI$34,,MATCH(AU4,'NOI Walk'!$H$16:$EI$16,0)),0)</f>
        <v>221983.31581935936</v>
      </c>
      <c r="AV113" s="24" cm="1">
        <f t="array" ref="AV113">IFERROR(INDEX('NOI Walk'!$H$34:$EI$34,,MATCH(AV4,'NOI Walk'!$H$16:$EI$16,0)),0)</f>
        <v>222439.14598936698</v>
      </c>
      <c r="AW113" s="24" cm="1">
        <f t="array" ref="AW113">IFERROR(INDEX('NOI Walk'!$H$34:$EI$34,,MATCH(AW4,'NOI Walk'!$H$16:$EI$16,0)),0)</f>
        <v>222895.91474711002</v>
      </c>
      <c r="AX113" s="24" cm="1">
        <f t="array" ref="AX113">IFERROR(INDEX('NOI Walk'!$H$34:$EI$34,,MATCH(AX4,'NOI Walk'!$H$16:$EI$16,0)),0)</f>
        <v>223353.62402954878</v>
      </c>
      <c r="AY113" s="24" cm="1">
        <f t="array" ref="AY113">IFERROR(INDEX('NOI Walk'!$H$34:$EI$34,,MATCH(AY4,'NOI Walk'!$H$16:$EI$16,0)),0)</f>
        <v>223812.27577764829</v>
      </c>
      <c r="AZ113" s="24" cm="1">
        <f t="array" ref="AZ113">IFERROR(INDEX('NOI Walk'!$H$34:$EI$34,,MATCH(AZ4,'NOI Walk'!$H$16:$EI$16,0)),0)</f>
        <v>224271.87193638642</v>
      </c>
      <c r="BA113" s="24" cm="1">
        <f t="array" ref="BA113">IFERROR(INDEX('NOI Walk'!$H$34:$EI$34,,MATCH(BA4,'NOI Walk'!$H$16:$EI$16,0)),0)</f>
        <v>224732.41445476218</v>
      </c>
      <c r="BB113" s="24" cm="1">
        <f t="array" ref="BB113">IFERROR(INDEX('NOI Walk'!$H$34:$EI$34,,MATCH(BB4,'NOI Walk'!$H$16:$EI$16,0)),0)</f>
        <v>225193.90528580436</v>
      </c>
      <c r="BC113" s="24" cm="1">
        <f t="array" ref="BC113">IFERROR(INDEX('NOI Walk'!$H$34:$EI$34,,MATCH(BC4,'NOI Walk'!$H$16:$EI$16,0)),0)</f>
        <v>225656.34638657942</v>
      </c>
      <c r="BD113" s="24" cm="1">
        <f t="array" ref="BD113">IFERROR(INDEX('NOI Walk'!$H$34:$EI$34,,MATCH(BD4,'NOI Walk'!$H$16:$EI$16,0)),0)</f>
        <v>226119.73971820017</v>
      </c>
      <c r="BE113" s="24" cm="1">
        <f t="array" ref="BE113">IFERROR(INDEX('NOI Walk'!$H$34:$EI$34,,MATCH(BE4,'NOI Walk'!$H$16:$EI$16,0)),0)</f>
        <v>226584.08724583391</v>
      </c>
      <c r="BF113" s="24" cm="1">
        <f t="array" ref="BF113">IFERROR(INDEX('NOI Walk'!$H$34:$EI$34,,MATCH(BF4,'NOI Walk'!$H$16:$EI$16,0)),0)</f>
        <v>227049.39093871115</v>
      </c>
      <c r="BG113" s="24" cm="1">
        <f t="array" ref="BG113">IFERROR(INDEX('NOI Walk'!$H$34:$EI$34,,MATCH(BG4,'NOI Walk'!$H$16:$EI$16,0)),0)</f>
        <v>227515.65277013378</v>
      </c>
      <c r="BH113" s="24" cm="1">
        <f t="array" ref="BH113">IFERROR(INDEX('NOI Walk'!$H$34:$EI$34,,MATCH(BH4,'NOI Walk'!$H$16:$EI$16,0)),0)</f>
        <v>227982.8747174835</v>
      </c>
      <c r="BI113" s="24" cm="1">
        <f t="array" ref="BI113">IFERROR(INDEX('NOI Walk'!$H$34:$EI$34,,MATCH(BI4,'NOI Walk'!$H$16:$EI$16,0)),0)</f>
        <v>228451.0587622303</v>
      </c>
      <c r="BJ113" s="24" cm="1">
        <f t="array" ref="BJ113">IFERROR(INDEX('NOI Walk'!$H$34:$EI$34,,MATCH(BJ4,'NOI Walk'!$H$16:$EI$16,0)),0)</f>
        <v>228920.20688994101</v>
      </c>
      <c r="BK113" s="24" cm="1">
        <f t="array" ref="BK113">IFERROR(INDEX('NOI Walk'!$H$34:$EI$34,,MATCH(BK4,'NOI Walk'!$H$16:$EI$16,0)),0)</f>
        <v>229390.32109028776</v>
      </c>
      <c r="BL113" s="24" cm="1">
        <f t="array" ref="BL113">IFERROR(INDEX('NOI Walk'!$H$34:$EI$34,,MATCH(BL4,'NOI Walk'!$H$16:$EI$16,0)),0)</f>
        <v>229861.40335705626</v>
      </c>
      <c r="BM113" s="24" cm="1">
        <f t="array" ref="BM113">IFERROR(INDEX('NOI Walk'!$H$34:$EI$34,,MATCH(BM4,'NOI Walk'!$H$16:$EI$16,0)),0)</f>
        <v>230333.45568815476</v>
      </c>
      <c r="BN113" s="24" cm="1">
        <f t="array" ref="BN113">IFERROR(INDEX('NOI Walk'!$H$34:$EI$34,,MATCH(BN4,'NOI Walk'!$H$16:$EI$16,0)),0)</f>
        <v>230806.48008562211</v>
      </c>
      <c r="BO113" s="24" cm="1">
        <f t="array" ref="BO113">IFERROR(INDEX('NOI Walk'!$H$34:$EI$34,,MATCH(BO4,'NOI Walk'!$H$16:$EI$16,0)),0)</f>
        <v>231280.47855563654</v>
      </c>
      <c r="BP113" s="24" cm="1">
        <f t="array" ref="BP113">IFERROR(INDEX('NOI Walk'!$H$34:$EI$34,,MATCH(BP4,'NOI Walk'!$H$16:$EI$16,0)),0)</f>
        <v>231755.45310852438</v>
      </c>
      <c r="BQ113" s="24" cm="1">
        <f t="array" ref="BQ113">IFERROR(INDEX('NOI Walk'!$H$34:$EI$34,,MATCH(BQ4,'NOI Walk'!$H$16:$EI$16,0)),0)</f>
        <v>232231.40575876838</v>
      </c>
      <c r="BR113" s="24" cm="1">
        <f t="array" ref="BR113">IFERROR(INDEX('NOI Walk'!$H$34:$EI$34,,MATCH(BR4,'NOI Walk'!$H$16:$EI$16,0)),0)</f>
        <v>232708.3385250163</v>
      </c>
      <c r="BS113" s="24" cm="1">
        <f t="array" ref="BS113">IFERROR(INDEX('NOI Walk'!$H$34:$EI$34,,MATCH(BS4,'NOI Walk'!$H$16:$EI$16,0)),0)</f>
        <v>233186.25343008991</v>
      </c>
      <c r="BT113" s="24" cm="1">
        <f t="array" ref="BT113">IFERROR(INDEX('NOI Walk'!$H$34:$EI$34,,MATCH(BT4,'NOI Walk'!$H$16:$EI$16,0)),0)</f>
        <v>233665.15250099325</v>
      </c>
      <c r="BU113" s="24" cm="1">
        <f t="array" ref="BU113">IFERROR(INDEX('NOI Walk'!$H$34:$EI$34,,MATCH(BU4,'NOI Walk'!$H$16:$EI$16,0)),0)</f>
        <v>234145.03776892138</v>
      </c>
      <c r="BV113" s="24" cm="1">
        <f t="array" ref="BV113">IFERROR(INDEX('NOI Walk'!$H$34:$EI$34,,MATCH(BV4,'NOI Walk'!$H$16:$EI$16,0)),0)</f>
        <v>234625.91126926913</v>
      </c>
      <c r="BW113" s="24" cm="1">
        <f t="array" ref="BW113">IFERROR(INDEX('NOI Walk'!$H$34:$EI$34,,MATCH(BW4,'NOI Walk'!$H$16:$EI$16,0)),0)</f>
        <v>235107.77504163992</v>
      </c>
      <c r="BX113" s="24" cm="1">
        <f t="array" ref="BX113">IFERROR(INDEX('NOI Walk'!$H$34:$EI$34,,MATCH(BX4,'NOI Walk'!$H$16:$EI$16,0)),0)</f>
        <v>235590.63112985401</v>
      </c>
      <c r="BY113" s="24" cm="1">
        <f t="array" ref="BY113">IFERROR(INDEX('NOI Walk'!$H$34:$EI$34,,MATCH(BY4,'NOI Walk'!$H$16:$EI$16,0)),0)</f>
        <v>236074.48158195775</v>
      </c>
      <c r="BZ113" s="24" cm="1">
        <f t="array" ref="BZ113">IFERROR(INDEX('NOI Walk'!$H$34:$EI$34,,MATCH(BZ4,'NOI Walk'!$H$16:$EI$16,0)),0)</f>
        <v>236559.32845023222</v>
      </c>
      <c r="CA113" s="24" cm="1">
        <f t="array" ref="CA113">IFERROR(INDEX('NOI Walk'!$H$34:$EI$34,,MATCH(CA4,'NOI Walk'!$H$16:$EI$16,0)),0)</f>
        <v>237045.17379120164</v>
      </c>
      <c r="CB113" s="24" cm="1">
        <f t="array" ref="CB113">IFERROR(INDEX('NOI Walk'!$H$34:$EI$34,,MATCH(CB4,'NOI Walk'!$H$16:$EI$16,0)),0)</f>
        <v>237532.01966564255</v>
      </c>
      <c r="CC113" s="24" cm="1">
        <f t="array" ref="CC113">IFERROR(INDEX('NOI Walk'!$H$34:$EI$34,,MATCH(CC4,'NOI Walk'!$H$16:$EI$16,0)),0)</f>
        <v>238019.86813859249</v>
      </c>
      <c r="CD113" s="24" cm="1">
        <f t="array" ref="CD113">IFERROR(INDEX('NOI Walk'!$H$34:$EI$34,,MATCH(CD4,'NOI Walk'!$H$16:$EI$16,0)),0)</f>
        <v>238508.72127935887</v>
      </c>
      <c r="CE113" s="24" cm="1">
        <f t="array" ref="CE113">IFERROR(INDEX('NOI Walk'!$H$34:$EI$34,,MATCH(CE4,'NOI Walk'!$H$16:$EI$16,0)),0)</f>
        <v>238998.5811615276</v>
      </c>
      <c r="CF113" s="24" cm="1">
        <f t="array" ref="CF113">IFERROR(INDEX('NOI Walk'!$H$34:$EI$34,,MATCH(CF4,'NOI Walk'!$H$16:$EI$16,0)),0)</f>
        <v>239489.44986297225</v>
      </c>
      <c r="CG113" s="24" cm="1">
        <f t="array" ref="CG113">IFERROR(INDEX('NOI Walk'!$H$34:$EI$34,,MATCH(CG4,'NOI Walk'!$H$16:$EI$16,0)),0)</f>
        <v>239981.32946586277</v>
      </c>
      <c r="CH113" s="24" cm="1">
        <f t="array" ref="CH113">IFERROR(INDEX('NOI Walk'!$H$34:$EI$34,,MATCH(CH4,'NOI Walk'!$H$16:$EI$16,0)),0)</f>
        <v>240474.22205667428</v>
      </c>
      <c r="CI113" s="24" cm="1">
        <f t="array" ref="CI113">IFERROR(INDEX('NOI Walk'!$H$34:$EI$34,,MATCH(CI4,'NOI Walk'!$H$16:$EI$16,0)),0)</f>
        <v>240968.12972619626</v>
      </c>
      <c r="CJ113" s="24" cm="1">
        <f t="array" ref="CJ113">IFERROR(INDEX('NOI Walk'!$H$34:$EI$34,,MATCH(CJ4,'NOI Walk'!$H$16:$EI$16,0)),0)</f>
        <v>241463.05456954124</v>
      </c>
      <c r="CK113" s="24" cm="1">
        <f t="array" ref="CK113">IFERROR(INDEX('NOI Walk'!$H$34:$EI$34,,MATCH(CK4,'NOI Walk'!$H$16:$EI$16,0)),0)</f>
        <v>241958.99868615391</v>
      </c>
      <c r="CL113" s="24" cm="1">
        <f t="array" ref="CL113">IFERROR(INDEX('NOI Walk'!$H$34:$EI$34,,MATCH(CL4,'NOI Walk'!$H$16:$EI$16,0)),0)</f>
        <v>242455.96417981992</v>
      </c>
      <c r="CM113" s="24" cm="1">
        <f t="array" ref="CM113">IFERROR(INDEX('NOI Walk'!$H$34:$EI$34,,MATCH(CM4,'NOI Walk'!$H$16:$EI$16,0)),0)</f>
        <v>242953.95315867508</v>
      </c>
      <c r="CN113" s="24" cm="1">
        <f t="array" ref="CN113">IFERROR(INDEX('NOI Walk'!$H$34:$EI$34,,MATCH(CN4,'NOI Walk'!$H$16:$EI$16,0)),0)</f>
        <v>243452.96773521422</v>
      </c>
      <c r="CO113" s="24" cm="1">
        <f t="array" ref="CO113">IFERROR(INDEX('NOI Walk'!$H$34:$EI$34,,MATCH(CO4,'NOI Walk'!$H$16:$EI$16,0)),0)</f>
        <v>243953.01002630024</v>
      </c>
      <c r="CP113" s="24" cm="1">
        <f t="array" ref="CP113">IFERROR(INDEX('NOI Walk'!$H$34:$EI$34,,MATCH(CP4,'NOI Walk'!$H$16:$EI$16,0)),0)</f>
        <v>244454.08215317322</v>
      </c>
      <c r="CQ113" s="24" cm="1">
        <f t="array" ref="CQ113">IFERROR(INDEX('NOI Walk'!$H$34:$EI$34,,MATCH(CQ4,'NOI Walk'!$H$16:$EI$16,0)),0)</f>
        <v>244956.18624145939</v>
      </c>
      <c r="CR113" s="24" cm="1">
        <f t="array" ref="CR113">IFERROR(INDEX('NOI Walk'!$H$34:$EI$34,,MATCH(CR4,'NOI Walk'!$H$16:$EI$16,0)),0)</f>
        <v>245459.32442118024</v>
      </c>
      <c r="CS113" s="24" cm="1">
        <f t="array" ref="CS113">IFERROR(INDEX('NOI Walk'!$H$34:$EI$34,,MATCH(CS4,'NOI Walk'!$H$16:$EI$16,0)),0)</f>
        <v>245963.4988267617</v>
      </c>
      <c r="CT113" s="24" cm="1">
        <f t="array" ref="CT113">IFERROR(INDEX('NOI Walk'!$H$34:$EI$34,,MATCH(CT4,'NOI Walk'!$H$16:$EI$16,0)),0)</f>
        <v>246468.71159704321</v>
      </c>
      <c r="CU113" s="24" cm="1">
        <f t="array" ref="CU113">IFERROR(INDEX('NOI Walk'!$H$34:$EI$34,,MATCH(CU4,'NOI Walk'!$H$16:$EI$16,0)),0)</f>
        <v>246974.96487528677</v>
      </c>
      <c r="CV113" s="24" cm="1">
        <f t="array" ref="CV113">IFERROR(INDEX('NOI Walk'!$H$34:$EI$34,,MATCH(CV4,'NOI Walk'!$H$16:$EI$16,0)),0)</f>
        <v>247482.26080918629</v>
      </c>
      <c r="CW113" s="24" cm="1">
        <f t="array" ref="CW113">IFERROR(INDEX('NOI Walk'!$H$34:$EI$34,,MATCH(CW4,'NOI Walk'!$H$16:$EI$16,0)),0)</f>
        <v>247990.60155087651</v>
      </c>
      <c r="CX113" s="24" cm="1">
        <f t="array" ref="CX113">IFERROR(INDEX('NOI Walk'!$H$34:$EI$34,,MATCH(CX4,'NOI Walk'!$H$16:$EI$16,0)),0)</f>
        <v>248499.9892569425</v>
      </c>
      <c r="CY113" s="24" cm="1">
        <f t="array" ref="CY113">IFERROR(INDEX('NOI Walk'!$H$34:$EI$34,,MATCH(CY4,'NOI Walk'!$H$16:$EI$16,0)),0)</f>
        <v>249010.42608842865</v>
      </c>
      <c r="CZ113" s="24" cm="1">
        <f t="array" ref="CZ113">IFERROR(INDEX('NOI Walk'!$H$34:$EI$34,,MATCH(CZ4,'NOI Walk'!$H$16:$EI$16,0)),0)</f>
        <v>249521.9142108479</v>
      </c>
      <c r="DA113" s="24" cm="1">
        <f t="array" ref="DA113">IFERROR(INDEX('NOI Walk'!$H$34:$EI$34,,MATCH(DA4,'NOI Walk'!$H$16:$EI$16,0)),0)</f>
        <v>250034.45579419125</v>
      </c>
      <c r="DB113" s="24" cm="1">
        <f t="array" ref="DB113">IFERROR(INDEX('NOI Walk'!$H$34:$EI$34,,MATCH(DB4,'NOI Walk'!$H$16:$EI$16,0)),0)</f>
        <v>250548.05301293661</v>
      </c>
      <c r="DC113" s="24" cm="1">
        <f t="array" ref="DC113">IFERROR(INDEX('NOI Walk'!$H$34:$EI$34,,MATCH(DC4,'NOI Walk'!$H$16:$EI$16,0)),0)</f>
        <v>251062.70804605863</v>
      </c>
      <c r="DD113" s="24" cm="1">
        <f t="array" ref="DD113">IFERROR(INDEX('NOI Walk'!$H$34:$EI$34,,MATCH(DD4,'NOI Walk'!$H$16:$EI$16,0)),0)</f>
        <v>251578.42307703741</v>
      </c>
      <c r="DE113" s="24" cm="1">
        <f t="array" ref="DE113">IFERROR(INDEX('NOI Walk'!$H$34:$EI$34,,MATCH(DE4,'NOI Walk'!$H$16:$EI$16,0)),0)</f>
        <v>252095.20029386829</v>
      </c>
      <c r="DF113" s="24" cm="1">
        <f t="array" ref="DF113">IFERROR(INDEX('NOI Walk'!$H$34:$EI$34,,MATCH(DF4,'NOI Walk'!$H$16:$EI$16,0)),0)</f>
        <v>252613.04188907109</v>
      </c>
      <c r="DG113" s="24" cm="1">
        <f t="array" ref="DG113">IFERROR(INDEX('NOI Walk'!$H$34:$EI$34,,MATCH(DG4,'NOI Walk'!$H$16:$EI$16,0)),0)</f>
        <v>253131.9500596993</v>
      </c>
      <c r="DH113" s="24" cm="1">
        <f t="array" ref="DH113">IFERROR(INDEX('NOI Walk'!$H$34:$EI$34,,MATCH(DH4,'NOI Walk'!$H$16:$EI$16,0)),0)</f>
        <v>253651.92700734967</v>
      </c>
      <c r="DI113" s="24" cm="1">
        <f t="array" ref="DI113">IFERROR(INDEX('NOI Walk'!$H$34:$EI$34,,MATCH(DI4,'NOI Walk'!$H$16:$EI$16,0)),0)</f>
        <v>254172.97493817162</v>
      </c>
      <c r="DJ113" s="24" cm="1">
        <f t="array" ref="DJ113">IFERROR(INDEX('NOI Walk'!$H$34:$EI$34,,MATCH(DJ4,'NOI Walk'!$H$16:$EI$16,0)),0)</f>
        <v>254695.09606287649</v>
      </c>
      <c r="DK113" s="24" cm="1">
        <f t="array" ref="DK113">IFERROR(INDEX('NOI Walk'!$H$34:$EI$34,,MATCH(DK4,'NOI Walk'!$H$16:$EI$16,0)),0)</f>
        <v>255218.29259674711</v>
      </c>
      <c r="DL113" s="24" cm="1">
        <f t="array" ref="DL113">IFERROR(INDEX('NOI Walk'!$H$34:$EI$34,,MATCH(DL4,'NOI Walk'!$H$16:$EI$16,0)),0)</f>
        <v>255742.56675964731</v>
      </c>
      <c r="DM113" s="24" cm="1">
        <f t="array" ref="DM113">IFERROR(INDEX('NOI Walk'!$H$34:$EI$34,,MATCH(DM4,'NOI Walk'!$H$16:$EI$16,0)),0)</f>
        <v>256267.92077603133</v>
      </c>
      <c r="DN113" s="24" cm="1">
        <f t="array" ref="DN113">IFERROR(INDEX('NOI Walk'!$H$34:$EI$34,,MATCH(DN4,'NOI Walk'!$H$16:$EI$16,0)),0)</f>
        <v>256794.35687495326</v>
      </c>
      <c r="DO113" s="24" cm="1">
        <f t="array" ref="DO113">IFERROR(INDEX('NOI Walk'!$H$34:$EI$34,,MATCH(DO4,'NOI Walk'!$H$16:$EI$16,0)),0)</f>
        <v>257321.87729007687</v>
      </c>
      <c r="DP113" s="24" cm="1">
        <f t="array" ref="DP113">IFERROR(INDEX('NOI Walk'!$H$34:$EI$34,,MATCH(DP4,'NOI Walk'!$H$16:$EI$16,0)),0)</f>
        <v>257850.48425968469</v>
      </c>
      <c r="DQ113" s="24" cm="1">
        <f t="array" ref="DQ113">IFERROR(INDEX('NOI Walk'!$H$34:$EI$34,,MATCH(DQ4,'NOI Walk'!$H$16:$EI$16,0)),0)</f>
        <v>258380.18002668794</v>
      </c>
      <c r="DR113" s="24" cm="1">
        <f t="array" ref="DR113">IFERROR(INDEX('NOI Walk'!$H$34:$EI$34,,MATCH(DR4,'NOI Walk'!$H$16:$EI$16,0)),0)</f>
        <v>258910.96683863591</v>
      </c>
      <c r="DS113" s="24" cm="1">
        <f t="array" ref="DS113">IFERROR(INDEX('NOI Walk'!$H$34:$EI$34,,MATCH(DS4,'NOI Walk'!$H$16:$EI$16,0)),0)</f>
        <v>259442.84694772589</v>
      </c>
      <c r="DT113" s="24" cm="1">
        <f t="array" ref="DT113">IFERROR(INDEX('NOI Walk'!$H$34:$EI$34,,MATCH(DT4,'NOI Walk'!$H$16:$EI$16,0)),0)</f>
        <v>259975.82261081235</v>
      </c>
      <c r="DU113" s="24" cm="1">
        <f t="array" ref="DU113">IFERROR(INDEX('NOI Walk'!$H$34:$EI$34,,MATCH(DU4,'NOI Walk'!$H$16:$EI$16,0)),0)</f>
        <v>260509.89608941678</v>
      </c>
      <c r="DV113" s="24" cm="1">
        <f t="array" ref="DV113">IFERROR(INDEX('NOI Walk'!$H$34:$EI$34,,MATCH(DV4,'NOI Walk'!$H$16:$EI$16,0)),0)</f>
        <v>261045.06964973747</v>
      </c>
      <c r="DW113" s="24" cm="1">
        <f t="array" ref="DW113">IFERROR(INDEX('NOI Walk'!$H$34:$EI$34,,MATCH(DW4,'NOI Walk'!$H$16:$EI$16,0)),0)</f>
        <v>261581.34556265909</v>
      </c>
      <c r="DX113" s="24" cm="1">
        <f t="array" ref="DX113">IFERROR(INDEX('NOI Walk'!$H$34:$EI$34,,MATCH(DX4,'NOI Walk'!$H$16:$EI$16,0)),0)</f>
        <v>262118.72610376225</v>
      </c>
      <c r="DY113" s="24" cm="1">
        <f t="array" ref="DY113">IFERROR(INDEX('NOI Walk'!$H$34:$EI$34,,MATCH(DY4,'NOI Walk'!$H$16:$EI$16,0)),0)</f>
        <v>262657.2135533336</v>
      </c>
      <c r="DZ113" s="24" cm="1">
        <f t="array" ref="DZ113">IFERROR(INDEX('NOI Walk'!$H$34:$EI$34,,MATCH(DZ4,'NOI Walk'!$H$16:$EI$16,0)),0)</f>
        <v>263196.8101963753</v>
      </c>
      <c r="EA113" s="24" cm="1">
        <f t="array" ref="EA113">IFERROR(INDEX('NOI Walk'!$H$34:$EI$34,,MATCH(EA4,'NOI Walk'!$H$16:$EI$16,0)),0)</f>
        <v>263737.51832261455</v>
      </c>
      <c r="EB113" s="24" cm="1">
        <f t="array" ref="EB113">IFERROR(INDEX('NOI Walk'!$H$34:$EI$34,,MATCH(EB4,'NOI Walk'!$H$16:$EI$16,0)),0)</f>
        <v>264279.34022651409</v>
      </c>
      <c r="EC113" s="24" cm="1">
        <f t="array" ref="EC113">IFERROR(INDEX('NOI Walk'!$H$34:$EI$34,,MATCH(EC4,'NOI Walk'!$H$16:$EI$16,0)),0)</f>
        <v>264822.27820728126</v>
      </c>
      <c r="ED113" s="24" cm="1">
        <f t="array" ref="ED113">IFERROR(INDEX('NOI Walk'!$H$34:$EI$34,,MATCH(ED4,'NOI Walk'!$H$16:$EI$16,0)),0)</f>
        <v>265366.33456887829</v>
      </c>
      <c r="EE113" s="24" cm="1">
        <f t="array" ref="EE113">IFERROR(INDEX('NOI Walk'!$H$34:$EI$34,,MATCH(EE4,'NOI Walk'!$H$16:$EI$16,0)),0)</f>
        <v>265911.51162003196</v>
      </c>
      <c r="EF113" s="24" cm="1">
        <f t="array" ref="EF113">IFERROR(INDEX('NOI Walk'!$H$34:$EI$34,,MATCH(EF4,'NOI Walk'!$H$16:$EI$16,0)),0)</f>
        <v>266457.81167424354</v>
      </c>
      <c r="EG113" s="24" cm="1">
        <f t="array" ref="EG113">IFERROR(INDEX('NOI Walk'!$H$34:$EI$34,,MATCH(EG4,'NOI Walk'!$H$16:$EI$16,0)),0)</f>
        <v>267005.23704979871</v>
      </c>
      <c r="EH113" s="24" cm="1">
        <f t="array" ref="EH113">IFERROR(INDEX('NOI Walk'!$H$34:$EI$34,,MATCH(EH4,'NOI Walk'!$H$16:$EI$16,0)),0)</f>
        <v>267553.79006977717</v>
      </c>
      <c r="EI113" s="24" cm="1">
        <f t="array" ref="EI113">IFERROR(INDEX('NOI Walk'!$H$34:$EI$34,,MATCH(EI4,'NOI Walk'!$H$16:$EI$16,0)),0)</f>
        <v>268103.47306206304</v>
      </c>
      <c r="EJ113" s="24"/>
      <c r="EK113" s="24"/>
      <c r="EL113" s="24"/>
      <c r="EM113" s="1" t="s">
        <v>191</v>
      </c>
    </row>
    <row r="114" spans="4:143" x14ac:dyDescent="0.45">
      <c r="D114" s="1" t="s">
        <v>225</v>
      </c>
      <c r="E114" s="24"/>
      <c r="F114" s="24"/>
      <c r="G114" s="24" cm="1">
        <f t="array" ref="G114">IFERROR(INDEX('Retail Assumptions'!$L$49:$EO$49,,MATCH(G4,'Retail Assumptions'!$L$5:$EO$5,0)),0)</f>
        <v>0</v>
      </c>
      <c r="H114" s="24" cm="1">
        <f t="array" ref="H114">IFERROR(INDEX('Retail Assumptions'!$L$49:$EO$49,,MATCH(H4,'Retail Assumptions'!$L$5:$EO$5,0)),0)</f>
        <v>0</v>
      </c>
      <c r="I114" s="24" cm="1">
        <f t="array" ref="I114">IFERROR(INDEX('Retail Assumptions'!$L$49:$EO$49,,MATCH(I4,'Retail Assumptions'!$L$5:$EO$5,0)),0)</f>
        <v>0</v>
      </c>
      <c r="J114" s="24" cm="1">
        <f t="array" ref="J114">IFERROR(INDEX('Retail Assumptions'!$L$49:$EO$49,,MATCH(J4,'Retail Assumptions'!$L$5:$EO$5,0)),0)</f>
        <v>0</v>
      </c>
      <c r="K114" s="24" cm="1">
        <f t="array" ref="K114">IFERROR(INDEX('Retail Assumptions'!$L$49:$EO$49,,MATCH(K4,'Retail Assumptions'!$L$5:$EO$5,0)),0)</f>
        <v>0</v>
      </c>
      <c r="L114" s="24" cm="1">
        <f t="array" ref="L114">IFERROR(INDEX('Retail Assumptions'!$L$49:$EO$49,,MATCH(L4,'Retail Assumptions'!$L$5:$EO$5,0)),0)</f>
        <v>0</v>
      </c>
      <c r="M114" s="24" cm="1">
        <f t="array" ref="M114">IFERROR(INDEX('Retail Assumptions'!$L$49:$EO$49,,MATCH(M4,'Retail Assumptions'!$L$5:$EO$5,0)),0)</f>
        <v>0</v>
      </c>
      <c r="N114" s="24" cm="1">
        <f t="array" ref="N114">IFERROR(INDEX('Retail Assumptions'!$L$49:$EO$49,,MATCH(N4,'Retail Assumptions'!$L$5:$EO$5,0)),0)</f>
        <v>0</v>
      </c>
      <c r="O114" s="24" cm="1">
        <f t="array" ref="O114">IFERROR(INDEX('Retail Assumptions'!$L$49:$EO$49,,MATCH(O4,'Retail Assumptions'!$L$5:$EO$5,0)),0)</f>
        <v>0</v>
      </c>
      <c r="P114" s="24" cm="1">
        <f t="array" ref="P114">IFERROR(INDEX('Retail Assumptions'!$L$49:$EO$49,,MATCH(P4,'Retail Assumptions'!$L$5:$EO$5,0)),0)</f>
        <v>0</v>
      </c>
      <c r="Q114" s="24" cm="1">
        <f t="array" ref="Q114">IFERROR(INDEX('Retail Assumptions'!$L$49:$EO$49,,MATCH(Q4,'Retail Assumptions'!$L$5:$EO$5,0)),0)</f>
        <v>0</v>
      </c>
      <c r="R114" s="24" cm="1">
        <f t="array" ref="R114">IFERROR(INDEX('Retail Assumptions'!$L$49:$EO$49,,MATCH(R4,'Retail Assumptions'!$L$5:$EO$5,0)),0)</f>
        <v>0</v>
      </c>
      <c r="S114" s="24" cm="1">
        <f t="array" ref="S114">IFERROR(INDEX('Retail Assumptions'!$L$49:$EO$49,,MATCH(S4,'Retail Assumptions'!$L$5:$EO$5,0)),0)</f>
        <v>0</v>
      </c>
      <c r="T114" s="24" cm="1">
        <f t="array" ref="T114">IFERROR(INDEX('Retail Assumptions'!$L$49:$EO$49,,MATCH(T4,'Retail Assumptions'!$L$5:$EO$5,0)),0)</f>
        <v>0</v>
      </c>
      <c r="U114" s="24" cm="1">
        <f t="array" ref="U114">IFERROR(INDEX('Retail Assumptions'!$L$49:$EO$49,,MATCH(U4,'Retail Assumptions'!$L$5:$EO$5,0)),0)</f>
        <v>0</v>
      </c>
      <c r="V114" s="24" cm="1">
        <f t="array" ref="V114">IFERROR(INDEX('Retail Assumptions'!$L$49:$EO$49,,MATCH(V4,'Retail Assumptions'!$L$5:$EO$5,0)),0)</f>
        <v>0</v>
      </c>
      <c r="W114" s="24" cm="1">
        <f t="array" ref="W114">IFERROR(INDEX('Retail Assumptions'!$L$49:$EO$49,,MATCH(W4,'Retail Assumptions'!$L$5:$EO$5,0)),0)</f>
        <v>0</v>
      </c>
      <c r="X114" s="24" cm="1">
        <f t="array" ref="X114">IFERROR(INDEX('Retail Assumptions'!$L$49:$EO$49,,MATCH(X4,'Retail Assumptions'!$L$5:$EO$5,0)),0)</f>
        <v>0</v>
      </c>
      <c r="Y114" s="24" cm="1">
        <f t="array" ref="Y114">IFERROR(INDEX('Retail Assumptions'!$L$49:$EO$49,,MATCH(Y4,'Retail Assumptions'!$L$5:$EO$5,0)),0)</f>
        <v>0</v>
      </c>
      <c r="Z114" s="24" cm="1">
        <f t="array" ref="Z114">IFERROR(INDEX('Retail Assumptions'!$L$49:$EO$49,,MATCH(Z4,'Retail Assumptions'!$L$5:$EO$5,0)),0)</f>
        <v>0</v>
      </c>
      <c r="AA114" s="24" cm="1">
        <f t="array" ref="AA114">IFERROR(INDEX('Retail Assumptions'!$L$49:$EO$49,,MATCH(AA4,'Retail Assumptions'!$L$5:$EO$5,0)),0)</f>
        <v>0</v>
      </c>
      <c r="AB114" s="24" cm="1">
        <f t="array" ref="AB114">IFERROR(INDEX('Retail Assumptions'!$L$49:$EO$49,,MATCH(AB4,'Retail Assumptions'!$L$5:$EO$5,0)),0)</f>
        <v>0</v>
      </c>
      <c r="AC114" s="24" cm="1">
        <f t="array" ref="AC114">IFERROR(INDEX('Retail Assumptions'!$L$49:$EO$49,,MATCH(AC4,'Retail Assumptions'!$L$5:$EO$5,0)),0)</f>
        <v>0</v>
      </c>
      <c r="AD114" s="24" cm="1">
        <f t="array" ref="AD114">IFERROR(INDEX('Retail Assumptions'!$L$49:$EO$49,,MATCH(AD4,'Retail Assumptions'!$L$5:$EO$5,0)),0)</f>
        <v>0</v>
      </c>
      <c r="AE114" s="24" cm="1">
        <f t="array" ref="AE114">IFERROR(INDEX('Retail Assumptions'!$L$49:$EO$49,,MATCH(AE4,'Retail Assumptions'!$L$5:$EO$5,0)),0)</f>
        <v>0</v>
      </c>
      <c r="AF114" s="24" cm="1">
        <f t="array" ref="AF114">IFERROR(INDEX('Retail Assumptions'!$L$49:$EO$49,,MATCH(AF4,'Retail Assumptions'!$L$5:$EO$5,0)),0)</f>
        <v>0</v>
      </c>
      <c r="AG114" s="24" cm="1">
        <f t="array" ref="AG114">IFERROR(INDEX('Retail Assumptions'!$L$49:$EO$49,,MATCH(AG4,'Retail Assumptions'!$L$5:$EO$5,0)),0)</f>
        <v>0</v>
      </c>
      <c r="AH114" s="24" cm="1">
        <f t="array" ref="AH114">IFERROR(INDEX('Retail Assumptions'!$L$49:$EO$49,,MATCH(AH4,'Retail Assumptions'!$L$5:$EO$5,0)),0)</f>
        <v>0</v>
      </c>
      <c r="AI114" s="24" cm="1">
        <f t="array" ref="AI114">IFERROR(INDEX('Retail Assumptions'!$L$49:$EO$49,,MATCH(AI4,'Retail Assumptions'!$L$5:$EO$5,0)),0)</f>
        <v>0</v>
      </c>
      <c r="AJ114" s="24" cm="1">
        <f t="array" ref="AJ114">IFERROR(INDEX('Retail Assumptions'!$L$49:$EO$49,,MATCH(AJ4,'Retail Assumptions'!$L$5:$EO$5,0)),0)</f>
        <v>0</v>
      </c>
      <c r="AK114" s="24" cm="1">
        <f t="array" ref="AK114">IFERROR(INDEX('Retail Assumptions'!$L$49:$EO$49,,MATCH(AK4,'Retail Assumptions'!$L$5:$EO$5,0)),0)</f>
        <v>0</v>
      </c>
      <c r="AL114" s="24" cm="1">
        <f t="array" ref="AL114">IFERROR(INDEX('Retail Assumptions'!$L$49:$EO$49,,MATCH(AL4,'Retail Assumptions'!$L$5:$EO$5,0)),0)</f>
        <v>0</v>
      </c>
      <c r="AM114" s="24" cm="1">
        <f t="array" ref="AM114">IFERROR(INDEX('Retail Assumptions'!$L$49:$EO$49,,MATCH(AM4,'Retail Assumptions'!$L$5:$EO$5,0)),0)</f>
        <v>0</v>
      </c>
      <c r="AN114" s="24" cm="1">
        <f t="array" ref="AN114">IFERROR(INDEX('Retail Assumptions'!$L$49:$EO$49,,MATCH(AN4,'Retail Assumptions'!$L$5:$EO$5,0)),0)</f>
        <v>0</v>
      </c>
      <c r="AO114" s="24" cm="1">
        <f t="array" ref="AO114">IFERROR(INDEX('Retail Assumptions'!$L$49:$EO$49,,MATCH(AO4,'Retail Assumptions'!$L$5:$EO$5,0)),0)</f>
        <v>0</v>
      </c>
      <c r="AP114" s="24" cm="1">
        <f t="array" ref="AP114">IFERROR(INDEX('Retail Assumptions'!$L$49:$EO$49,,MATCH(AP4,'Retail Assumptions'!$L$5:$EO$5,0)),0)</f>
        <v>0</v>
      </c>
      <c r="AQ114" s="24" cm="1">
        <f t="array" ref="AQ114">IFERROR(INDEX('Retail Assumptions'!$L$49:$EO$49,,MATCH(AQ4,'Retail Assumptions'!$L$5:$EO$5,0)),0)</f>
        <v>0</v>
      </c>
      <c r="AR114" s="24" cm="1">
        <f t="array" ref="AR114">IFERROR(INDEX('Retail Assumptions'!$L$49:$EO$49,,MATCH(AR4,'Retail Assumptions'!$L$5:$EO$5,0)),0)</f>
        <v>0</v>
      </c>
      <c r="AS114" s="24" cm="1">
        <f t="array" ref="AS114">IFERROR(INDEX('Retail Assumptions'!$L$49:$EO$49,,MATCH(AS4,'Retail Assumptions'!$L$5:$EO$5,0)),0)</f>
        <v>0</v>
      </c>
      <c r="AT114" s="24" cm="1">
        <f t="array" ref="AT114">IFERROR(INDEX('Retail Assumptions'!$L$49:$EO$49,,MATCH(AT4,'Retail Assumptions'!$L$5:$EO$5,0)),0)</f>
        <v>0</v>
      </c>
      <c r="AU114" s="24" cm="1">
        <f t="array" ref="AU114">IFERROR(INDEX('Retail Assumptions'!$L$49:$EO$49,,MATCH(AU4,'Retail Assumptions'!$L$5:$EO$5,0)),0)</f>
        <v>0</v>
      </c>
      <c r="AV114" s="24" cm="1">
        <f t="array" ref="AV114">IFERROR(INDEX('Retail Assumptions'!$L$49:$EO$49,,MATCH(AV4,'Retail Assumptions'!$L$5:$EO$5,0)),0)</f>
        <v>0</v>
      </c>
      <c r="AW114" s="24" cm="1">
        <f t="array" ref="AW114">IFERROR(INDEX('Retail Assumptions'!$L$49:$EO$49,,MATCH(AW4,'Retail Assumptions'!$L$5:$EO$5,0)),0)</f>
        <v>0</v>
      </c>
      <c r="AX114" s="24" cm="1">
        <f t="array" ref="AX114">IFERROR(INDEX('Retail Assumptions'!$L$49:$EO$49,,MATCH(AX4,'Retail Assumptions'!$L$5:$EO$5,0)),0)</f>
        <v>0</v>
      </c>
      <c r="AY114" s="24" cm="1">
        <f t="array" ref="AY114">IFERROR(INDEX('Retail Assumptions'!$L$49:$EO$49,,MATCH(AY4,'Retail Assumptions'!$L$5:$EO$5,0)),0)</f>
        <v>0</v>
      </c>
      <c r="AZ114" s="24" cm="1">
        <f t="array" ref="AZ114">IFERROR(INDEX('Retail Assumptions'!$L$49:$EO$49,,MATCH(AZ4,'Retail Assumptions'!$L$5:$EO$5,0)),0)</f>
        <v>0</v>
      </c>
      <c r="BA114" s="24" cm="1">
        <f t="array" ref="BA114">IFERROR(INDEX('Retail Assumptions'!$L$49:$EO$49,,MATCH(BA4,'Retail Assumptions'!$L$5:$EO$5,0)),0)</f>
        <v>0</v>
      </c>
      <c r="BB114" s="24" cm="1">
        <f t="array" ref="BB114">IFERROR(INDEX('Retail Assumptions'!$L$49:$EO$49,,MATCH(BB4,'Retail Assumptions'!$L$5:$EO$5,0)),0)</f>
        <v>0</v>
      </c>
      <c r="BC114" s="24" cm="1">
        <f t="array" ref="BC114">IFERROR(INDEX('Retail Assumptions'!$L$49:$EO$49,,MATCH(BC4,'Retail Assumptions'!$L$5:$EO$5,0)),0)</f>
        <v>0</v>
      </c>
      <c r="BD114" s="24" cm="1">
        <f t="array" ref="BD114">IFERROR(INDEX('Retail Assumptions'!$L$49:$EO$49,,MATCH(BD4,'Retail Assumptions'!$L$5:$EO$5,0)),0)</f>
        <v>0</v>
      </c>
      <c r="BE114" s="24" cm="1">
        <f t="array" ref="BE114">IFERROR(INDEX('Retail Assumptions'!$L$49:$EO$49,,MATCH(BE4,'Retail Assumptions'!$L$5:$EO$5,0)),0)</f>
        <v>0</v>
      </c>
      <c r="BF114" s="24" cm="1">
        <f t="array" ref="BF114">IFERROR(INDEX('Retail Assumptions'!$L$49:$EO$49,,MATCH(BF4,'Retail Assumptions'!$L$5:$EO$5,0)),0)</f>
        <v>0</v>
      </c>
      <c r="BG114" s="24" cm="1">
        <f t="array" ref="BG114">IFERROR(INDEX('Retail Assumptions'!$L$49:$EO$49,,MATCH(BG4,'Retail Assumptions'!$L$5:$EO$5,0)),0)</f>
        <v>0</v>
      </c>
      <c r="BH114" s="24" cm="1">
        <f t="array" ref="BH114">IFERROR(INDEX('Retail Assumptions'!$L$49:$EO$49,,MATCH(BH4,'Retail Assumptions'!$L$5:$EO$5,0)),0)</f>
        <v>0</v>
      </c>
      <c r="BI114" s="24" cm="1">
        <f t="array" ref="BI114">IFERROR(INDEX('Retail Assumptions'!$L$49:$EO$49,,MATCH(BI4,'Retail Assumptions'!$L$5:$EO$5,0)),0)</f>
        <v>0</v>
      </c>
      <c r="BJ114" s="24" cm="1">
        <f t="array" ref="BJ114">IFERROR(INDEX('Retail Assumptions'!$L$49:$EO$49,,MATCH(BJ4,'Retail Assumptions'!$L$5:$EO$5,0)),0)</f>
        <v>0</v>
      </c>
      <c r="BK114" s="24" cm="1">
        <f t="array" ref="BK114">IFERROR(INDEX('Retail Assumptions'!$L$49:$EO$49,,MATCH(BK4,'Retail Assumptions'!$L$5:$EO$5,0)),0)</f>
        <v>0</v>
      </c>
      <c r="BL114" s="24" cm="1">
        <f t="array" ref="BL114">IFERROR(INDEX('Retail Assumptions'!$L$49:$EO$49,,MATCH(BL4,'Retail Assumptions'!$L$5:$EO$5,0)),0)</f>
        <v>0</v>
      </c>
      <c r="BM114" s="24" cm="1">
        <f t="array" ref="BM114">IFERROR(INDEX('Retail Assumptions'!$L$49:$EO$49,,MATCH(BM4,'Retail Assumptions'!$L$5:$EO$5,0)),0)</f>
        <v>0</v>
      </c>
      <c r="BN114" s="24" cm="1">
        <f t="array" ref="BN114">IFERROR(INDEX('Retail Assumptions'!$L$49:$EO$49,,MATCH(BN4,'Retail Assumptions'!$L$5:$EO$5,0)),0)</f>
        <v>0</v>
      </c>
      <c r="BO114" s="24" cm="1">
        <f t="array" ref="BO114">IFERROR(INDEX('Retail Assumptions'!$L$49:$EO$49,,MATCH(BO4,'Retail Assumptions'!$L$5:$EO$5,0)),0)</f>
        <v>0</v>
      </c>
      <c r="BP114" s="24" cm="1">
        <f t="array" ref="BP114">IFERROR(INDEX('Retail Assumptions'!$L$49:$EO$49,,MATCH(BP4,'Retail Assumptions'!$L$5:$EO$5,0)),0)</f>
        <v>0</v>
      </c>
      <c r="BQ114" s="24" cm="1">
        <f t="array" ref="BQ114">IFERROR(INDEX('Retail Assumptions'!$L$49:$EO$49,,MATCH(BQ4,'Retail Assumptions'!$L$5:$EO$5,0)),0)</f>
        <v>0</v>
      </c>
      <c r="BR114" s="24" cm="1">
        <f t="array" ref="BR114">IFERROR(INDEX('Retail Assumptions'!$L$49:$EO$49,,MATCH(BR4,'Retail Assumptions'!$L$5:$EO$5,0)),0)</f>
        <v>0</v>
      </c>
      <c r="BS114" s="24" cm="1">
        <f t="array" ref="BS114">IFERROR(INDEX('Retail Assumptions'!$L$49:$EO$49,,MATCH(BS4,'Retail Assumptions'!$L$5:$EO$5,0)),0)</f>
        <v>0</v>
      </c>
      <c r="BT114" s="24" cm="1">
        <f t="array" ref="BT114">IFERROR(INDEX('Retail Assumptions'!$L$49:$EO$49,,MATCH(BT4,'Retail Assumptions'!$L$5:$EO$5,0)),0)</f>
        <v>0</v>
      </c>
      <c r="BU114" s="24" cm="1">
        <f t="array" ref="BU114">IFERROR(INDEX('Retail Assumptions'!$L$49:$EO$49,,MATCH(BU4,'Retail Assumptions'!$L$5:$EO$5,0)),0)</f>
        <v>0</v>
      </c>
      <c r="BV114" s="24" cm="1">
        <f t="array" ref="BV114">IFERROR(INDEX('Retail Assumptions'!$L$49:$EO$49,,MATCH(BV4,'Retail Assumptions'!$L$5:$EO$5,0)),0)</f>
        <v>0</v>
      </c>
      <c r="BW114" s="24" cm="1">
        <f t="array" ref="BW114">IFERROR(INDEX('Retail Assumptions'!$L$49:$EO$49,,MATCH(BW4,'Retail Assumptions'!$L$5:$EO$5,0)),0)</f>
        <v>0</v>
      </c>
      <c r="BX114" s="24" cm="1">
        <f t="array" ref="BX114">IFERROR(INDEX('Retail Assumptions'!$L$49:$EO$49,,MATCH(BX4,'Retail Assumptions'!$L$5:$EO$5,0)),0)</f>
        <v>0</v>
      </c>
      <c r="BY114" s="24" cm="1">
        <f t="array" ref="BY114">IFERROR(INDEX('Retail Assumptions'!$L$49:$EO$49,,MATCH(BY4,'Retail Assumptions'!$L$5:$EO$5,0)),0)</f>
        <v>0</v>
      </c>
      <c r="BZ114" s="24" cm="1">
        <f t="array" ref="BZ114">IFERROR(INDEX('Retail Assumptions'!$L$49:$EO$49,,MATCH(BZ4,'Retail Assumptions'!$L$5:$EO$5,0)),0)</f>
        <v>0</v>
      </c>
      <c r="CA114" s="24" cm="1">
        <f t="array" ref="CA114">IFERROR(INDEX('Retail Assumptions'!$L$49:$EO$49,,MATCH(CA4,'Retail Assumptions'!$L$5:$EO$5,0)),0)</f>
        <v>0</v>
      </c>
      <c r="CB114" s="24" cm="1">
        <f t="array" ref="CB114">IFERROR(INDEX('Retail Assumptions'!$L$49:$EO$49,,MATCH(CB4,'Retail Assumptions'!$L$5:$EO$5,0)),0)</f>
        <v>0</v>
      </c>
      <c r="CC114" s="24" cm="1">
        <f t="array" ref="CC114">IFERROR(INDEX('Retail Assumptions'!$L$49:$EO$49,,MATCH(CC4,'Retail Assumptions'!$L$5:$EO$5,0)),0)</f>
        <v>0</v>
      </c>
      <c r="CD114" s="24" cm="1">
        <f t="array" ref="CD114">IFERROR(INDEX('Retail Assumptions'!$L$49:$EO$49,,MATCH(CD4,'Retail Assumptions'!$L$5:$EO$5,0)),0)</f>
        <v>0</v>
      </c>
      <c r="CE114" s="24" cm="1">
        <f t="array" ref="CE114">IFERROR(INDEX('Retail Assumptions'!$L$49:$EO$49,,MATCH(CE4,'Retail Assumptions'!$L$5:$EO$5,0)),0)</f>
        <v>0</v>
      </c>
      <c r="CF114" s="24" cm="1">
        <f t="array" ref="CF114">IFERROR(INDEX('Retail Assumptions'!$L$49:$EO$49,,MATCH(CF4,'Retail Assumptions'!$L$5:$EO$5,0)),0)</f>
        <v>0</v>
      </c>
      <c r="CG114" s="24" cm="1">
        <f t="array" ref="CG114">IFERROR(INDEX('Retail Assumptions'!$L$49:$EO$49,,MATCH(CG4,'Retail Assumptions'!$L$5:$EO$5,0)),0)</f>
        <v>0</v>
      </c>
      <c r="CH114" s="24" cm="1">
        <f t="array" ref="CH114">IFERROR(INDEX('Retail Assumptions'!$L$49:$EO$49,,MATCH(CH4,'Retail Assumptions'!$L$5:$EO$5,0)),0)</f>
        <v>0</v>
      </c>
      <c r="CI114" s="24" cm="1">
        <f t="array" ref="CI114">IFERROR(INDEX('Retail Assumptions'!$L$49:$EO$49,,MATCH(CI4,'Retail Assumptions'!$L$5:$EO$5,0)),0)</f>
        <v>0</v>
      </c>
      <c r="CJ114" s="24" cm="1">
        <f t="array" ref="CJ114">IFERROR(INDEX('Retail Assumptions'!$L$49:$EO$49,,MATCH(CJ4,'Retail Assumptions'!$L$5:$EO$5,0)),0)</f>
        <v>0</v>
      </c>
      <c r="CK114" s="24" cm="1">
        <f t="array" ref="CK114">IFERROR(INDEX('Retail Assumptions'!$L$49:$EO$49,,MATCH(CK4,'Retail Assumptions'!$L$5:$EO$5,0)),0)</f>
        <v>0</v>
      </c>
      <c r="CL114" s="24" cm="1">
        <f t="array" ref="CL114">IFERROR(INDEX('Retail Assumptions'!$L$49:$EO$49,,MATCH(CL4,'Retail Assumptions'!$L$5:$EO$5,0)),0)</f>
        <v>0</v>
      </c>
      <c r="CM114" s="24" cm="1">
        <f t="array" ref="CM114">IFERROR(INDEX('Retail Assumptions'!$L$49:$EO$49,,MATCH(CM4,'Retail Assumptions'!$L$5:$EO$5,0)),0)</f>
        <v>0</v>
      </c>
      <c r="CN114" s="24" cm="1">
        <f t="array" ref="CN114">IFERROR(INDEX('Retail Assumptions'!$L$49:$EO$49,,MATCH(CN4,'Retail Assumptions'!$L$5:$EO$5,0)),0)</f>
        <v>0</v>
      </c>
      <c r="CO114" s="24" cm="1">
        <f t="array" ref="CO114">IFERROR(INDEX('Retail Assumptions'!$L$49:$EO$49,,MATCH(CO4,'Retail Assumptions'!$L$5:$EO$5,0)),0)</f>
        <v>0</v>
      </c>
      <c r="CP114" s="24" cm="1">
        <f t="array" ref="CP114">IFERROR(INDEX('Retail Assumptions'!$L$49:$EO$49,,MATCH(CP4,'Retail Assumptions'!$L$5:$EO$5,0)),0)</f>
        <v>0</v>
      </c>
      <c r="CQ114" s="24" cm="1">
        <f t="array" ref="CQ114">IFERROR(INDEX('Retail Assumptions'!$L$49:$EO$49,,MATCH(CQ4,'Retail Assumptions'!$L$5:$EO$5,0)),0)</f>
        <v>0</v>
      </c>
      <c r="CR114" s="24" cm="1">
        <f t="array" ref="CR114">IFERROR(INDEX('Retail Assumptions'!$L$49:$EO$49,,MATCH(CR4,'Retail Assumptions'!$L$5:$EO$5,0)),0)</f>
        <v>0</v>
      </c>
      <c r="CS114" s="24" cm="1">
        <f t="array" ref="CS114">IFERROR(INDEX('Retail Assumptions'!$L$49:$EO$49,,MATCH(CS4,'Retail Assumptions'!$L$5:$EO$5,0)),0)</f>
        <v>0</v>
      </c>
      <c r="CT114" s="24" cm="1">
        <f t="array" ref="CT114">IFERROR(INDEX('Retail Assumptions'!$L$49:$EO$49,,MATCH(CT4,'Retail Assumptions'!$L$5:$EO$5,0)),0)</f>
        <v>0</v>
      </c>
      <c r="CU114" s="24" cm="1">
        <f t="array" ref="CU114">IFERROR(INDEX('Retail Assumptions'!$L$49:$EO$49,,MATCH(CU4,'Retail Assumptions'!$L$5:$EO$5,0)),0)</f>
        <v>0</v>
      </c>
      <c r="CV114" s="24" cm="1">
        <f t="array" ref="CV114">IFERROR(INDEX('Retail Assumptions'!$L$49:$EO$49,,MATCH(CV4,'Retail Assumptions'!$L$5:$EO$5,0)),0)</f>
        <v>0</v>
      </c>
      <c r="CW114" s="24" cm="1">
        <f t="array" ref="CW114">IFERROR(INDEX('Retail Assumptions'!$L$49:$EO$49,,MATCH(CW4,'Retail Assumptions'!$L$5:$EO$5,0)),0)</f>
        <v>0</v>
      </c>
      <c r="CX114" s="24" cm="1">
        <f t="array" ref="CX114">IFERROR(INDEX('Retail Assumptions'!$L$49:$EO$49,,MATCH(CX4,'Retail Assumptions'!$L$5:$EO$5,0)),0)</f>
        <v>0</v>
      </c>
      <c r="CY114" s="24" cm="1">
        <f t="array" ref="CY114">IFERROR(INDEX('Retail Assumptions'!$L$49:$EO$49,,MATCH(CY4,'Retail Assumptions'!$L$5:$EO$5,0)),0)</f>
        <v>0</v>
      </c>
      <c r="CZ114" s="24" cm="1">
        <f t="array" ref="CZ114">IFERROR(INDEX('Retail Assumptions'!$L$49:$EO$49,,MATCH(CZ4,'Retail Assumptions'!$L$5:$EO$5,0)),0)</f>
        <v>0</v>
      </c>
      <c r="DA114" s="24" cm="1">
        <f t="array" ref="DA114">IFERROR(INDEX('Retail Assumptions'!$L$49:$EO$49,,MATCH(DA4,'Retail Assumptions'!$L$5:$EO$5,0)),0)</f>
        <v>0</v>
      </c>
      <c r="DB114" s="24" cm="1">
        <f t="array" ref="DB114">IFERROR(INDEX('Retail Assumptions'!$L$49:$EO$49,,MATCH(DB4,'Retail Assumptions'!$L$5:$EO$5,0)),0)</f>
        <v>0</v>
      </c>
      <c r="DC114" s="24" cm="1">
        <f t="array" ref="DC114">IFERROR(INDEX('Retail Assumptions'!$L$49:$EO$49,,MATCH(DC4,'Retail Assumptions'!$L$5:$EO$5,0)),0)</f>
        <v>0</v>
      </c>
      <c r="DD114" s="24" cm="1">
        <f t="array" ref="DD114">IFERROR(INDEX('Retail Assumptions'!$L$49:$EO$49,,MATCH(DD4,'Retail Assumptions'!$L$5:$EO$5,0)),0)</f>
        <v>0</v>
      </c>
      <c r="DE114" s="24" cm="1">
        <f t="array" ref="DE114">IFERROR(INDEX('Retail Assumptions'!$L$49:$EO$49,,MATCH(DE4,'Retail Assumptions'!$L$5:$EO$5,0)),0)</f>
        <v>0</v>
      </c>
      <c r="DF114" s="24" cm="1">
        <f t="array" ref="DF114">IFERROR(INDEX('Retail Assumptions'!$L$49:$EO$49,,MATCH(DF4,'Retail Assumptions'!$L$5:$EO$5,0)),0)</f>
        <v>0</v>
      </c>
      <c r="DG114" s="24" cm="1">
        <f t="array" ref="DG114">IFERROR(INDEX('Retail Assumptions'!$L$49:$EO$49,,MATCH(DG4,'Retail Assumptions'!$L$5:$EO$5,0)),0)</f>
        <v>0</v>
      </c>
      <c r="DH114" s="24" cm="1">
        <f t="array" ref="DH114">IFERROR(INDEX('Retail Assumptions'!$L$49:$EO$49,,MATCH(DH4,'Retail Assumptions'!$L$5:$EO$5,0)),0)</f>
        <v>0</v>
      </c>
      <c r="DI114" s="24" cm="1">
        <f t="array" ref="DI114">IFERROR(INDEX('Retail Assumptions'!$L$49:$EO$49,,MATCH(DI4,'Retail Assumptions'!$L$5:$EO$5,0)),0)</f>
        <v>0</v>
      </c>
      <c r="DJ114" s="24" cm="1">
        <f t="array" ref="DJ114">IFERROR(INDEX('Retail Assumptions'!$L$49:$EO$49,,MATCH(DJ4,'Retail Assumptions'!$L$5:$EO$5,0)),0)</f>
        <v>0</v>
      </c>
      <c r="DK114" s="24" cm="1">
        <f t="array" ref="DK114">IFERROR(INDEX('Retail Assumptions'!$L$49:$EO$49,,MATCH(DK4,'Retail Assumptions'!$L$5:$EO$5,0)),0)</f>
        <v>0</v>
      </c>
      <c r="DL114" s="24" cm="1">
        <f t="array" ref="DL114">IFERROR(INDEX('Retail Assumptions'!$L$49:$EO$49,,MATCH(DL4,'Retail Assumptions'!$L$5:$EO$5,0)),0)</f>
        <v>0</v>
      </c>
      <c r="DM114" s="24" cm="1">
        <f t="array" ref="DM114">IFERROR(INDEX('Retail Assumptions'!$L$49:$EO$49,,MATCH(DM4,'Retail Assumptions'!$L$5:$EO$5,0)),0)</f>
        <v>0</v>
      </c>
      <c r="DN114" s="24" cm="1">
        <f t="array" ref="DN114">IFERROR(INDEX('Retail Assumptions'!$L$49:$EO$49,,MATCH(DN4,'Retail Assumptions'!$L$5:$EO$5,0)),0)</f>
        <v>0</v>
      </c>
      <c r="DO114" s="24" cm="1">
        <f t="array" ref="DO114">IFERROR(INDEX('Retail Assumptions'!$L$49:$EO$49,,MATCH(DO4,'Retail Assumptions'!$L$5:$EO$5,0)),0)</f>
        <v>0</v>
      </c>
      <c r="DP114" s="24" cm="1">
        <f t="array" ref="DP114">IFERROR(INDEX('Retail Assumptions'!$L$49:$EO$49,,MATCH(DP4,'Retail Assumptions'!$L$5:$EO$5,0)),0)</f>
        <v>0</v>
      </c>
      <c r="DQ114" s="24" cm="1">
        <f t="array" ref="DQ114">IFERROR(INDEX('Retail Assumptions'!$L$49:$EO$49,,MATCH(DQ4,'Retail Assumptions'!$L$5:$EO$5,0)),0)</f>
        <v>0</v>
      </c>
      <c r="DR114" s="24" cm="1">
        <f t="array" ref="DR114">IFERROR(INDEX('Retail Assumptions'!$L$49:$EO$49,,MATCH(DR4,'Retail Assumptions'!$L$5:$EO$5,0)),0)</f>
        <v>0</v>
      </c>
      <c r="DS114" s="24" cm="1">
        <f t="array" ref="DS114">IFERROR(INDEX('Retail Assumptions'!$L$49:$EO$49,,MATCH(DS4,'Retail Assumptions'!$L$5:$EO$5,0)),0)</f>
        <v>0</v>
      </c>
      <c r="DT114" s="24" cm="1">
        <f t="array" ref="DT114">IFERROR(INDEX('Retail Assumptions'!$L$49:$EO$49,,MATCH(DT4,'Retail Assumptions'!$L$5:$EO$5,0)),0)</f>
        <v>0</v>
      </c>
      <c r="DU114" s="24" cm="1">
        <f t="array" ref="DU114">IFERROR(INDEX('Retail Assumptions'!$L$49:$EO$49,,MATCH(DU4,'Retail Assumptions'!$L$5:$EO$5,0)),0)</f>
        <v>0</v>
      </c>
      <c r="DV114" s="24" cm="1">
        <f t="array" ref="DV114">IFERROR(INDEX('Retail Assumptions'!$L$49:$EO$49,,MATCH(DV4,'Retail Assumptions'!$L$5:$EO$5,0)),0)</f>
        <v>0</v>
      </c>
      <c r="DW114" s="24" cm="1">
        <f t="array" ref="DW114">IFERROR(INDEX('Retail Assumptions'!$L$49:$EO$49,,MATCH(DW4,'Retail Assumptions'!$L$5:$EO$5,0)),0)</f>
        <v>0</v>
      </c>
      <c r="DX114" s="24" cm="1">
        <f t="array" ref="DX114">IFERROR(INDEX('Retail Assumptions'!$L$49:$EO$49,,MATCH(DX4,'Retail Assumptions'!$L$5:$EO$5,0)),0)</f>
        <v>0</v>
      </c>
      <c r="DY114" s="24" cm="1">
        <f t="array" ref="DY114">IFERROR(INDEX('Retail Assumptions'!$L$49:$EO$49,,MATCH(DY4,'Retail Assumptions'!$L$5:$EO$5,0)),0)</f>
        <v>0</v>
      </c>
      <c r="DZ114" s="24" cm="1">
        <f t="array" ref="DZ114">IFERROR(INDEX('Retail Assumptions'!$L$49:$EO$49,,MATCH(DZ4,'Retail Assumptions'!$L$5:$EO$5,0)),0)</f>
        <v>0</v>
      </c>
      <c r="EA114" s="24" cm="1">
        <f t="array" ref="EA114">IFERROR(INDEX('Retail Assumptions'!$L$49:$EO$49,,MATCH(EA4,'Retail Assumptions'!$L$5:$EO$5,0)),0)</f>
        <v>0</v>
      </c>
      <c r="EB114" s="24" cm="1">
        <f t="array" ref="EB114">IFERROR(INDEX('Retail Assumptions'!$L$49:$EO$49,,MATCH(EB4,'Retail Assumptions'!$L$5:$EO$5,0)),0)</f>
        <v>0</v>
      </c>
      <c r="EC114" s="24" cm="1">
        <f t="array" ref="EC114">IFERROR(INDEX('Retail Assumptions'!$L$49:$EO$49,,MATCH(EC4,'Retail Assumptions'!$L$5:$EO$5,0)),0)</f>
        <v>0</v>
      </c>
      <c r="ED114" s="24" cm="1">
        <f t="array" ref="ED114">IFERROR(INDEX('Retail Assumptions'!$L$49:$EO$49,,MATCH(ED4,'Retail Assumptions'!$L$5:$EO$5,0)),0)</f>
        <v>0</v>
      </c>
      <c r="EE114" s="24" cm="1">
        <f t="array" ref="EE114">IFERROR(INDEX('Retail Assumptions'!$L$49:$EO$49,,MATCH(EE4,'Retail Assumptions'!$L$5:$EO$5,0)),0)</f>
        <v>0</v>
      </c>
      <c r="EF114" s="24" cm="1">
        <f t="array" ref="EF114">IFERROR(INDEX('Retail Assumptions'!$L$49:$EO$49,,MATCH(EF4,'Retail Assumptions'!$L$5:$EO$5,0)),0)</f>
        <v>0</v>
      </c>
      <c r="EG114" s="24" cm="1">
        <f t="array" ref="EG114">IFERROR(INDEX('Retail Assumptions'!$L$49:$EO$49,,MATCH(EG4,'Retail Assumptions'!$L$5:$EO$5,0)),0)</f>
        <v>0</v>
      </c>
      <c r="EH114" s="24" cm="1">
        <f t="array" ref="EH114">IFERROR(INDEX('Retail Assumptions'!$L$49:$EO$49,,MATCH(EH4,'Retail Assumptions'!$L$5:$EO$5,0)),0)</f>
        <v>0</v>
      </c>
      <c r="EI114" s="24" cm="1">
        <f t="array" ref="EI114">IFERROR(INDEX('Retail Assumptions'!$L$49:$EO$49,,MATCH(EI4,'Retail Assumptions'!$L$5:$EO$5,0)),0)</f>
        <v>0</v>
      </c>
      <c r="EJ114" s="24"/>
      <c r="EK114" s="24"/>
      <c r="EL114" s="24"/>
      <c r="EM114" s="1" t="s">
        <v>191</v>
      </c>
    </row>
    <row r="115" spans="4:143" x14ac:dyDescent="0.45">
      <c r="D115" s="3" t="s">
        <v>226</v>
      </c>
      <c r="E115" s="25"/>
      <c r="F115" s="25"/>
      <c r="G115" s="25">
        <f>SUM(G113:G114)</f>
        <v>0</v>
      </c>
      <c r="H115" s="25">
        <f t="shared" ref="H115:BS115" si="800">SUM(H113:H114)</f>
        <v>135936.78800000006</v>
      </c>
      <c r="I115" s="25">
        <f t="shared" si="800"/>
        <v>130975.48486979173</v>
      </c>
      <c r="J115" s="25">
        <f t="shared" si="800"/>
        <v>125993.34458069797</v>
      </c>
      <c r="K115" s="25">
        <f t="shared" si="800"/>
        <v>120990.30246483885</v>
      </c>
      <c r="L115" s="25">
        <f t="shared" si="800"/>
        <v>123844.60663855475</v>
      </c>
      <c r="M115" s="25">
        <f t="shared" si="800"/>
        <v>128278.37047821633</v>
      </c>
      <c r="N115" s="25">
        <f t="shared" si="800"/>
        <v>131158.06279324053</v>
      </c>
      <c r="O115" s="25">
        <f t="shared" si="800"/>
        <v>134049.19937347985</v>
      </c>
      <c r="P115" s="25">
        <f t="shared" si="800"/>
        <v>136951.81540855972</v>
      </c>
      <c r="Q115" s="25">
        <f t="shared" si="800"/>
        <v>139865.9461850643</v>
      </c>
      <c r="R115" s="25">
        <f t="shared" si="800"/>
        <v>142791.62708678743</v>
      </c>
      <c r="S115" s="25">
        <f t="shared" si="800"/>
        <v>145728.89359498475</v>
      </c>
      <c r="T115" s="25">
        <f t="shared" si="800"/>
        <v>148677.7812886262</v>
      </c>
      <c r="U115" s="25">
        <f t="shared" si="800"/>
        <v>151638.32584464911</v>
      </c>
      <c r="V115" s="25">
        <f t="shared" si="800"/>
        <v>154610.56303821199</v>
      </c>
      <c r="W115" s="25">
        <f t="shared" si="800"/>
        <v>157594.52874294901</v>
      </c>
      <c r="X115" s="25">
        <f t="shared" si="800"/>
        <v>160590.25893122505</v>
      </c>
      <c r="Y115" s="25">
        <f t="shared" si="800"/>
        <v>163597.78967439124</v>
      </c>
      <c r="Z115" s="25">
        <f t="shared" si="800"/>
        <v>166617.15714304143</v>
      </c>
      <c r="AA115" s="25">
        <f t="shared" si="800"/>
        <v>169648.39760726929</v>
      </c>
      <c r="AB115" s="25">
        <f t="shared" si="800"/>
        <v>172691.54743692552</v>
      </c>
      <c r="AC115" s="25">
        <f t="shared" si="800"/>
        <v>175746.64310187637</v>
      </c>
      <c r="AD115" s="25">
        <f t="shared" si="800"/>
        <v>178813.72117226251</v>
      </c>
      <c r="AE115" s="25">
        <f t="shared" si="800"/>
        <v>181892.8183187586</v>
      </c>
      <c r="AF115" s="25">
        <f t="shared" si="800"/>
        <v>184983.97131283322</v>
      </c>
      <c r="AG115" s="25">
        <f t="shared" si="800"/>
        <v>188087.21702700999</v>
      </c>
      <c r="AH115" s="25">
        <f t="shared" si="800"/>
        <v>191202.5924351289</v>
      </c>
      <c r="AI115" s="25">
        <f t="shared" si="800"/>
        <v>199925.41292247648</v>
      </c>
      <c r="AJ115" s="25">
        <f t="shared" si="800"/>
        <v>208683.25072404247</v>
      </c>
      <c r="AK115" s="25">
        <f t="shared" si="800"/>
        <v>217476.21316023503</v>
      </c>
      <c r="AL115" s="25">
        <f t="shared" si="800"/>
        <v>217922.76311058761</v>
      </c>
      <c r="AM115" s="25">
        <f t="shared" si="800"/>
        <v>218370.23249751391</v>
      </c>
      <c r="AN115" s="25">
        <f t="shared" si="800"/>
        <v>218818.62321838035</v>
      </c>
      <c r="AO115" s="25">
        <f t="shared" si="800"/>
        <v>219267.93717447607</v>
      </c>
      <c r="AP115" s="25">
        <f t="shared" si="800"/>
        <v>219718.17627102096</v>
      </c>
      <c r="AQ115" s="25">
        <f t="shared" si="800"/>
        <v>220169.3424171739</v>
      </c>
      <c r="AR115" s="25">
        <f t="shared" si="800"/>
        <v>220621.43752604059</v>
      </c>
      <c r="AS115" s="25">
        <f t="shared" si="800"/>
        <v>221074.46351468217</v>
      </c>
      <c r="AT115" s="25">
        <f t="shared" si="800"/>
        <v>221528.42230412306</v>
      </c>
      <c r="AU115" s="25">
        <f t="shared" si="800"/>
        <v>221983.31581935936</v>
      </c>
      <c r="AV115" s="25">
        <f t="shared" si="800"/>
        <v>222439.14598936698</v>
      </c>
      <c r="AW115" s="25">
        <f t="shared" si="800"/>
        <v>222895.91474711002</v>
      </c>
      <c r="AX115" s="25">
        <f t="shared" si="800"/>
        <v>223353.62402954878</v>
      </c>
      <c r="AY115" s="25">
        <f t="shared" si="800"/>
        <v>223812.27577764829</v>
      </c>
      <c r="AZ115" s="25">
        <f t="shared" si="800"/>
        <v>224271.87193638642</v>
      </c>
      <c r="BA115" s="25">
        <f t="shared" si="800"/>
        <v>224732.41445476218</v>
      </c>
      <c r="BB115" s="25">
        <f t="shared" si="800"/>
        <v>225193.90528580436</v>
      </c>
      <c r="BC115" s="25">
        <f t="shared" si="800"/>
        <v>225656.34638657942</v>
      </c>
      <c r="BD115" s="25">
        <f t="shared" si="800"/>
        <v>226119.73971820017</v>
      </c>
      <c r="BE115" s="25">
        <f t="shared" si="800"/>
        <v>226584.08724583391</v>
      </c>
      <c r="BF115" s="25">
        <f t="shared" si="800"/>
        <v>227049.39093871115</v>
      </c>
      <c r="BG115" s="25">
        <f t="shared" si="800"/>
        <v>227515.65277013378</v>
      </c>
      <c r="BH115" s="25">
        <f t="shared" si="800"/>
        <v>227982.8747174835</v>
      </c>
      <c r="BI115" s="25">
        <f t="shared" si="800"/>
        <v>228451.0587622303</v>
      </c>
      <c r="BJ115" s="25">
        <f t="shared" si="800"/>
        <v>228920.20688994101</v>
      </c>
      <c r="BK115" s="25">
        <f t="shared" si="800"/>
        <v>229390.32109028776</v>
      </c>
      <c r="BL115" s="25">
        <f t="shared" si="800"/>
        <v>229861.40335705626</v>
      </c>
      <c r="BM115" s="25">
        <f t="shared" si="800"/>
        <v>230333.45568815476</v>
      </c>
      <c r="BN115" s="25">
        <f t="shared" si="800"/>
        <v>230806.48008562211</v>
      </c>
      <c r="BO115" s="25">
        <f t="shared" si="800"/>
        <v>231280.47855563654</v>
      </c>
      <c r="BP115" s="25">
        <f t="shared" si="800"/>
        <v>231755.45310852438</v>
      </c>
      <c r="BQ115" s="25">
        <f t="shared" si="800"/>
        <v>232231.40575876838</v>
      </c>
      <c r="BR115" s="25">
        <f t="shared" si="800"/>
        <v>232708.3385250163</v>
      </c>
      <c r="BS115" s="25">
        <f t="shared" si="800"/>
        <v>233186.25343008991</v>
      </c>
      <c r="BT115" s="25">
        <f t="shared" ref="BT115:CV115" si="801">SUM(BT113:BT114)</f>
        <v>233665.15250099325</v>
      </c>
      <c r="BU115" s="25">
        <f t="shared" si="801"/>
        <v>234145.03776892138</v>
      </c>
      <c r="BV115" s="25">
        <f t="shared" si="801"/>
        <v>234625.91126926913</v>
      </c>
      <c r="BW115" s="25">
        <f t="shared" si="801"/>
        <v>235107.77504163992</v>
      </c>
      <c r="BX115" s="25">
        <f t="shared" si="801"/>
        <v>235590.63112985401</v>
      </c>
      <c r="BY115" s="25">
        <f t="shared" si="801"/>
        <v>236074.48158195775</v>
      </c>
      <c r="BZ115" s="25">
        <f t="shared" si="801"/>
        <v>236559.32845023222</v>
      </c>
      <c r="CA115" s="25">
        <f t="shared" si="801"/>
        <v>237045.17379120164</v>
      </c>
      <c r="CB115" s="25">
        <f t="shared" si="801"/>
        <v>237532.01966564255</v>
      </c>
      <c r="CC115" s="25">
        <f t="shared" si="801"/>
        <v>238019.86813859249</v>
      </c>
      <c r="CD115" s="25">
        <f t="shared" si="801"/>
        <v>238508.72127935887</v>
      </c>
      <c r="CE115" s="25">
        <f t="shared" si="801"/>
        <v>238998.5811615276</v>
      </c>
      <c r="CF115" s="25">
        <f t="shared" si="801"/>
        <v>239489.44986297225</v>
      </c>
      <c r="CG115" s="25">
        <f t="shared" si="801"/>
        <v>239981.32946586277</v>
      </c>
      <c r="CH115" s="25">
        <f t="shared" si="801"/>
        <v>240474.22205667428</v>
      </c>
      <c r="CI115" s="25">
        <f t="shared" si="801"/>
        <v>240968.12972619626</v>
      </c>
      <c r="CJ115" s="25">
        <f t="shared" si="801"/>
        <v>241463.05456954124</v>
      </c>
      <c r="CK115" s="25">
        <f t="shared" si="801"/>
        <v>241958.99868615391</v>
      </c>
      <c r="CL115" s="25">
        <f t="shared" si="801"/>
        <v>242455.96417981992</v>
      </c>
      <c r="CM115" s="25">
        <f t="shared" si="801"/>
        <v>242953.95315867508</v>
      </c>
      <c r="CN115" s="25">
        <f t="shared" si="801"/>
        <v>243452.96773521422</v>
      </c>
      <c r="CO115" s="25">
        <f t="shared" si="801"/>
        <v>243953.01002630024</v>
      </c>
      <c r="CP115" s="25">
        <f t="shared" si="801"/>
        <v>244454.08215317322</v>
      </c>
      <c r="CQ115" s="25">
        <f t="shared" si="801"/>
        <v>244956.18624145939</v>
      </c>
      <c r="CR115" s="25">
        <f t="shared" si="801"/>
        <v>245459.32442118024</v>
      </c>
      <c r="CS115" s="25">
        <f t="shared" si="801"/>
        <v>245963.4988267617</v>
      </c>
      <c r="CT115" s="25">
        <f t="shared" si="801"/>
        <v>246468.71159704321</v>
      </c>
      <c r="CU115" s="25">
        <f t="shared" si="801"/>
        <v>246974.96487528677</v>
      </c>
      <c r="CV115" s="25">
        <f t="shared" si="801"/>
        <v>247482.26080918629</v>
      </c>
      <c r="CW115" s="25">
        <f t="shared" ref="CW115:EI115" si="802">SUM(CW113:CW114)</f>
        <v>247990.60155087651</v>
      </c>
      <c r="CX115" s="25">
        <f t="shared" si="802"/>
        <v>248499.9892569425</v>
      </c>
      <c r="CY115" s="25">
        <f t="shared" si="802"/>
        <v>249010.42608842865</v>
      </c>
      <c r="CZ115" s="25">
        <f t="shared" si="802"/>
        <v>249521.9142108479</v>
      </c>
      <c r="DA115" s="25">
        <f t="shared" si="802"/>
        <v>250034.45579419125</v>
      </c>
      <c r="DB115" s="25">
        <f t="shared" si="802"/>
        <v>250548.05301293661</v>
      </c>
      <c r="DC115" s="25">
        <f t="shared" si="802"/>
        <v>251062.70804605863</v>
      </c>
      <c r="DD115" s="25">
        <f t="shared" si="802"/>
        <v>251578.42307703741</v>
      </c>
      <c r="DE115" s="25">
        <f t="shared" si="802"/>
        <v>252095.20029386829</v>
      </c>
      <c r="DF115" s="25">
        <f t="shared" si="802"/>
        <v>252613.04188907109</v>
      </c>
      <c r="DG115" s="25">
        <f t="shared" si="802"/>
        <v>253131.9500596993</v>
      </c>
      <c r="DH115" s="25">
        <f t="shared" si="802"/>
        <v>253651.92700734967</v>
      </c>
      <c r="DI115" s="25">
        <f t="shared" si="802"/>
        <v>254172.97493817162</v>
      </c>
      <c r="DJ115" s="25">
        <f t="shared" si="802"/>
        <v>254695.09606287649</v>
      </c>
      <c r="DK115" s="25">
        <f t="shared" si="802"/>
        <v>255218.29259674711</v>
      </c>
      <c r="DL115" s="25">
        <f t="shared" si="802"/>
        <v>255742.56675964731</v>
      </c>
      <c r="DM115" s="25">
        <f t="shared" si="802"/>
        <v>256267.92077603133</v>
      </c>
      <c r="DN115" s="25">
        <f t="shared" si="802"/>
        <v>256794.35687495326</v>
      </c>
      <c r="DO115" s="25">
        <f t="shared" si="802"/>
        <v>257321.87729007687</v>
      </c>
      <c r="DP115" s="25">
        <f t="shared" si="802"/>
        <v>257850.48425968469</v>
      </c>
      <c r="DQ115" s="25">
        <f t="shared" si="802"/>
        <v>258380.18002668794</v>
      </c>
      <c r="DR115" s="25">
        <f t="shared" si="802"/>
        <v>258910.96683863591</v>
      </c>
      <c r="DS115" s="25">
        <f t="shared" si="802"/>
        <v>259442.84694772589</v>
      </c>
      <c r="DT115" s="25">
        <f t="shared" si="802"/>
        <v>259975.82261081235</v>
      </c>
      <c r="DU115" s="25">
        <f t="shared" si="802"/>
        <v>260509.89608941678</v>
      </c>
      <c r="DV115" s="25">
        <f t="shared" si="802"/>
        <v>261045.06964973747</v>
      </c>
      <c r="DW115" s="25">
        <f t="shared" si="802"/>
        <v>261581.34556265909</v>
      </c>
      <c r="DX115" s="25">
        <f t="shared" si="802"/>
        <v>262118.72610376225</v>
      </c>
      <c r="DY115" s="25">
        <f t="shared" si="802"/>
        <v>262657.2135533336</v>
      </c>
      <c r="DZ115" s="25">
        <f t="shared" si="802"/>
        <v>263196.8101963753</v>
      </c>
      <c r="EA115" s="25">
        <f t="shared" si="802"/>
        <v>263737.51832261455</v>
      </c>
      <c r="EB115" s="25">
        <f t="shared" si="802"/>
        <v>264279.34022651409</v>
      </c>
      <c r="EC115" s="25">
        <f t="shared" si="802"/>
        <v>264822.27820728126</v>
      </c>
      <c r="ED115" s="25">
        <f t="shared" si="802"/>
        <v>265366.33456887829</v>
      </c>
      <c r="EE115" s="25">
        <f t="shared" si="802"/>
        <v>265911.51162003196</v>
      </c>
      <c r="EF115" s="25">
        <f t="shared" si="802"/>
        <v>266457.81167424354</v>
      </c>
      <c r="EG115" s="25">
        <f t="shared" si="802"/>
        <v>267005.23704979871</v>
      </c>
      <c r="EH115" s="25">
        <f t="shared" si="802"/>
        <v>267553.79006977717</v>
      </c>
      <c r="EI115" s="25">
        <f t="shared" si="802"/>
        <v>268103.47306206304</v>
      </c>
      <c r="EJ115" s="24"/>
      <c r="EK115" s="24"/>
      <c r="EL115" s="24"/>
      <c r="EM115" s="1" t="s">
        <v>191</v>
      </c>
    </row>
    <row r="116" spans="4:143" s="8" customFormat="1" x14ac:dyDescent="0.45">
      <c r="D116" s="8" t="s">
        <v>223</v>
      </c>
      <c r="E116" s="196">
        <v>0.02</v>
      </c>
      <c r="F116" s="41"/>
      <c r="G116" s="41">
        <f>+$E$116*G115</f>
        <v>0</v>
      </c>
      <c r="H116" s="41">
        <f t="shared" ref="H116:BS116" si="803">+$E$116*H115</f>
        <v>2718.7357600000014</v>
      </c>
      <c r="I116" s="41">
        <f t="shared" si="803"/>
        <v>2619.5096973958348</v>
      </c>
      <c r="J116" s="41">
        <f t="shared" si="803"/>
        <v>2519.8668916139595</v>
      </c>
      <c r="K116" s="41">
        <f t="shared" si="803"/>
        <v>2419.806049296777</v>
      </c>
      <c r="L116" s="41">
        <f t="shared" si="803"/>
        <v>2476.892132771095</v>
      </c>
      <c r="M116" s="41">
        <f t="shared" si="803"/>
        <v>2565.5674095643267</v>
      </c>
      <c r="N116" s="41">
        <f t="shared" si="803"/>
        <v>2623.1612558648108</v>
      </c>
      <c r="O116" s="41">
        <f t="shared" si="803"/>
        <v>2680.9839874695967</v>
      </c>
      <c r="P116" s="41">
        <f t="shared" si="803"/>
        <v>2739.0363081711944</v>
      </c>
      <c r="Q116" s="41">
        <f t="shared" si="803"/>
        <v>2797.3189237012862</v>
      </c>
      <c r="R116" s="41">
        <f t="shared" si="803"/>
        <v>2855.8325417357487</v>
      </c>
      <c r="S116" s="41">
        <f t="shared" si="803"/>
        <v>2914.5778718996949</v>
      </c>
      <c r="T116" s="41">
        <f t="shared" si="803"/>
        <v>2973.5556257725239</v>
      </c>
      <c r="U116" s="41">
        <f t="shared" si="803"/>
        <v>3032.7665168929821</v>
      </c>
      <c r="V116" s="41">
        <f t="shared" si="803"/>
        <v>3092.2112607642398</v>
      </c>
      <c r="W116" s="41">
        <f t="shared" si="803"/>
        <v>3151.8905748589805</v>
      </c>
      <c r="X116" s="41">
        <f t="shared" si="803"/>
        <v>3211.805178624501</v>
      </c>
      <c r="Y116" s="41">
        <f t="shared" si="803"/>
        <v>3271.9557934878248</v>
      </c>
      <c r="Z116" s="41">
        <f t="shared" si="803"/>
        <v>3332.3431428608287</v>
      </c>
      <c r="AA116" s="41">
        <f t="shared" si="803"/>
        <v>3392.9679521453859</v>
      </c>
      <c r="AB116" s="41">
        <f t="shared" si="803"/>
        <v>3453.8309487385104</v>
      </c>
      <c r="AC116" s="41">
        <f t="shared" si="803"/>
        <v>3514.9328620375272</v>
      </c>
      <c r="AD116" s="41">
        <f t="shared" si="803"/>
        <v>3576.2744234452502</v>
      </c>
      <c r="AE116" s="41">
        <f t="shared" si="803"/>
        <v>3637.856366375172</v>
      </c>
      <c r="AF116" s="41">
        <f t="shared" si="803"/>
        <v>3699.6794262566646</v>
      </c>
      <c r="AG116" s="41">
        <f t="shared" si="803"/>
        <v>3761.7443405402</v>
      </c>
      <c r="AH116" s="41">
        <f t="shared" si="803"/>
        <v>3824.0518487025779</v>
      </c>
      <c r="AI116" s="41">
        <f t="shared" si="803"/>
        <v>3998.5082584495294</v>
      </c>
      <c r="AJ116" s="41">
        <f t="shared" si="803"/>
        <v>4173.66501448085</v>
      </c>
      <c r="AK116" s="41">
        <f t="shared" si="803"/>
        <v>4349.5242632047002</v>
      </c>
      <c r="AL116" s="41">
        <f t="shared" si="803"/>
        <v>4358.4552622117526</v>
      </c>
      <c r="AM116" s="41">
        <f t="shared" si="803"/>
        <v>4367.4046499502783</v>
      </c>
      <c r="AN116" s="41">
        <f t="shared" si="803"/>
        <v>4376.3724643676069</v>
      </c>
      <c r="AO116" s="41">
        <f t="shared" si="803"/>
        <v>4385.3587434895217</v>
      </c>
      <c r="AP116" s="41">
        <f t="shared" si="803"/>
        <v>4394.3635254204191</v>
      </c>
      <c r="AQ116" s="41">
        <f t="shared" si="803"/>
        <v>4403.3868483434781</v>
      </c>
      <c r="AR116" s="41">
        <f t="shared" si="803"/>
        <v>4412.4287505208122</v>
      </c>
      <c r="AS116" s="41">
        <f t="shared" si="803"/>
        <v>4421.4892702936431</v>
      </c>
      <c r="AT116" s="41">
        <f t="shared" si="803"/>
        <v>4430.5684460824614</v>
      </c>
      <c r="AU116" s="41">
        <f t="shared" si="803"/>
        <v>4439.6663163871872</v>
      </c>
      <c r="AV116" s="41">
        <f t="shared" si="803"/>
        <v>4448.7829197873398</v>
      </c>
      <c r="AW116" s="41">
        <f t="shared" si="803"/>
        <v>4457.9182949422002</v>
      </c>
      <c r="AX116" s="41">
        <f t="shared" si="803"/>
        <v>4467.0724805909758</v>
      </c>
      <c r="AY116" s="41">
        <f t="shared" si="803"/>
        <v>4476.245515552966</v>
      </c>
      <c r="AZ116" s="41">
        <f t="shared" si="803"/>
        <v>4485.4374387277285</v>
      </c>
      <c r="BA116" s="41">
        <f t="shared" si="803"/>
        <v>4494.6482890952439</v>
      </c>
      <c r="BB116" s="41">
        <f t="shared" si="803"/>
        <v>4503.8781057160877</v>
      </c>
      <c r="BC116" s="41">
        <f t="shared" si="803"/>
        <v>4513.1269277315887</v>
      </c>
      <c r="BD116" s="41">
        <f t="shared" si="803"/>
        <v>4522.3947943640032</v>
      </c>
      <c r="BE116" s="41">
        <f t="shared" si="803"/>
        <v>4531.6817449166783</v>
      </c>
      <c r="BF116" s="41">
        <f t="shared" si="803"/>
        <v>4540.9878187742233</v>
      </c>
      <c r="BG116" s="41">
        <f t="shared" si="803"/>
        <v>4550.3130554026757</v>
      </c>
      <c r="BH116" s="41">
        <f t="shared" si="803"/>
        <v>4559.6574943496698</v>
      </c>
      <c r="BI116" s="41">
        <f t="shared" si="803"/>
        <v>4569.0211752446057</v>
      </c>
      <c r="BJ116" s="41">
        <f t="shared" si="803"/>
        <v>4578.4041377988206</v>
      </c>
      <c r="BK116" s="41">
        <f t="shared" si="803"/>
        <v>4587.8064218057552</v>
      </c>
      <c r="BL116" s="41">
        <f t="shared" si="803"/>
        <v>4597.2280671411254</v>
      </c>
      <c r="BM116" s="41">
        <f t="shared" si="803"/>
        <v>4606.6691137630951</v>
      </c>
      <c r="BN116" s="41">
        <f t="shared" si="803"/>
        <v>4616.1296017124423</v>
      </c>
      <c r="BO116" s="41">
        <f t="shared" si="803"/>
        <v>4625.6095711127309</v>
      </c>
      <c r="BP116" s="41">
        <f t="shared" si="803"/>
        <v>4635.109062170488</v>
      </c>
      <c r="BQ116" s="41">
        <f t="shared" si="803"/>
        <v>4644.6281151753674</v>
      </c>
      <c r="BR116" s="41">
        <f t="shared" si="803"/>
        <v>4654.1667705003265</v>
      </c>
      <c r="BS116" s="41">
        <f t="shared" si="803"/>
        <v>4663.7250686017987</v>
      </c>
      <c r="BT116" s="41">
        <f t="shared" ref="BT116:CV116" si="804">+$E$116*BT115</f>
        <v>4673.3030500198647</v>
      </c>
      <c r="BU116" s="41">
        <f t="shared" si="804"/>
        <v>4682.9007553784277</v>
      </c>
      <c r="BV116" s="41">
        <f t="shared" si="804"/>
        <v>4692.5182253853827</v>
      </c>
      <c r="BW116" s="41">
        <f t="shared" si="804"/>
        <v>4702.1555008327987</v>
      </c>
      <c r="BX116" s="41">
        <f t="shared" si="804"/>
        <v>4711.81262259708</v>
      </c>
      <c r="BY116" s="41">
        <f t="shared" si="804"/>
        <v>4721.489631639155</v>
      </c>
      <c r="BZ116" s="41">
        <f t="shared" si="804"/>
        <v>4731.1865690046443</v>
      </c>
      <c r="CA116" s="41">
        <f t="shared" si="804"/>
        <v>4740.9034758240332</v>
      </c>
      <c r="CB116" s="41">
        <f t="shared" si="804"/>
        <v>4750.6403933128513</v>
      </c>
      <c r="CC116" s="41">
        <f t="shared" si="804"/>
        <v>4760.3973627718497</v>
      </c>
      <c r="CD116" s="41">
        <f t="shared" si="804"/>
        <v>4770.1744255871772</v>
      </c>
      <c r="CE116" s="41">
        <f t="shared" si="804"/>
        <v>4779.9716232305518</v>
      </c>
      <c r="CF116" s="41">
        <f t="shared" si="804"/>
        <v>4789.7889972594448</v>
      </c>
      <c r="CG116" s="41">
        <f t="shared" si="804"/>
        <v>4799.6265893172558</v>
      </c>
      <c r="CH116" s="41">
        <f t="shared" si="804"/>
        <v>4809.4844411334852</v>
      </c>
      <c r="CI116" s="41">
        <f t="shared" si="804"/>
        <v>4819.3625945239255</v>
      </c>
      <c r="CJ116" s="41">
        <f t="shared" si="804"/>
        <v>4829.2610913908247</v>
      </c>
      <c r="CK116" s="41">
        <f t="shared" si="804"/>
        <v>4839.1799737230785</v>
      </c>
      <c r="CL116" s="41">
        <f t="shared" si="804"/>
        <v>4849.1192835963984</v>
      </c>
      <c r="CM116" s="41">
        <f t="shared" si="804"/>
        <v>4859.0790631735017</v>
      </c>
      <c r="CN116" s="41">
        <f t="shared" si="804"/>
        <v>4869.0593547042845</v>
      </c>
      <c r="CO116" s="41">
        <f t="shared" si="804"/>
        <v>4879.0602005260052</v>
      </c>
      <c r="CP116" s="41">
        <f t="shared" si="804"/>
        <v>4889.081643063465</v>
      </c>
      <c r="CQ116" s="41">
        <f t="shared" si="804"/>
        <v>4899.1237248291882</v>
      </c>
      <c r="CR116" s="41">
        <f t="shared" si="804"/>
        <v>4909.1864884236047</v>
      </c>
      <c r="CS116" s="41">
        <f t="shared" si="804"/>
        <v>4919.2699765352345</v>
      </c>
      <c r="CT116" s="41">
        <f t="shared" si="804"/>
        <v>4929.3742319408639</v>
      </c>
      <c r="CU116" s="41">
        <f t="shared" si="804"/>
        <v>4939.4992975057357</v>
      </c>
      <c r="CV116" s="41">
        <f t="shared" si="804"/>
        <v>4949.645216183726</v>
      </c>
      <c r="CW116" s="41">
        <f t="shared" ref="CW116:EI116" si="805">+$E$116*CW115</f>
        <v>4959.81203101753</v>
      </c>
      <c r="CX116" s="41">
        <f t="shared" si="805"/>
        <v>4969.9997851388498</v>
      </c>
      <c r="CY116" s="41">
        <f t="shared" si="805"/>
        <v>4980.2085217685735</v>
      </c>
      <c r="CZ116" s="41">
        <f t="shared" si="805"/>
        <v>4990.438284216958</v>
      </c>
      <c r="DA116" s="41">
        <f t="shared" si="805"/>
        <v>5000.6891158838253</v>
      </c>
      <c r="DB116" s="41">
        <f t="shared" si="805"/>
        <v>5010.9610602587327</v>
      </c>
      <c r="DC116" s="41">
        <f t="shared" si="805"/>
        <v>5021.254160921173</v>
      </c>
      <c r="DD116" s="41">
        <f t="shared" si="805"/>
        <v>5031.5684615407481</v>
      </c>
      <c r="DE116" s="41">
        <f t="shared" si="805"/>
        <v>5041.9040058773662</v>
      </c>
      <c r="DF116" s="41">
        <f t="shared" si="805"/>
        <v>5052.2608377814222</v>
      </c>
      <c r="DG116" s="41">
        <f t="shared" si="805"/>
        <v>5062.6390011939866</v>
      </c>
      <c r="DH116" s="41">
        <f t="shared" si="805"/>
        <v>5073.0385401469939</v>
      </c>
      <c r="DI116" s="41">
        <f t="shared" si="805"/>
        <v>5083.4594987634327</v>
      </c>
      <c r="DJ116" s="41">
        <f t="shared" si="805"/>
        <v>5093.9019212575295</v>
      </c>
      <c r="DK116" s="41">
        <f t="shared" si="805"/>
        <v>5104.3658519349419</v>
      </c>
      <c r="DL116" s="41">
        <f t="shared" si="805"/>
        <v>5114.851335192946</v>
      </c>
      <c r="DM116" s="41">
        <f t="shared" si="805"/>
        <v>5125.3584155206263</v>
      </c>
      <c r="DN116" s="41">
        <f t="shared" si="805"/>
        <v>5135.8871374990649</v>
      </c>
      <c r="DO116" s="41">
        <f t="shared" si="805"/>
        <v>5146.4375458015375</v>
      </c>
      <c r="DP116" s="41">
        <f t="shared" si="805"/>
        <v>5157.0096851936942</v>
      </c>
      <c r="DQ116" s="41">
        <f t="shared" si="805"/>
        <v>5167.6036005337592</v>
      </c>
      <c r="DR116" s="41">
        <f t="shared" si="805"/>
        <v>5178.2193367727186</v>
      </c>
      <c r="DS116" s="41">
        <f t="shared" si="805"/>
        <v>5188.8569389545182</v>
      </c>
      <c r="DT116" s="41">
        <f t="shared" si="805"/>
        <v>5199.5164522162468</v>
      </c>
      <c r="DU116" s="41">
        <f t="shared" si="805"/>
        <v>5210.1979217883354</v>
      </c>
      <c r="DV116" s="41">
        <f t="shared" si="805"/>
        <v>5220.9013929947496</v>
      </c>
      <c r="DW116" s="41">
        <f t="shared" si="805"/>
        <v>5231.6269112531818</v>
      </c>
      <c r="DX116" s="41">
        <f t="shared" si="805"/>
        <v>5242.3745220752453</v>
      </c>
      <c r="DY116" s="41">
        <f t="shared" si="805"/>
        <v>5253.1442710666724</v>
      </c>
      <c r="DZ116" s="41">
        <f t="shared" si="805"/>
        <v>5263.9362039275065</v>
      </c>
      <c r="EA116" s="41">
        <f t="shared" si="805"/>
        <v>5274.750366452291</v>
      </c>
      <c r="EB116" s="41">
        <f t="shared" si="805"/>
        <v>5285.5868045302823</v>
      </c>
      <c r="EC116" s="41">
        <f t="shared" si="805"/>
        <v>5296.4455641456252</v>
      </c>
      <c r="ED116" s="41">
        <f t="shared" si="805"/>
        <v>5307.326691377566</v>
      </c>
      <c r="EE116" s="41">
        <f t="shared" si="805"/>
        <v>5318.2302324006396</v>
      </c>
      <c r="EF116" s="41">
        <f t="shared" si="805"/>
        <v>5329.1562334848704</v>
      </c>
      <c r="EG116" s="41">
        <f t="shared" si="805"/>
        <v>5340.1047409959747</v>
      </c>
      <c r="EH116" s="41">
        <f t="shared" si="805"/>
        <v>5351.0758013955437</v>
      </c>
      <c r="EI116" s="41">
        <f t="shared" si="805"/>
        <v>5362.0694612412608</v>
      </c>
      <c r="EJ116" s="41"/>
      <c r="EK116" s="41"/>
      <c r="EL116" s="41"/>
      <c r="EM116" s="1" t="s">
        <v>191</v>
      </c>
    </row>
    <row r="117" spans="4:143" x14ac:dyDescent="0.45"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4"/>
      <c r="CA117" s="24"/>
      <c r="CB117" s="24"/>
      <c r="CC117" s="24"/>
      <c r="CD117" s="24"/>
      <c r="CE117" s="24"/>
      <c r="CF117" s="24"/>
      <c r="CG117" s="24"/>
      <c r="CH117" s="24"/>
      <c r="CI117" s="24"/>
      <c r="CJ117" s="24"/>
      <c r="CK117" s="24"/>
      <c r="CL117" s="24"/>
      <c r="CM117" s="24"/>
      <c r="CN117" s="24"/>
      <c r="CO117" s="24"/>
      <c r="CP117" s="24"/>
      <c r="CQ117" s="24"/>
      <c r="CR117" s="24"/>
      <c r="CS117" s="24"/>
      <c r="CT117" s="24"/>
      <c r="CU117" s="24"/>
      <c r="CV117" s="24"/>
      <c r="CW117" s="24"/>
      <c r="CX117" s="24"/>
      <c r="CY117" s="24"/>
      <c r="CZ117" s="24"/>
      <c r="DA117" s="24"/>
      <c r="DB117" s="24"/>
      <c r="DC117" s="24"/>
      <c r="DD117" s="24"/>
      <c r="DE117" s="24"/>
      <c r="DF117" s="24"/>
      <c r="DG117" s="24"/>
      <c r="DH117" s="24"/>
      <c r="DI117" s="24"/>
      <c r="DJ117" s="24"/>
      <c r="DK117" s="24"/>
      <c r="DL117" s="24"/>
      <c r="DM117" s="24"/>
      <c r="DN117" s="24"/>
      <c r="DO117" s="24"/>
      <c r="DP117" s="24"/>
      <c r="DQ117" s="24"/>
      <c r="DR117" s="24"/>
      <c r="DS117" s="24"/>
      <c r="DT117" s="24"/>
      <c r="DU117" s="24"/>
      <c r="DV117" s="24"/>
      <c r="DW117" s="24"/>
      <c r="DX117" s="24"/>
      <c r="DY117" s="24"/>
      <c r="DZ117" s="24"/>
      <c r="EA117" s="24"/>
      <c r="EB117" s="24"/>
      <c r="EC117" s="24"/>
      <c r="ED117" s="24"/>
      <c r="EE117" s="24"/>
      <c r="EF117" s="24"/>
      <c r="EG117" s="24"/>
      <c r="EH117" s="24"/>
      <c r="EI117" s="24"/>
      <c r="EJ117" s="24"/>
      <c r="EK117" s="24"/>
      <c r="EL117" s="24"/>
      <c r="EM117" s="1" t="s">
        <v>191</v>
      </c>
    </row>
    <row r="118" spans="4:143" x14ac:dyDescent="0.45">
      <c r="D118" s="8" t="s">
        <v>350</v>
      </c>
      <c r="E118" s="24"/>
      <c r="F118" s="24"/>
      <c r="G118" s="24">
        <f>+G69-G116</f>
        <v>-5651390.8349986859</v>
      </c>
      <c r="H118" s="24">
        <f>+H69-H116</f>
        <v>-22345.410359434267</v>
      </c>
      <c r="I118" s="24">
        <f>+I69-I116</f>
        <v>-124470.73199259791</v>
      </c>
      <c r="J118" s="24">
        <f>+J69-J116</f>
        <v>-128962.68894246993</v>
      </c>
      <c r="K118" s="24">
        <f>+K69-K116</f>
        <v>-133473.51384667229</v>
      </c>
      <c r="L118" s="24">
        <f>+L69-L116</f>
        <v>-178375.17696107196</v>
      </c>
      <c r="M118" s="24">
        <f>+M69-M116</f>
        <v>-164292.28917121224</v>
      </c>
      <c r="N118" s="24">
        <f>+N69-N116</f>
        <v>-124170.37003154399</v>
      </c>
      <c r="O118" s="24">
        <f>+O69-O116</f>
        <v>-121537.83493530095</v>
      </c>
      <c r="P118" s="24">
        <f>+P69-P116</f>
        <v>-118894.65104032315</v>
      </c>
      <c r="Q118" s="24">
        <f>+Q69-Q116</f>
        <v>-121240.78541370273</v>
      </c>
      <c r="R118" s="24">
        <f>+R69-R116</f>
        <v>-113576.20503154901</v>
      </c>
      <c r="S118" s="24">
        <f>+S69-S116</f>
        <v>-109900.87677875203</v>
      </c>
      <c r="T118" s="24">
        <f>+T69-T116</f>
        <v>-107214.76744874577</v>
      </c>
      <c r="U118" s="24">
        <f>+U69-U116</f>
        <v>-104517.8437432709</v>
      </c>
      <c r="V118" s="24">
        <f>+V69-V116</f>
        <v>-101810.07227213717</v>
      </c>
      <c r="W118" s="24">
        <f>+W69-W116</f>
        <v>-99091.419552984415</v>
      </c>
      <c r="X118" s="24">
        <f>+X69-X116</f>
        <v>-96361.852011043797</v>
      </c>
      <c r="Y118" s="24">
        <f>+Y69-Y116</f>
        <v>-93621.335978898205</v>
      </c>
      <c r="Z118" s="24">
        <f>+Z69-Z116</f>
        <v>-90869.837696241666</v>
      </c>
      <c r="AA118" s="24">
        <f>+AA69-AA116</f>
        <v>-88107.323309638581</v>
      </c>
      <c r="AB118" s="24">
        <f>+AB69-AB116</f>
        <v>-85333.758872282473</v>
      </c>
      <c r="AC118" s="24">
        <f>+AC69-AC116</f>
        <v>-82549.110343753608</v>
      </c>
      <c r="AD118" s="24">
        <f>+AD69-AD116</f>
        <v>-79753.343589776443</v>
      </c>
      <c r="AE118" s="24">
        <f>+AE69-AE116</f>
        <v>-311246.42438197631</v>
      </c>
      <c r="AF118" s="24">
        <f>+AF69-AF116</f>
        <v>22523.855515408057</v>
      </c>
      <c r="AG118" s="24">
        <f>+AG69-AG116</f>
        <v>25353.182693594768</v>
      </c>
      <c r="AH118" s="24">
        <f>+AH69-AH116</f>
        <v>28193.765577765211</v>
      </c>
      <c r="AI118" s="24">
        <f>+AI69-AI116</f>
        <v>36016.839020373569</v>
      </c>
      <c r="AJ118" s="24">
        <f>+AJ69-AJ116</f>
        <v>43871.720839711386</v>
      </c>
      <c r="AK118" s="24">
        <f>+AK69-AK116</f>
        <v>51758.509269460686</v>
      </c>
      <c r="AL118" s="24">
        <f>+AL69-AL116</f>
        <v>52088.362340348518</v>
      </c>
      <c r="AM118" s="24">
        <f>+AM69-AM116</f>
        <v>52418.929841811558</v>
      </c>
      <c r="AN118" s="24">
        <f>+AN69-AN116</f>
        <v>9462512.4382197857</v>
      </c>
      <c r="AO118" s="24">
        <f>+AO69-AO116</f>
        <v>25375.756998543977</v>
      </c>
      <c r="AP118" s="24">
        <f>+AP69-AP116</f>
        <v>25708.477007572605</v>
      </c>
      <c r="AQ118" s="24">
        <f>+AQ69-AQ116</f>
        <v>26041.917601996643</v>
      </c>
      <c r="AR118" s="24">
        <f>+AR69-AR116</f>
        <v>26376.080328733373</v>
      </c>
      <c r="AS118" s="24">
        <f>+AS69-AS116</f>
        <v>26710.96673799913</v>
      </c>
      <c r="AT118" s="24">
        <f>+AT69-AT116</f>
        <v>27046.578383316111</v>
      </c>
      <c r="AU118" s="24">
        <f>+AU69-AU116</f>
        <v>27382.916821519502</v>
      </c>
      <c r="AV118" s="24">
        <f>+AV69-AV116</f>
        <v>27719.983612764492</v>
      </c>
      <c r="AW118" s="24">
        <f>+AW69-AW116</f>
        <v>28057.780320533111</v>
      </c>
      <c r="AX118" s="24">
        <f>+AX69-AX116</f>
        <v>28396.308511641524</v>
      </c>
      <c r="AY118" s="24">
        <f>+AY69-AY116</f>
        <v>28735.569756247067</v>
      </c>
      <c r="AZ118" s="24">
        <f>+AZ69-AZ116</f>
        <v>29075.565627855285</v>
      </c>
      <c r="BA118" s="24">
        <f>+BA69-BA116</f>
        <v>29416.297703326771</v>
      </c>
      <c r="BB118" s="24">
        <f>+BB69-BB116</f>
        <v>29757.767562885077</v>
      </c>
      <c r="BC118" s="24">
        <f>+BC69-BC116</f>
        <v>30099.976790122921</v>
      </c>
      <c r="BD118" s="24">
        <f>+BD69-BD116</f>
        <v>30442.926972009918</v>
      </c>
      <c r="BE118" s="24">
        <f>+BE69-BE116</f>
        <v>30786.619698899398</v>
      </c>
      <c r="BF118" s="24">
        <f>+BF69-BF116</f>
        <v>31131.056564535909</v>
      </c>
      <c r="BG118" s="24">
        <f>+BG69-BG116</f>
        <v>31476.239166062322</v>
      </c>
      <c r="BH118" s="24">
        <f>+BH69-BH116</f>
        <v>31822.169104026831</v>
      </c>
      <c r="BI118" s="24">
        <f>+BI69-BI116</f>
        <v>32168.84798239042</v>
      </c>
      <c r="BJ118" s="24">
        <f>+BJ69-BJ116</f>
        <v>32516.277408533879</v>
      </c>
      <c r="BK118" s="24">
        <f>+BK69-BK116</f>
        <v>32864.458993265362</v>
      </c>
      <c r="BL118" s="24">
        <f>+BL69-BL116</f>
        <v>33213.39435082733</v>
      </c>
      <c r="BM118" s="24">
        <f>+BM69-BM116</f>
        <v>33563.08509890415</v>
      </c>
      <c r="BN118" s="24">
        <f>+BN69-BN116</f>
        <v>33913.532858629107</v>
      </c>
      <c r="BO118" s="24">
        <f>+BO69-BO116</f>
        <v>12927971.229390239</v>
      </c>
      <c r="BP118" s="24">
        <f>+BP69-BP116</f>
        <v>-4635.109062170488</v>
      </c>
      <c r="BQ118" s="24">
        <f>+BQ69-BQ116</f>
        <v>-4644.6281151753674</v>
      </c>
      <c r="BR118" s="24">
        <f>+BR69-BR116</f>
        <v>-4654.1667705003265</v>
      </c>
      <c r="BS118" s="24">
        <f>+BS69-BS116</f>
        <v>-4663.7250686017987</v>
      </c>
      <c r="BT118" s="24">
        <f>+BT69-BT116</f>
        <v>-4673.3030500198647</v>
      </c>
      <c r="BU118" s="24">
        <f>+BU69-BU116</f>
        <v>-4682.9007553784277</v>
      </c>
      <c r="BV118" s="24">
        <f>+BV69-BV116</f>
        <v>-4692.5182253853827</v>
      </c>
      <c r="BW118" s="24">
        <f>+BW69-BW116</f>
        <v>-4702.1555008327987</v>
      </c>
      <c r="BX118" s="24">
        <f>+BX69-BX116</f>
        <v>-4711.81262259708</v>
      </c>
      <c r="BY118" s="24">
        <f>+BY69-BY116</f>
        <v>-4721.489631639155</v>
      </c>
      <c r="BZ118" s="24">
        <f>+BZ69-BZ116</f>
        <v>-4731.1865690046443</v>
      </c>
      <c r="CA118" s="24">
        <f>+CA69-CA116</f>
        <v>-4740.9034758240332</v>
      </c>
      <c r="CB118" s="24">
        <f>+CB69-CB116</f>
        <v>-4750.6403933128513</v>
      </c>
      <c r="CC118" s="24">
        <f>+CC69-CC116</f>
        <v>-4760.3973627718497</v>
      </c>
      <c r="CD118" s="24">
        <f>+CD69-CD116</f>
        <v>-4770.1744255871772</v>
      </c>
      <c r="CE118" s="24">
        <f>+CE69-CE116</f>
        <v>-4779.9716232305518</v>
      </c>
      <c r="CF118" s="24">
        <f>+CF69-CF116</f>
        <v>-4789.7889972594448</v>
      </c>
      <c r="CG118" s="24">
        <f>+CG69-CG116</f>
        <v>-4799.6265893172558</v>
      </c>
      <c r="CH118" s="24">
        <f>+CH69-CH116</f>
        <v>-4809.4844411334852</v>
      </c>
      <c r="CI118" s="24">
        <f>+CI69-CI116</f>
        <v>-4819.3625945239255</v>
      </c>
      <c r="CJ118" s="24">
        <f>+CJ69-CJ116</f>
        <v>-4829.2610913908247</v>
      </c>
      <c r="CK118" s="24">
        <f>+CK69-CK116</f>
        <v>-4839.1799737230785</v>
      </c>
      <c r="CL118" s="24">
        <f>+CL69-CL116</f>
        <v>-4849.1192835963984</v>
      </c>
      <c r="CM118" s="24">
        <f>+CM69-CM116</f>
        <v>-4859.0790631735017</v>
      </c>
      <c r="CN118" s="24">
        <f>+CN69-CN116</f>
        <v>-4869.0593547042845</v>
      </c>
      <c r="CO118" s="24">
        <f>+CO69-CO116</f>
        <v>-4879.0602005260052</v>
      </c>
      <c r="CP118" s="24">
        <f>+CP69-CP116</f>
        <v>-4889.081643063465</v>
      </c>
      <c r="CQ118" s="24">
        <f>+CQ69-CQ116</f>
        <v>-4899.1237248291882</v>
      </c>
      <c r="CR118" s="24">
        <f>+CR69-CR116</f>
        <v>-4909.1864884236047</v>
      </c>
      <c r="CS118" s="24">
        <f>+CS69-CS116</f>
        <v>-4919.2699765352345</v>
      </c>
      <c r="CT118" s="24">
        <f>+CT69-CT116</f>
        <v>-4929.3742319408639</v>
      </c>
      <c r="CU118" s="24">
        <f>+CU69-CU116</f>
        <v>-4939.4992975057357</v>
      </c>
      <c r="CV118" s="24">
        <f>+CV69-CV116</f>
        <v>-4949.645216183726</v>
      </c>
      <c r="CW118" s="24">
        <f>+CW69-CW116</f>
        <v>-4959.81203101753</v>
      </c>
      <c r="CX118" s="24">
        <f>+CX69-CX116</f>
        <v>-4969.9997851388498</v>
      </c>
      <c r="CY118" s="24">
        <f>+CY69-CY116</f>
        <v>-4980.2085217685735</v>
      </c>
      <c r="CZ118" s="24">
        <f>+CZ69-CZ116</f>
        <v>-4990.438284216958</v>
      </c>
      <c r="DA118" s="24">
        <f>+DA69-DA116</f>
        <v>-5000.6891158838253</v>
      </c>
      <c r="DB118" s="24">
        <f>+DB69-DB116</f>
        <v>-5010.9610602587327</v>
      </c>
      <c r="DC118" s="24">
        <f>+DC69-DC116</f>
        <v>-5021.254160921173</v>
      </c>
      <c r="DD118" s="24">
        <f>+DD69-DD116</f>
        <v>-5031.5684615407481</v>
      </c>
      <c r="DE118" s="24">
        <f>+DE69-DE116</f>
        <v>-5041.9040058773662</v>
      </c>
      <c r="DF118" s="24">
        <f>+DF69-DF116</f>
        <v>-5052.2608377814222</v>
      </c>
      <c r="DG118" s="24">
        <f>+DG69-DG116</f>
        <v>-5062.6390011939866</v>
      </c>
      <c r="DH118" s="24">
        <f>+DH69-DH116</f>
        <v>-5073.0385401469939</v>
      </c>
      <c r="DI118" s="24">
        <f>+DI69-DI116</f>
        <v>-5083.4594987634327</v>
      </c>
      <c r="DJ118" s="24">
        <f>+DJ69-DJ116</f>
        <v>-5093.9019212575295</v>
      </c>
      <c r="DK118" s="24">
        <f>+DK69-DK116</f>
        <v>-5104.3658519349419</v>
      </c>
      <c r="DL118" s="24">
        <f>+DL69-DL116</f>
        <v>-5114.851335192946</v>
      </c>
      <c r="DM118" s="24">
        <f>+DM69-DM116</f>
        <v>-5125.3584155206263</v>
      </c>
      <c r="DN118" s="24">
        <f>+DN69-DN116</f>
        <v>-5135.8871374990649</v>
      </c>
      <c r="DO118" s="24">
        <f>+DO69-DO116</f>
        <v>-5146.4375458015375</v>
      </c>
      <c r="DP118" s="24">
        <f>+DP69-DP116</f>
        <v>-5157.0096851936942</v>
      </c>
      <c r="DQ118" s="24">
        <f>+DQ69-DQ116</f>
        <v>-5167.6036005337592</v>
      </c>
      <c r="DR118" s="24">
        <f>+DR69-DR116</f>
        <v>-5178.2193367727186</v>
      </c>
      <c r="DS118" s="24">
        <f>+DS69-DS116</f>
        <v>-5188.8569389545182</v>
      </c>
      <c r="DT118" s="24">
        <f>+DT69-DT116</f>
        <v>-5199.5164522162468</v>
      </c>
      <c r="DU118" s="24">
        <f>+DU69-DU116</f>
        <v>-5210.1979217883354</v>
      </c>
      <c r="DV118" s="24">
        <f>+DV69-DV116</f>
        <v>-5220.9013929947496</v>
      </c>
      <c r="DW118" s="24">
        <f>+DW69-DW116</f>
        <v>-5231.6269112531818</v>
      </c>
      <c r="DX118" s="24">
        <f>+DX69-DX116</f>
        <v>-5242.3745220752453</v>
      </c>
      <c r="DY118" s="24">
        <f>+DY69-DY116</f>
        <v>-5253.1442710666724</v>
      </c>
      <c r="DZ118" s="24">
        <f>+DZ69-DZ116</f>
        <v>-5263.9362039275065</v>
      </c>
      <c r="EA118" s="24">
        <f>+EA69-EA116</f>
        <v>-5274.750366452291</v>
      </c>
      <c r="EB118" s="24">
        <f>+EB69-EB116</f>
        <v>-5285.5868045302823</v>
      </c>
      <c r="EC118" s="24">
        <f>+EC69-EC116</f>
        <v>-5296.4455641456252</v>
      </c>
      <c r="ED118" s="24">
        <f>+ED69-ED116</f>
        <v>-5307.326691377566</v>
      </c>
      <c r="EE118" s="24">
        <f>+EE69-EE116</f>
        <v>-5318.2302324006396</v>
      </c>
      <c r="EF118" s="24">
        <f>+EF69-EF116</f>
        <v>-5329.1562334848704</v>
      </c>
      <c r="EG118" s="24">
        <f>+EG69-EG116</f>
        <v>-5340.1047409959747</v>
      </c>
      <c r="EH118" s="24">
        <f>+EH69-EH116</f>
        <v>-5351.0758013955437</v>
      </c>
      <c r="EI118" s="24">
        <f>+EI69-EI116</f>
        <v>-5362.0694612412608</v>
      </c>
      <c r="EJ118" s="24"/>
      <c r="EK118" s="24"/>
      <c r="EL118" s="24"/>
    </row>
    <row r="119" spans="4:143" x14ac:dyDescent="0.45"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B119" s="24"/>
      <c r="CC119" s="24"/>
      <c r="CD119" s="24"/>
      <c r="CE119" s="24"/>
      <c r="CF119" s="24"/>
      <c r="CG119" s="24"/>
      <c r="CH119" s="24"/>
      <c r="CI119" s="24"/>
      <c r="CJ119" s="24"/>
      <c r="CK119" s="24"/>
      <c r="CL119" s="24"/>
      <c r="CM119" s="24"/>
      <c r="CN119" s="24"/>
      <c r="CO119" s="24"/>
      <c r="CP119" s="24"/>
      <c r="CQ119" s="24"/>
      <c r="CR119" s="24"/>
      <c r="CS119" s="24"/>
      <c r="CT119" s="24"/>
      <c r="CU119" s="24"/>
      <c r="CV119" s="24"/>
      <c r="CW119" s="24"/>
      <c r="CX119" s="24"/>
      <c r="CY119" s="24"/>
      <c r="CZ119" s="24"/>
      <c r="DA119" s="24"/>
      <c r="DB119" s="24"/>
      <c r="DC119" s="24"/>
      <c r="DD119" s="24"/>
      <c r="DE119" s="24"/>
      <c r="DF119" s="24"/>
      <c r="DG119" s="24"/>
      <c r="DH119" s="24"/>
      <c r="DI119" s="24"/>
      <c r="DJ119" s="24"/>
      <c r="DK119" s="24"/>
      <c r="DL119" s="24"/>
      <c r="DM119" s="24"/>
      <c r="DN119" s="24"/>
      <c r="DO119" s="24"/>
      <c r="DP119" s="24"/>
      <c r="DQ119" s="24"/>
      <c r="DR119" s="24"/>
      <c r="DS119" s="24"/>
      <c r="DT119" s="24"/>
      <c r="DU119" s="24"/>
      <c r="DV119" s="24"/>
      <c r="DW119" s="24"/>
      <c r="DX119" s="24"/>
      <c r="DY119" s="24"/>
      <c r="DZ119" s="24"/>
      <c r="EA119" s="24"/>
      <c r="EB119" s="24"/>
      <c r="EC119" s="24"/>
      <c r="ED119" s="24"/>
      <c r="EE119" s="24"/>
      <c r="EF119" s="24"/>
      <c r="EG119" s="24"/>
      <c r="EH119" s="24"/>
      <c r="EI119" s="24"/>
      <c r="EJ119" s="24"/>
      <c r="EK119" s="24"/>
      <c r="EL119" s="24"/>
    </row>
    <row r="120" spans="4:143" x14ac:dyDescent="0.45"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4"/>
      <c r="CA120" s="24"/>
      <c r="CB120" s="24"/>
      <c r="CC120" s="24"/>
      <c r="CD120" s="24"/>
      <c r="CE120" s="24"/>
      <c r="CF120" s="24"/>
      <c r="CG120" s="24"/>
      <c r="CH120" s="24"/>
      <c r="CI120" s="24"/>
      <c r="CJ120" s="24"/>
      <c r="CK120" s="24"/>
      <c r="CL120" s="24"/>
      <c r="CM120" s="24"/>
      <c r="CN120" s="24"/>
      <c r="CO120" s="24"/>
      <c r="CP120" s="24"/>
      <c r="CQ120" s="24"/>
      <c r="CR120" s="24"/>
      <c r="CS120" s="24"/>
      <c r="CT120" s="24"/>
      <c r="CU120" s="24"/>
      <c r="CV120" s="24"/>
      <c r="CW120" s="24"/>
      <c r="CX120" s="24"/>
      <c r="CY120" s="24"/>
      <c r="CZ120" s="24"/>
      <c r="DA120" s="24"/>
      <c r="DB120" s="24"/>
      <c r="DC120" s="24"/>
      <c r="DD120" s="24"/>
      <c r="DE120" s="24"/>
      <c r="DF120" s="24"/>
      <c r="DG120" s="24"/>
      <c r="DH120" s="24"/>
      <c r="DI120" s="24"/>
      <c r="DJ120" s="24"/>
      <c r="DK120" s="24"/>
      <c r="DL120" s="24"/>
      <c r="DM120" s="24"/>
      <c r="DN120" s="24"/>
      <c r="DO120" s="24"/>
      <c r="DP120" s="24"/>
      <c r="DQ120" s="24"/>
      <c r="DR120" s="24"/>
      <c r="DS120" s="24"/>
      <c r="DT120" s="24"/>
      <c r="DU120" s="24"/>
      <c r="DV120" s="24"/>
      <c r="DW120" s="24"/>
      <c r="DX120" s="24"/>
      <c r="DY120" s="24"/>
      <c r="DZ120" s="24"/>
      <c r="EA120" s="24"/>
      <c r="EB120" s="24"/>
      <c r="EC120" s="24"/>
      <c r="ED120" s="24"/>
      <c r="EE120" s="24"/>
      <c r="EF120" s="24"/>
      <c r="EG120" s="24"/>
      <c r="EH120" s="24"/>
      <c r="EI120" s="24"/>
      <c r="EJ120" s="24"/>
      <c r="EK120" s="24"/>
      <c r="EL120" s="24"/>
    </row>
    <row r="121" spans="4:143" x14ac:dyDescent="0.45">
      <c r="D121" s="79" t="s">
        <v>197</v>
      </c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  <c r="AA121" s="176"/>
      <c r="AB121" s="176"/>
      <c r="AC121" s="176"/>
      <c r="AD121" s="176"/>
      <c r="AE121" s="176"/>
      <c r="AF121" s="176"/>
      <c r="AG121" s="176"/>
      <c r="AH121" s="176"/>
      <c r="AI121" s="176"/>
      <c r="AJ121" s="176"/>
      <c r="AK121" s="176"/>
      <c r="AL121" s="176"/>
      <c r="AM121" s="176"/>
      <c r="AN121" s="176"/>
      <c r="AO121" s="176"/>
      <c r="AP121" s="176"/>
      <c r="AQ121" s="176"/>
      <c r="AR121" s="176"/>
      <c r="AS121" s="176"/>
      <c r="AT121" s="176"/>
      <c r="AU121" s="176"/>
      <c r="AV121" s="176"/>
      <c r="AW121" s="176"/>
      <c r="AX121" s="176"/>
      <c r="AY121" s="176"/>
      <c r="AZ121" s="176"/>
      <c r="BA121" s="176"/>
      <c r="BB121" s="176"/>
      <c r="BC121" s="176"/>
      <c r="BD121" s="176"/>
      <c r="BE121" s="176"/>
      <c r="BF121" s="176"/>
      <c r="BG121" s="176"/>
      <c r="BH121" s="176"/>
      <c r="BI121" s="176"/>
      <c r="BJ121" s="176"/>
      <c r="BK121" s="176"/>
      <c r="BL121" s="176"/>
      <c r="BM121" s="176"/>
      <c r="BN121" s="176"/>
      <c r="BO121" s="176"/>
      <c r="BP121" s="176"/>
      <c r="BQ121" s="176"/>
      <c r="BR121" s="176"/>
      <c r="BS121" s="176"/>
      <c r="BT121" s="176"/>
      <c r="BU121" s="176"/>
      <c r="BV121" s="176"/>
      <c r="BW121" s="176"/>
      <c r="BX121" s="176"/>
      <c r="BY121" s="176"/>
      <c r="BZ121" s="176"/>
      <c r="CA121" s="176"/>
      <c r="CB121" s="176"/>
      <c r="CC121" s="176"/>
      <c r="CD121" s="176"/>
      <c r="CE121" s="176"/>
      <c r="CF121" s="176"/>
      <c r="CG121" s="176"/>
      <c r="CH121" s="176"/>
      <c r="CI121" s="176"/>
      <c r="CJ121" s="176"/>
      <c r="CK121" s="176"/>
      <c r="CL121" s="176"/>
      <c r="CM121" s="176"/>
      <c r="CN121" s="176"/>
      <c r="CO121" s="176"/>
      <c r="CP121" s="176"/>
      <c r="CQ121" s="176"/>
      <c r="CR121" s="176"/>
      <c r="CS121" s="176"/>
      <c r="CT121" s="176"/>
      <c r="CU121" s="176"/>
      <c r="CV121" s="176"/>
      <c r="CW121" s="176"/>
      <c r="CX121" s="176"/>
      <c r="CY121" s="176"/>
      <c r="CZ121" s="176"/>
      <c r="DA121" s="176"/>
      <c r="DB121" s="176"/>
      <c r="DC121" s="176"/>
      <c r="DD121" s="176"/>
      <c r="DE121" s="176"/>
      <c r="DF121" s="176"/>
      <c r="DG121" s="176"/>
      <c r="DH121" s="176"/>
      <c r="DI121" s="176"/>
      <c r="DJ121" s="176"/>
      <c r="DK121" s="176"/>
      <c r="DL121" s="176"/>
      <c r="DM121" s="176"/>
      <c r="DN121" s="176"/>
      <c r="DO121" s="176"/>
      <c r="DP121" s="176"/>
      <c r="DQ121" s="176"/>
      <c r="DR121" s="176"/>
      <c r="DS121" s="176"/>
      <c r="DT121" s="176"/>
      <c r="DU121" s="176"/>
      <c r="DV121" s="176"/>
      <c r="DW121" s="176"/>
      <c r="DX121" s="176"/>
      <c r="DY121" s="176"/>
      <c r="DZ121" s="176"/>
      <c r="EA121" s="176"/>
      <c r="EB121" s="176"/>
      <c r="EC121" s="176"/>
      <c r="ED121" s="176"/>
      <c r="EE121" s="176"/>
      <c r="EF121" s="176"/>
      <c r="EG121" s="176"/>
      <c r="EH121" s="176"/>
      <c r="EI121" s="176"/>
      <c r="EJ121" s="24"/>
      <c r="EK121" s="24"/>
      <c r="EL121" s="24"/>
      <c r="EM121" s="1" t="s">
        <v>191</v>
      </c>
    </row>
    <row r="122" spans="4:143" x14ac:dyDescent="0.45">
      <c r="D122" s="1" t="s">
        <v>197</v>
      </c>
      <c r="E122" s="24"/>
      <c r="F122" s="24"/>
      <c r="G122" s="24">
        <v>0</v>
      </c>
      <c r="H122" s="24">
        <f>+G126</f>
        <v>8489313.7959519476</v>
      </c>
      <c r="I122" s="24">
        <f t="shared" ref="I122:T122" si="806">+H126</f>
        <v>8557008.776305899</v>
      </c>
      <c r="J122" s="24">
        <f t="shared" si="806"/>
        <v>8625243.5659395251</v>
      </c>
      <c r="K122" s="24">
        <f t="shared" si="806"/>
        <v>8694022.4693678264</v>
      </c>
      <c r="L122" s="24">
        <f t="shared" si="806"/>
        <v>8763349.8254306093</v>
      </c>
      <c r="M122" s="24">
        <f t="shared" si="806"/>
        <v>8833230.0075662024</v>
      </c>
      <c r="N122" s="24">
        <f t="shared" si="806"/>
        <v>8903667.4240873419</v>
      </c>
      <c r="O122" s="24">
        <f t="shared" si="806"/>
        <v>8974666.5184592698</v>
      </c>
      <c r="P122" s="24">
        <f t="shared" si="806"/>
        <v>9046231.7695800457</v>
      </c>
      <c r="Q122" s="24">
        <f t="shared" si="806"/>
        <v>9118367.6920630876</v>
      </c>
      <c r="R122" s="24">
        <f t="shared" si="806"/>
        <v>9191078.8365219776</v>
      </c>
      <c r="S122" s="24">
        <f t="shared" si="806"/>
        <v>9264369.7898575291</v>
      </c>
      <c r="T122" s="24">
        <f t="shared" si="806"/>
        <v>9338245.1755471472</v>
      </c>
      <c r="U122" s="24">
        <f t="shared" ref="U122:CF122" si="807">+T126</f>
        <v>9412709.6539364941</v>
      </c>
      <c r="V122" s="24">
        <f t="shared" si="807"/>
        <v>9487767.9225334823</v>
      </c>
      <c r="W122" s="24">
        <f t="shared" si="807"/>
        <v>9563424.7163046133</v>
      </c>
      <c r="X122" s="24">
        <f t="shared" si="807"/>
        <v>9639684.8079736754</v>
      </c>
      <c r="Y122" s="24">
        <f t="shared" si="807"/>
        <v>9716553.0083228275</v>
      </c>
      <c r="Z122" s="24">
        <f t="shared" si="807"/>
        <v>9794034.1664960813</v>
      </c>
      <c r="AA122" s="24">
        <f t="shared" si="807"/>
        <v>9872133.1703052018</v>
      </c>
      <c r="AB122" s="24">
        <f t="shared" si="807"/>
        <v>9950854.9465380535</v>
      </c>
      <c r="AC122" s="24">
        <f t="shared" si="807"/>
        <v>10030204.461269399</v>
      </c>
      <c r="AD122" s="24">
        <f t="shared" si="807"/>
        <v>10110186.720174178</v>
      </c>
      <c r="AE122" s="24">
        <f t="shared" si="807"/>
        <v>10190806.768843286</v>
      </c>
      <c r="AF122" s="24">
        <f t="shared" si="807"/>
        <v>10272069.693101864</v>
      </c>
      <c r="AG122" s="24">
        <f t="shared" si="807"/>
        <v>10331456.763814738</v>
      </c>
      <c r="AH122" s="24">
        <f t="shared" si="807"/>
        <v>10388488.068190949</v>
      </c>
      <c r="AI122" s="24">
        <f t="shared" si="807"/>
        <v>10443133.565312929</v>
      </c>
      <c r="AJ122" s="24">
        <f t="shared" si="807"/>
        <v>10490391.73986016</v>
      </c>
      <c r="AK122" s="24">
        <f t="shared" si="807"/>
        <v>10530171.875908306</v>
      </c>
      <c r="AL122" s="24">
        <f t="shared" si="807"/>
        <v>10562382.43591783</v>
      </c>
      <c r="AM122" s="24">
        <f t="shared" si="807"/>
        <v>10594519.994385278</v>
      </c>
      <c r="AN122" s="24">
        <f t="shared" si="807"/>
        <v>10626583.254755523</v>
      </c>
      <c r="AO122" s="24">
        <f t="shared" si="807"/>
        <v>1248808.6836885959</v>
      </c>
      <c r="AP122" s="24">
        <f t="shared" si="807"/>
        <v>1233391.1025026194</v>
      </c>
      <c r="AQ122" s="24">
        <f t="shared" si="807"/>
        <v>1217517.8593501633</v>
      </c>
      <c r="AR122" s="24">
        <f t="shared" si="807"/>
        <v>1201184.6001333231</v>
      </c>
      <c r="AS122" s="24">
        <f t="shared" si="807"/>
        <v>1184386.9344870895</v>
      </c>
      <c r="AT122" s="24">
        <f t="shared" si="807"/>
        <v>1167120.4354868494</v>
      </c>
      <c r="AU122" s="24">
        <f t="shared" si="807"/>
        <v>1149380.6393535489</v>
      </c>
      <c r="AV122" s="24">
        <f t="shared" si="807"/>
        <v>1131163.0451564977</v>
      </c>
      <c r="AW122" s="24">
        <f t="shared" si="807"/>
        <v>1112463.1145137977</v>
      </c>
      <c r="AX122" s="24">
        <f t="shared" si="807"/>
        <v>1093276.2712903733</v>
      </c>
      <c r="AY122" s="24">
        <f t="shared" si="807"/>
        <v>1073597.9012935895</v>
      </c>
      <c r="AZ122" s="24">
        <f t="shared" si="807"/>
        <v>1053423.3519664339</v>
      </c>
      <c r="BA122" s="24">
        <f t="shared" si="807"/>
        <v>1032747.9320782456</v>
      </c>
      <c r="BB122" s="24">
        <f t="shared" si="807"/>
        <v>1011566.9114129706</v>
      </c>
      <c r="BC122" s="24">
        <f t="shared" si="807"/>
        <v>989875.52045492502</v>
      </c>
      <c r="BD122" s="24">
        <f t="shared" si="807"/>
        <v>967668.95007204392</v>
      </c>
      <c r="BE122" s="24">
        <f t="shared" si="807"/>
        <v>944942.35119659838</v>
      </c>
      <c r="BF122" s="24">
        <f t="shared" si="807"/>
        <v>921690.83450335916</v>
      </c>
      <c r="BG122" s="24">
        <f t="shared" si="807"/>
        <v>897909.47008518653</v>
      </c>
      <c r="BH122" s="24">
        <f t="shared" si="807"/>
        <v>873593.287126026</v>
      </c>
      <c r="BI122" s="24">
        <f t="shared" si="807"/>
        <v>848737.27357128973</v>
      </c>
      <c r="BJ122" s="24">
        <f t="shared" si="807"/>
        <v>823336.37579560163</v>
      </c>
      <c r="BK122" s="24">
        <f t="shared" si="807"/>
        <v>797385.49826788658</v>
      </c>
      <c r="BL122" s="24">
        <f t="shared" si="807"/>
        <v>770879.5032137807</v>
      </c>
      <c r="BM122" s="24">
        <f t="shared" si="807"/>
        <v>743813.21027534362</v>
      </c>
      <c r="BN122" s="24">
        <f t="shared" si="807"/>
        <v>716181.39616804873</v>
      </c>
      <c r="BO122" s="24">
        <f t="shared" si="807"/>
        <v>687978.794335032</v>
      </c>
      <c r="BP122" s="24">
        <f t="shared" si="807"/>
        <v>0</v>
      </c>
      <c r="BQ122" s="24">
        <f t="shared" si="807"/>
        <v>0</v>
      </c>
      <c r="BR122" s="24">
        <f t="shared" si="807"/>
        <v>0</v>
      </c>
      <c r="BS122" s="24">
        <f t="shared" si="807"/>
        <v>0</v>
      </c>
      <c r="BT122" s="24">
        <f t="shared" si="807"/>
        <v>0</v>
      </c>
      <c r="BU122" s="24">
        <f t="shared" si="807"/>
        <v>0</v>
      </c>
      <c r="BV122" s="24">
        <f t="shared" si="807"/>
        <v>0</v>
      </c>
      <c r="BW122" s="24">
        <f t="shared" si="807"/>
        <v>0</v>
      </c>
      <c r="BX122" s="24">
        <f t="shared" si="807"/>
        <v>0</v>
      </c>
      <c r="BY122" s="24">
        <f t="shared" si="807"/>
        <v>0</v>
      </c>
      <c r="BZ122" s="24">
        <f t="shared" si="807"/>
        <v>0</v>
      </c>
      <c r="CA122" s="24">
        <f t="shared" si="807"/>
        <v>0</v>
      </c>
      <c r="CB122" s="24">
        <f t="shared" si="807"/>
        <v>0</v>
      </c>
      <c r="CC122" s="24">
        <f t="shared" si="807"/>
        <v>0</v>
      </c>
      <c r="CD122" s="24">
        <f t="shared" si="807"/>
        <v>0</v>
      </c>
      <c r="CE122" s="24">
        <f t="shared" si="807"/>
        <v>0</v>
      </c>
      <c r="CF122" s="24">
        <f t="shared" si="807"/>
        <v>0</v>
      </c>
      <c r="CG122" s="24">
        <f t="shared" ref="CG122:CV122" si="808">+CF126</f>
        <v>0</v>
      </c>
      <c r="CH122" s="24">
        <f t="shared" si="808"/>
        <v>0</v>
      </c>
      <c r="CI122" s="24">
        <f t="shared" si="808"/>
        <v>0</v>
      </c>
      <c r="CJ122" s="24">
        <f t="shared" si="808"/>
        <v>0</v>
      </c>
      <c r="CK122" s="24">
        <f t="shared" si="808"/>
        <v>0</v>
      </c>
      <c r="CL122" s="24">
        <f t="shared" si="808"/>
        <v>0</v>
      </c>
      <c r="CM122" s="24">
        <f t="shared" si="808"/>
        <v>0</v>
      </c>
      <c r="CN122" s="24">
        <f t="shared" si="808"/>
        <v>0</v>
      </c>
      <c r="CO122" s="24">
        <f t="shared" si="808"/>
        <v>0</v>
      </c>
      <c r="CP122" s="24">
        <f t="shared" si="808"/>
        <v>0</v>
      </c>
      <c r="CQ122" s="24">
        <f t="shared" si="808"/>
        <v>0</v>
      </c>
      <c r="CR122" s="24">
        <f t="shared" si="808"/>
        <v>0</v>
      </c>
      <c r="CS122" s="24">
        <f t="shared" si="808"/>
        <v>0</v>
      </c>
      <c r="CT122" s="24">
        <f t="shared" si="808"/>
        <v>0</v>
      </c>
      <c r="CU122" s="24">
        <f t="shared" si="808"/>
        <v>0</v>
      </c>
      <c r="CV122" s="24">
        <f t="shared" si="808"/>
        <v>0</v>
      </c>
      <c r="CW122" s="24">
        <f t="shared" ref="CW122" si="809">+CV126</f>
        <v>0</v>
      </c>
      <c r="CX122" s="24">
        <f t="shared" ref="CX122" si="810">+CW126</f>
        <v>0</v>
      </c>
      <c r="CY122" s="24">
        <f t="shared" ref="CY122" si="811">+CX126</f>
        <v>0</v>
      </c>
      <c r="CZ122" s="24">
        <f t="shared" ref="CZ122" si="812">+CY126</f>
        <v>0</v>
      </c>
      <c r="DA122" s="24">
        <f t="shared" ref="DA122" si="813">+CZ126</f>
        <v>0</v>
      </c>
      <c r="DB122" s="24">
        <f t="shared" ref="DB122" si="814">+DA126</f>
        <v>0</v>
      </c>
      <c r="DC122" s="24">
        <f t="shared" ref="DC122" si="815">+DB126</f>
        <v>0</v>
      </c>
      <c r="DD122" s="24">
        <f t="shared" ref="DD122" si="816">+DC126</f>
        <v>0</v>
      </c>
      <c r="DE122" s="24">
        <f t="shared" ref="DE122" si="817">+DD126</f>
        <v>0</v>
      </c>
      <c r="DF122" s="24">
        <f t="shared" ref="DF122" si="818">+DE126</f>
        <v>0</v>
      </c>
      <c r="DG122" s="24">
        <f t="shared" ref="DG122" si="819">+DF126</f>
        <v>0</v>
      </c>
      <c r="DH122" s="24">
        <f t="shared" ref="DH122" si="820">+DG126</f>
        <v>0</v>
      </c>
      <c r="DI122" s="24">
        <f t="shared" ref="DI122" si="821">+DH126</f>
        <v>0</v>
      </c>
      <c r="DJ122" s="24">
        <f t="shared" ref="DJ122" si="822">+DI126</f>
        <v>0</v>
      </c>
      <c r="DK122" s="24">
        <f t="shared" ref="DK122" si="823">+DJ126</f>
        <v>0</v>
      </c>
      <c r="DL122" s="24">
        <f t="shared" ref="DL122" si="824">+DK126</f>
        <v>0</v>
      </c>
      <c r="DM122" s="24">
        <f t="shared" ref="DM122" si="825">+DL126</f>
        <v>0</v>
      </c>
      <c r="DN122" s="24">
        <f t="shared" ref="DN122" si="826">+DM126</f>
        <v>0</v>
      </c>
      <c r="DO122" s="24">
        <f t="shared" ref="DO122" si="827">+DN126</f>
        <v>0</v>
      </c>
      <c r="DP122" s="24">
        <f t="shared" ref="DP122" si="828">+DO126</f>
        <v>0</v>
      </c>
      <c r="DQ122" s="24">
        <f t="shared" ref="DQ122" si="829">+DP126</f>
        <v>0</v>
      </c>
      <c r="DR122" s="24">
        <f t="shared" ref="DR122" si="830">+DQ126</f>
        <v>0</v>
      </c>
      <c r="DS122" s="24">
        <f t="shared" ref="DS122" si="831">+DR126</f>
        <v>0</v>
      </c>
      <c r="DT122" s="24">
        <f t="shared" ref="DT122" si="832">+DS126</f>
        <v>0</v>
      </c>
      <c r="DU122" s="24">
        <f t="shared" ref="DU122" si="833">+DT126</f>
        <v>0</v>
      </c>
      <c r="DV122" s="24">
        <f t="shared" ref="DV122" si="834">+DU126</f>
        <v>0</v>
      </c>
      <c r="DW122" s="24">
        <f t="shared" ref="DW122" si="835">+DV126</f>
        <v>0</v>
      </c>
      <c r="DX122" s="24">
        <f t="shared" ref="DX122" si="836">+DW126</f>
        <v>0</v>
      </c>
      <c r="DY122" s="24">
        <f t="shared" ref="DY122" si="837">+DX126</f>
        <v>0</v>
      </c>
      <c r="DZ122" s="24">
        <f t="shared" ref="DZ122" si="838">+DY126</f>
        <v>0</v>
      </c>
      <c r="EA122" s="24">
        <f t="shared" ref="EA122" si="839">+DZ126</f>
        <v>0</v>
      </c>
      <c r="EB122" s="24">
        <f t="shared" ref="EB122" si="840">+EA126</f>
        <v>0</v>
      </c>
      <c r="EC122" s="24">
        <f t="shared" ref="EC122" si="841">+EB126</f>
        <v>0</v>
      </c>
      <c r="ED122" s="24">
        <f t="shared" ref="ED122" si="842">+EC126</f>
        <v>0</v>
      </c>
      <c r="EE122" s="24">
        <f t="shared" ref="EE122" si="843">+ED126</f>
        <v>0</v>
      </c>
      <c r="EF122" s="24">
        <f t="shared" ref="EF122" si="844">+EE126</f>
        <v>0</v>
      </c>
      <c r="EG122" s="24">
        <f t="shared" ref="EG122" si="845">+EF126</f>
        <v>0</v>
      </c>
      <c r="EH122" s="24">
        <f t="shared" ref="EH122" si="846">+EG126</f>
        <v>0</v>
      </c>
      <c r="EI122" s="24">
        <f t="shared" ref="EI122" si="847">+EH126</f>
        <v>0</v>
      </c>
      <c r="EJ122" s="24"/>
      <c r="EK122" s="24"/>
      <c r="EL122" s="24"/>
      <c r="EM122" s="1" t="s">
        <v>191</v>
      </c>
    </row>
    <row r="123" spans="4:143" x14ac:dyDescent="0.45">
      <c r="D123" s="1" t="s">
        <v>198</v>
      </c>
      <c r="E123" s="186">
        <f>+L89</f>
        <v>0.1</v>
      </c>
      <c r="F123" s="186">
        <f>+(1+E123)^(1/12)-1</f>
        <v>7.9741404289037643E-3</v>
      </c>
      <c r="G123" s="24">
        <f>+$F$123*G122</f>
        <v>0</v>
      </c>
      <c r="H123" s="24">
        <f>+$F$123*H122</f>
        <v>67694.980353950901</v>
      </c>
      <c r="I123" s="24">
        <f t="shared" ref="I123:T123" si="848">+$F$123*I122</f>
        <v>68234.789633625202</v>
      </c>
      <c r="J123" s="24">
        <f t="shared" si="848"/>
        <v>68778.903428300444</v>
      </c>
      <c r="K123" s="24">
        <f t="shared" si="848"/>
        <v>69327.356062783729</v>
      </c>
      <c r="L123" s="24">
        <f t="shared" si="848"/>
        <v>69880.182135592971</v>
      </c>
      <c r="M123" s="24">
        <f t="shared" si="848"/>
        <v>70437.416521139559</v>
      </c>
      <c r="N123" s="24">
        <f t="shared" si="848"/>
        <v>70999.09437192831</v>
      </c>
      <c r="O123" s="24">
        <f t="shared" si="848"/>
        <v>71565.25112077505</v>
      </c>
      <c r="P123" s="24">
        <f t="shared" si="848"/>
        <v>72135.922483041883</v>
      </c>
      <c r="Q123" s="24">
        <f t="shared" si="848"/>
        <v>72711.14445889018</v>
      </c>
      <c r="R123" s="24">
        <f t="shared" si="848"/>
        <v>73290.953335551676</v>
      </c>
      <c r="S123" s="24">
        <f t="shared" si="848"/>
        <v>73875.3856896176</v>
      </c>
      <c r="T123" s="24">
        <f t="shared" si="848"/>
        <v>74464.478389346041</v>
      </c>
      <c r="U123" s="24">
        <f t="shared" ref="U123" si="849">+$F$123*U122</f>
        <v>75058.268596987764</v>
      </c>
      <c r="V123" s="24">
        <f t="shared" ref="V123" si="850">+$F$123*V122</f>
        <v>75656.793771130513</v>
      </c>
      <c r="W123" s="24">
        <f t="shared" ref="W123" si="851">+$F$123*W122</f>
        <v>76260.091669062123</v>
      </c>
      <c r="X123" s="24">
        <f t="shared" ref="X123" si="852">+$F$123*X122</f>
        <v>76868.200349152306</v>
      </c>
      <c r="Y123" s="24">
        <f t="shared" ref="Y123" si="853">+$F$123*Y122</f>
        <v>77481.158173253556</v>
      </c>
      <c r="Z123" s="24">
        <f t="shared" ref="Z123" si="854">+$F$123*Z122</f>
        <v>78099.00380912119</v>
      </c>
      <c r="AA123" s="24">
        <f t="shared" ref="AA123" si="855">+$F$123*AA122</f>
        <v>78721.776232852601</v>
      </c>
      <c r="AB123" s="24">
        <f t="shared" ref="AB123" si="856">+$F$123*AB122</f>
        <v>79349.514731346091</v>
      </c>
      <c r="AC123" s="24">
        <f t="shared" ref="AC123" si="857">+$F$123*AC122</f>
        <v>79982.258904779213</v>
      </c>
      <c r="AD123" s="24">
        <f t="shared" ref="AD123" si="858">+$F$123*AD122</f>
        <v>80620.048669106865</v>
      </c>
      <c r="AE123" s="24">
        <f t="shared" ref="AE123" si="859">+$F$123*AE122</f>
        <v>81262.924258579384</v>
      </c>
      <c r="AF123" s="24">
        <f t="shared" ref="AF123" si="860">+$F$123*AF122</f>
        <v>81910.926228280659</v>
      </c>
      <c r="AG123" s="24">
        <f t="shared" ref="AG123" si="861">+$F$123*AG122</f>
        <v>82384.487069806346</v>
      </c>
      <c r="AH123" s="24">
        <f t="shared" ref="AH123" si="862">+$F$123*AH122</f>
        <v>82839.262699745814</v>
      </c>
      <c r="AI123" s="24">
        <f t="shared" ref="AI123" si="863">+$F$123*AI122</f>
        <v>83275.013567603746</v>
      </c>
      <c r="AJ123" s="24">
        <f t="shared" ref="AJ123" si="864">+$F$123*AJ122</f>
        <v>83651.856887857008</v>
      </c>
      <c r="AK123" s="24">
        <f t="shared" ref="AK123" si="865">+$F$123*AK122</f>
        <v>83969.069278985815</v>
      </c>
      <c r="AL123" s="24">
        <f t="shared" ref="AL123" si="866">+$F$123*AL122</f>
        <v>84225.920807795395</v>
      </c>
      <c r="AM123" s="24">
        <f t="shared" ref="AM123" si="867">+$F$123*AM122</f>
        <v>84482.190212056928</v>
      </c>
      <c r="AN123" s="24">
        <f t="shared" ref="AN123" si="868">+$F$123*AN122</f>
        <v>84737.867152857769</v>
      </c>
      <c r="AO123" s="24">
        <f t="shared" ref="AO123" si="869">+$F$123*AO122</f>
        <v>9958.1758125673259</v>
      </c>
      <c r="AP123" s="24">
        <f t="shared" ref="AP123" si="870">+$F$123*AP122</f>
        <v>9835.2338551163248</v>
      </c>
      <c r="AQ123" s="24">
        <f t="shared" ref="AQ123" si="871">+$F$123*AQ122</f>
        <v>9708.6583851565047</v>
      </c>
      <c r="AR123" s="24">
        <f t="shared" ref="AR123" si="872">+$F$123*AR122</f>
        <v>9578.4146824997333</v>
      </c>
      <c r="AS123" s="24">
        <f t="shared" ref="AS123" si="873">+$F$123*AS122</f>
        <v>9444.4677377588941</v>
      </c>
      <c r="AT123" s="24">
        <f t="shared" ref="AT123" si="874">+$F$123*AT122</f>
        <v>9306.7822500154525</v>
      </c>
      <c r="AU123" s="24">
        <f t="shared" ref="AU123" si="875">+$F$123*AU122</f>
        <v>9165.322624468392</v>
      </c>
      <c r="AV123" s="24">
        <f t="shared" ref="AV123" si="876">+$F$123*AV122</f>
        <v>9020.0529700643237</v>
      </c>
      <c r="AW123" s="24">
        <f t="shared" ref="AW123" si="877">+$F$123*AW122</f>
        <v>8870.9370971086719</v>
      </c>
      <c r="AX123" s="24">
        <f t="shared" ref="AX123" si="878">+$F$123*AX122</f>
        <v>8717.9385148577257</v>
      </c>
      <c r="AY123" s="24">
        <f t="shared" ref="AY123" si="879">+$F$123*AY122</f>
        <v>8561.0204290914444</v>
      </c>
      <c r="AZ123" s="24">
        <f t="shared" ref="AZ123" si="880">+$F$123*AZ122</f>
        <v>8400.1457396668611</v>
      </c>
      <c r="BA123" s="24">
        <f t="shared" ref="BA123" si="881">+$F$123*BA122</f>
        <v>8235.2770380518959</v>
      </c>
      <c r="BB123" s="24">
        <f t="shared" ref="BB123" si="882">+$F$123*BB122</f>
        <v>8066.3766048394818</v>
      </c>
      <c r="BC123" s="24">
        <f t="shared" ref="BC123" si="883">+$F$123*BC122</f>
        <v>7893.4064072417723</v>
      </c>
      <c r="BD123" s="24">
        <f t="shared" ref="BD123" si="884">+$F$123*BD122</f>
        <v>7716.3280965643435</v>
      </c>
      <c r="BE123" s="24">
        <f t="shared" ref="BE123" si="885">+$F$123*BE122</f>
        <v>7535.1030056601749</v>
      </c>
      <c r="BF123" s="24">
        <f t="shared" ref="BF123" si="886">+$F$123*BF122</f>
        <v>7349.6921463632852</v>
      </c>
      <c r="BG123" s="24">
        <f t="shared" ref="BG123" si="887">+$F$123*BG122</f>
        <v>7160.0562069018415</v>
      </c>
      <c r="BH123" s="24">
        <f t="shared" ref="BH123" si="888">+$F$123*BH122</f>
        <v>6966.1555492905782</v>
      </c>
      <c r="BI123" s="24">
        <f t="shared" ref="BI123" si="889">+$F$123*BI122</f>
        <v>6767.9502067023759</v>
      </c>
      <c r="BJ123" s="24">
        <f t="shared" ref="BJ123" si="890">+$F$123*BJ122</f>
        <v>6565.3998808188098</v>
      </c>
      <c r="BK123" s="24">
        <f t="shared" ref="BK123" si="891">+$F$123*BK122</f>
        <v>6358.4639391595265</v>
      </c>
      <c r="BL123" s="24">
        <f t="shared" ref="BL123" si="892">+$F$123*BL122</f>
        <v>6147.1014123902578</v>
      </c>
      <c r="BM123" s="24">
        <f t="shared" ref="BM123" si="893">+$F$123*BM122</f>
        <v>5931.2709916093145</v>
      </c>
      <c r="BN123" s="24">
        <f t="shared" ref="BN123" si="894">+$F$123*BN122</f>
        <v>5710.9310256123808</v>
      </c>
      <c r="BO123" s="24">
        <f t="shared" ref="BO123" si="895">+$F$123*BO122</f>
        <v>5486.039518135447</v>
      </c>
      <c r="BP123" s="24">
        <f t="shared" ref="BP123" si="896">+$F$123*BP122</f>
        <v>0</v>
      </c>
      <c r="BQ123" s="24">
        <f t="shared" ref="BQ123" si="897">+$F$123*BQ122</f>
        <v>0</v>
      </c>
      <c r="BR123" s="24">
        <f t="shared" ref="BR123" si="898">+$F$123*BR122</f>
        <v>0</v>
      </c>
      <c r="BS123" s="24">
        <f t="shared" ref="BS123" si="899">+$F$123*BS122</f>
        <v>0</v>
      </c>
      <c r="BT123" s="24">
        <f t="shared" ref="BT123" si="900">+$F$123*BT122</f>
        <v>0</v>
      </c>
      <c r="BU123" s="24">
        <f t="shared" ref="BU123" si="901">+$F$123*BU122</f>
        <v>0</v>
      </c>
      <c r="BV123" s="24">
        <f t="shared" ref="BV123" si="902">+$F$123*BV122</f>
        <v>0</v>
      </c>
      <c r="BW123" s="24">
        <f t="shared" ref="BW123" si="903">+$F$123*BW122</f>
        <v>0</v>
      </c>
      <c r="BX123" s="24">
        <f t="shared" ref="BX123" si="904">+$F$123*BX122</f>
        <v>0</v>
      </c>
      <c r="BY123" s="24">
        <f t="shared" ref="BY123" si="905">+$F$123*BY122</f>
        <v>0</v>
      </c>
      <c r="BZ123" s="24">
        <f t="shared" ref="BZ123" si="906">+$F$123*BZ122</f>
        <v>0</v>
      </c>
      <c r="CA123" s="24">
        <f t="shared" ref="CA123" si="907">+$F$123*CA122</f>
        <v>0</v>
      </c>
      <c r="CB123" s="24">
        <f t="shared" ref="CB123" si="908">+$F$123*CB122</f>
        <v>0</v>
      </c>
      <c r="CC123" s="24">
        <f t="shared" ref="CC123" si="909">+$F$123*CC122</f>
        <v>0</v>
      </c>
      <c r="CD123" s="24">
        <f t="shared" ref="CD123" si="910">+$F$123*CD122</f>
        <v>0</v>
      </c>
      <c r="CE123" s="24">
        <f t="shared" ref="CE123" si="911">+$F$123*CE122</f>
        <v>0</v>
      </c>
      <c r="CF123" s="24">
        <f t="shared" ref="CF123" si="912">+$F$123*CF122</f>
        <v>0</v>
      </c>
      <c r="CG123" s="24">
        <f t="shared" ref="CG123" si="913">+$F$123*CG122</f>
        <v>0</v>
      </c>
      <c r="CH123" s="24">
        <f t="shared" ref="CH123" si="914">+$F$123*CH122</f>
        <v>0</v>
      </c>
      <c r="CI123" s="24">
        <f t="shared" ref="CI123" si="915">+$F$123*CI122</f>
        <v>0</v>
      </c>
      <c r="CJ123" s="24">
        <f t="shared" ref="CJ123" si="916">+$F$123*CJ122</f>
        <v>0</v>
      </c>
      <c r="CK123" s="24">
        <f t="shared" ref="CK123" si="917">+$F$123*CK122</f>
        <v>0</v>
      </c>
      <c r="CL123" s="24">
        <f t="shared" ref="CL123" si="918">+$F$123*CL122</f>
        <v>0</v>
      </c>
      <c r="CM123" s="24">
        <f t="shared" ref="CM123" si="919">+$F$123*CM122</f>
        <v>0</v>
      </c>
      <c r="CN123" s="24">
        <f t="shared" ref="CN123" si="920">+$F$123*CN122</f>
        <v>0</v>
      </c>
      <c r="CO123" s="24">
        <f t="shared" ref="CO123" si="921">+$F$123*CO122</f>
        <v>0</v>
      </c>
      <c r="CP123" s="24">
        <f t="shared" ref="CP123" si="922">+$F$123*CP122</f>
        <v>0</v>
      </c>
      <c r="CQ123" s="24">
        <f t="shared" ref="CQ123" si="923">+$F$123*CQ122</f>
        <v>0</v>
      </c>
      <c r="CR123" s="24">
        <f t="shared" ref="CR123" si="924">+$F$123*CR122</f>
        <v>0</v>
      </c>
      <c r="CS123" s="24">
        <f t="shared" ref="CS123" si="925">+$F$123*CS122</f>
        <v>0</v>
      </c>
      <c r="CT123" s="24">
        <f t="shared" ref="CT123" si="926">+$F$123*CT122</f>
        <v>0</v>
      </c>
      <c r="CU123" s="24">
        <f t="shared" ref="CU123" si="927">+$F$123*CU122</f>
        <v>0</v>
      </c>
      <c r="CV123" s="24">
        <f t="shared" ref="CV123:EI123" si="928">+$F$123*CV122</f>
        <v>0</v>
      </c>
      <c r="CW123" s="24">
        <f t="shared" si="928"/>
        <v>0</v>
      </c>
      <c r="CX123" s="24">
        <f t="shared" si="928"/>
        <v>0</v>
      </c>
      <c r="CY123" s="24">
        <f t="shared" si="928"/>
        <v>0</v>
      </c>
      <c r="CZ123" s="24">
        <f t="shared" si="928"/>
        <v>0</v>
      </c>
      <c r="DA123" s="24">
        <f t="shared" si="928"/>
        <v>0</v>
      </c>
      <c r="DB123" s="24">
        <f t="shared" si="928"/>
        <v>0</v>
      </c>
      <c r="DC123" s="24">
        <f t="shared" si="928"/>
        <v>0</v>
      </c>
      <c r="DD123" s="24">
        <f t="shared" si="928"/>
        <v>0</v>
      </c>
      <c r="DE123" s="24">
        <f t="shared" si="928"/>
        <v>0</v>
      </c>
      <c r="DF123" s="24">
        <f t="shared" si="928"/>
        <v>0</v>
      </c>
      <c r="DG123" s="24">
        <f t="shared" si="928"/>
        <v>0</v>
      </c>
      <c r="DH123" s="24">
        <f t="shared" si="928"/>
        <v>0</v>
      </c>
      <c r="DI123" s="24">
        <f t="shared" si="928"/>
        <v>0</v>
      </c>
      <c r="DJ123" s="24">
        <f t="shared" si="928"/>
        <v>0</v>
      </c>
      <c r="DK123" s="24">
        <f t="shared" si="928"/>
        <v>0</v>
      </c>
      <c r="DL123" s="24">
        <f t="shared" si="928"/>
        <v>0</v>
      </c>
      <c r="DM123" s="24">
        <f t="shared" si="928"/>
        <v>0</v>
      </c>
      <c r="DN123" s="24">
        <f t="shared" si="928"/>
        <v>0</v>
      </c>
      <c r="DO123" s="24">
        <f t="shared" si="928"/>
        <v>0</v>
      </c>
      <c r="DP123" s="24">
        <f t="shared" si="928"/>
        <v>0</v>
      </c>
      <c r="DQ123" s="24">
        <f t="shared" si="928"/>
        <v>0</v>
      </c>
      <c r="DR123" s="24">
        <f t="shared" si="928"/>
        <v>0</v>
      </c>
      <c r="DS123" s="24">
        <f t="shared" si="928"/>
        <v>0</v>
      </c>
      <c r="DT123" s="24">
        <f t="shared" si="928"/>
        <v>0</v>
      </c>
      <c r="DU123" s="24">
        <f t="shared" si="928"/>
        <v>0</v>
      </c>
      <c r="DV123" s="24">
        <f t="shared" si="928"/>
        <v>0</v>
      </c>
      <c r="DW123" s="24">
        <f t="shared" si="928"/>
        <v>0</v>
      </c>
      <c r="DX123" s="24">
        <f t="shared" si="928"/>
        <v>0</v>
      </c>
      <c r="DY123" s="24">
        <f t="shared" si="928"/>
        <v>0</v>
      </c>
      <c r="DZ123" s="24">
        <f t="shared" si="928"/>
        <v>0</v>
      </c>
      <c r="EA123" s="24">
        <f t="shared" si="928"/>
        <v>0</v>
      </c>
      <c r="EB123" s="24">
        <f t="shared" si="928"/>
        <v>0</v>
      </c>
      <c r="EC123" s="24">
        <f t="shared" si="928"/>
        <v>0</v>
      </c>
      <c r="ED123" s="24">
        <f t="shared" si="928"/>
        <v>0</v>
      </c>
      <c r="EE123" s="24">
        <f t="shared" si="928"/>
        <v>0</v>
      </c>
      <c r="EF123" s="24">
        <f t="shared" si="928"/>
        <v>0</v>
      </c>
      <c r="EG123" s="24">
        <f t="shared" si="928"/>
        <v>0</v>
      </c>
      <c r="EH123" s="24">
        <f t="shared" si="928"/>
        <v>0</v>
      </c>
      <c r="EI123" s="24">
        <f t="shared" si="928"/>
        <v>0</v>
      </c>
      <c r="EJ123" s="24"/>
      <c r="EK123" s="24"/>
      <c r="EL123" s="24"/>
      <c r="EM123" s="1" t="s">
        <v>191</v>
      </c>
    </row>
    <row r="124" spans="4:143" x14ac:dyDescent="0.45">
      <c r="D124" s="1" t="s">
        <v>199</v>
      </c>
      <c r="E124" s="186"/>
      <c r="F124" s="188"/>
      <c r="G124" s="24">
        <f>-IF(G2=Assumptions!$F$2,$G$70,0)</f>
        <v>8489313.7959519476</v>
      </c>
      <c r="H124" s="24">
        <f>-IF(H2=Assumptions!$F$2,$G$70,0)</f>
        <v>0</v>
      </c>
      <c r="I124" s="24">
        <f>-IF(I2=Assumptions!$F$2,$G$70,0)</f>
        <v>0</v>
      </c>
      <c r="J124" s="24">
        <f>-IF(J2=Assumptions!$F$2,$G$70,0)</f>
        <v>0</v>
      </c>
      <c r="K124" s="24">
        <f>-IF(K2=Assumptions!$F$2,$G$70,0)</f>
        <v>0</v>
      </c>
      <c r="L124" s="24">
        <f>-IF(L2=Assumptions!$F$2,$G$70,0)</f>
        <v>0</v>
      </c>
      <c r="M124" s="24">
        <f>-IF(M2=Assumptions!$F$2,$G$70,0)</f>
        <v>0</v>
      </c>
      <c r="N124" s="24">
        <f>-IF(N2=Assumptions!$F$2,$G$70,0)</f>
        <v>0</v>
      </c>
      <c r="O124" s="24">
        <f>-IF(O2=Assumptions!$F$2,$G$70,0)</f>
        <v>0</v>
      </c>
      <c r="P124" s="24">
        <f>-IF(P2=Assumptions!$F$2,$G$70,0)</f>
        <v>0</v>
      </c>
      <c r="Q124" s="24">
        <f>-IF(Q2=Assumptions!$F$2,$G$70,0)</f>
        <v>0</v>
      </c>
      <c r="R124" s="24">
        <f>-IF(R2=Assumptions!$F$2,$G$70,0)</f>
        <v>0</v>
      </c>
      <c r="S124" s="24">
        <f>-IF(S2=Assumptions!$F$2,$G$70,0)</f>
        <v>0</v>
      </c>
      <c r="T124" s="24">
        <f>-IF(T2=Assumptions!$F$2,$G$70,0)</f>
        <v>0</v>
      </c>
      <c r="U124" s="24">
        <f>-IF(U2=Assumptions!$F$2,$G$70,0)</f>
        <v>0</v>
      </c>
      <c r="V124" s="24">
        <f>-IF(V2=Assumptions!$F$2,$G$70,0)</f>
        <v>0</v>
      </c>
      <c r="W124" s="24">
        <f>-IF(W2=Assumptions!$F$2,$G$70,0)</f>
        <v>0</v>
      </c>
      <c r="X124" s="24">
        <f>-IF(X2=Assumptions!$F$2,$G$70,0)</f>
        <v>0</v>
      </c>
      <c r="Y124" s="24">
        <f>-IF(Y2=Assumptions!$F$2,$G$70,0)</f>
        <v>0</v>
      </c>
      <c r="Z124" s="24">
        <f>-IF(Z2=Assumptions!$F$2,$G$70,0)</f>
        <v>0</v>
      </c>
      <c r="AA124" s="24">
        <f>-IF(AA2=Assumptions!$F$2,$G$70,0)</f>
        <v>0</v>
      </c>
      <c r="AB124" s="24">
        <f>-IF(AB2=Assumptions!$F$2,$G$70,0)</f>
        <v>0</v>
      </c>
      <c r="AC124" s="24">
        <f>-IF(AC2=Assumptions!$F$2,$G$70,0)</f>
        <v>0</v>
      </c>
      <c r="AD124" s="24">
        <f>-IF(AD2=Assumptions!$F$2,$G$70,0)</f>
        <v>0</v>
      </c>
      <c r="AE124" s="24">
        <f>-IF(AE2=Assumptions!$F$2,$G$70,0)</f>
        <v>0</v>
      </c>
      <c r="AF124" s="24">
        <f>-IF(AF2=Assumptions!$F$2,$G$70,0)</f>
        <v>0</v>
      </c>
      <c r="AG124" s="24">
        <f>-IF(AG2=Assumptions!$F$2,$G$70,0)</f>
        <v>0</v>
      </c>
      <c r="AH124" s="24">
        <f>-IF(AH2=Assumptions!$F$2,$G$70,0)</f>
        <v>0</v>
      </c>
      <c r="AI124" s="24">
        <f>-IF(AI2=Assumptions!$F$2,$G$70,0)</f>
        <v>0</v>
      </c>
      <c r="AJ124" s="24">
        <f>-IF(AJ2=Assumptions!$F$2,$G$70,0)</f>
        <v>0</v>
      </c>
      <c r="AK124" s="24">
        <f>-IF(AK2=Assumptions!$F$2,$G$70,0)</f>
        <v>0</v>
      </c>
      <c r="AL124" s="24">
        <f>-IF(AL2=Assumptions!$F$2,$G$70,0)</f>
        <v>0</v>
      </c>
      <c r="AM124" s="24">
        <f>-IF(AM2=Assumptions!$F$2,$G$70,0)</f>
        <v>0</v>
      </c>
      <c r="AN124" s="24">
        <f>-IF(AN2=Assumptions!$F$2,$G$70,0)</f>
        <v>0</v>
      </c>
      <c r="AO124" s="24">
        <f>-IF(AO2=Assumptions!$F$2,$G$70,0)</f>
        <v>0</v>
      </c>
      <c r="AP124" s="24">
        <f>-IF(AP2=Assumptions!$F$2,$G$70,0)</f>
        <v>0</v>
      </c>
      <c r="AQ124" s="24">
        <f>-IF(AQ2=Assumptions!$F$2,$G$70,0)</f>
        <v>0</v>
      </c>
      <c r="AR124" s="24">
        <f>-IF(AR2=Assumptions!$F$2,$G$70,0)</f>
        <v>0</v>
      </c>
      <c r="AS124" s="24">
        <f>-IF(AS2=Assumptions!$F$2,$G$70,0)</f>
        <v>0</v>
      </c>
      <c r="AT124" s="24">
        <f>-IF(AT2=Assumptions!$F$2,$G$70,0)</f>
        <v>0</v>
      </c>
      <c r="AU124" s="24">
        <f>-IF(AU2=Assumptions!$F$2,$G$70,0)</f>
        <v>0</v>
      </c>
      <c r="AV124" s="24">
        <f>-IF(AV2=Assumptions!$F$2,$G$70,0)</f>
        <v>0</v>
      </c>
      <c r="AW124" s="24">
        <f>-IF(AW2=Assumptions!$F$2,$G$70,0)</f>
        <v>0</v>
      </c>
      <c r="AX124" s="24">
        <f>-IF(AX2=Assumptions!$F$2,$G$70,0)</f>
        <v>0</v>
      </c>
      <c r="AY124" s="24">
        <f>-IF(AY2=Assumptions!$F$2,$G$70,0)</f>
        <v>0</v>
      </c>
      <c r="AZ124" s="24">
        <f>-IF(AZ2=Assumptions!$F$2,$G$70,0)</f>
        <v>0</v>
      </c>
      <c r="BA124" s="24">
        <f>-IF(BA2=Assumptions!$F$2,$G$70,0)</f>
        <v>0</v>
      </c>
      <c r="BB124" s="24">
        <f>-IF(BB2=Assumptions!$F$2,$G$70,0)</f>
        <v>0</v>
      </c>
      <c r="BC124" s="24">
        <f>-IF(BC2=Assumptions!$F$2,$G$70,0)</f>
        <v>0</v>
      </c>
      <c r="BD124" s="24">
        <f>-IF(BD2=Assumptions!$F$2,$G$70,0)</f>
        <v>0</v>
      </c>
      <c r="BE124" s="24">
        <f>-IF(BE2=Assumptions!$F$2,$G$70,0)</f>
        <v>0</v>
      </c>
      <c r="BF124" s="24">
        <f>-IF(BF2=Assumptions!$F$2,$G$70,0)</f>
        <v>0</v>
      </c>
      <c r="BG124" s="24">
        <f>-IF(BG2=Assumptions!$F$2,$G$70,0)</f>
        <v>0</v>
      </c>
      <c r="BH124" s="24">
        <f>-IF(BH2=Assumptions!$F$2,$G$70,0)</f>
        <v>0</v>
      </c>
      <c r="BI124" s="24">
        <f>-IF(BI2=Assumptions!$F$2,$G$70,0)</f>
        <v>0</v>
      </c>
      <c r="BJ124" s="24">
        <f>-IF(BJ2=Assumptions!$F$2,$G$70,0)</f>
        <v>0</v>
      </c>
      <c r="BK124" s="24">
        <f>-IF(BK2=Assumptions!$F$2,$G$70,0)</f>
        <v>0</v>
      </c>
      <c r="BL124" s="24">
        <f>-IF(BL2=Assumptions!$F$2,$G$70,0)</f>
        <v>0</v>
      </c>
      <c r="BM124" s="24">
        <f>-IF(BM2=Assumptions!$F$2,$G$70,0)</f>
        <v>0</v>
      </c>
      <c r="BN124" s="24">
        <f>-IF(BN2=Assumptions!$F$2,$G$70,0)</f>
        <v>0</v>
      </c>
      <c r="BO124" s="24">
        <f>-IF(BO2=Assumptions!$F$2,$G$70,0)</f>
        <v>0</v>
      </c>
      <c r="BP124" s="24">
        <f>-IF(BP2=Assumptions!$F$2,$G$70,0)</f>
        <v>0</v>
      </c>
      <c r="BQ124" s="24">
        <f>-IF(BQ2=Assumptions!$F$2,$G$70,0)</f>
        <v>0</v>
      </c>
      <c r="BR124" s="24">
        <f>-IF(BR2=Assumptions!$F$2,$G$70,0)</f>
        <v>0</v>
      </c>
      <c r="BS124" s="24">
        <f>-IF(BS2=Assumptions!$F$2,$G$70,0)</f>
        <v>0</v>
      </c>
      <c r="BT124" s="24">
        <f>-IF(BT2=Assumptions!$F$2,$G$70,0)</f>
        <v>0</v>
      </c>
      <c r="BU124" s="24">
        <f>-IF(BU2=Assumptions!$F$2,$G$70,0)</f>
        <v>0</v>
      </c>
      <c r="BV124" s="24">
        <f>-IF(BV2=Assumptions!$F$2,$G$70,0)</f>
        <v>0</v>
      </c>
      <c r="BW124" s="24">
        <f>-IF(BW2=Assumptions!$F$2,$G$70,0)</f>
        <v>0</v>
      </c>
      <c r="BX124" s="24">
        <f>-IF(BX2=Assumptions!$F$2,$G$70,0)</f>
        <v>0</v>
      </c>
      <c r="BY124" s="24">
        <f>-IF(BY2=Assumptions!$F$2,$G$70,0)</f>
        <v>0</v>
      </c>
      <c r="BZ124" s="24">
        <f>-IF(BZ2=Assumptions!$F$2,$G$70,0)</f>
        <v>0</v>
      </c>
      <c r="CA124" s="24">
        <f>-IF(CA2=Assumptions!$F$2,$G$70,0)</f>
        <v>0</v>
      </c>
      <c r="CB124" s="24">
        <f>-IF(CB2=Assumptions!$F$2,$G$70,0)</f>
        <v>0</v>
      </c>
      <c r="CC124" s="24">
        <f>-IF(CC2=Assumptions!$F$2,$G$70,0)</f>
        <v>0</v>
      </c>
      <c r="CD124" s="24">
        <f>-IF(CD2=Assumptions!$F$2,$G$70,0)</f>
        <v>0</v>
      </c>
      <c r="CE124" s="24">
        <f>-IF(CE2=Assumptions!$F$2,$G$70,0)</f>
        <v>0</v>
      </c>
      <c r="CF124" s="24">
        <f>-IF(CF2=Assumptions!$F$2,$G$70,0)</f>
        <v>0</v>
      </c>
      <c r="CG124" s="24">
        <f>-IF(CG2=Assumptions!$F$2,$G$70,0)</f>
        <v>0</v>
      </c>
      <c r="CH124" s="24">
        <f>-IF(CH2=Assumptions!$F$2,$G$70,0)</f>
        <v>0</v>
      </c>
      <c r="CI124" s="24">
        <f>-IF(CI2=Assumptions!$F$2,$G$70,0)</f>
        <v>0</v>
      </c>
      <c r="CJ124" s="24">
        <f>-IF(CJ2=Assumptions!$F$2,$G$70,0)</f>
        <v>0</v>
      </c>
      <c r="CK124" s="24">
        <f>-IF(CK2=Assumptions!$F$2,$G$70,0)</f>
        <v>0</v>
      </c>
      <c r="CL124" s="24">
        <f>-IF(CL2=Assumptions!$F$2,$G$70,0)</f>
        <v>0</v>
      </c>
      <c r="CM124" s="24">
        <f>-IF(CM2=Assumptions!$F$2,$G$70,0)</f>
        <v>0</v>
      </c>
      <c r="CN124" s="24">
        <f>-IF(CN2=Assumptions!$F$2,$G$70,0)</f>
        <v>0</v>
      </c>
      <c r="CO124" s="24">
        <f>-IF(CO2=Assumptions!$F$2,$G$70,0)</f>
        <v>0</v>
      </c>
      <c r="CP124" s="24">
        <f>-IF(CP2=Assumptions!$F$2,$G$70,0)</f>
        <v>0</v>
      </c>
      <c r="CQ124" s="24">
        <f>-IF(CQ2=Assumptions!$F$2,$G$70,0)</f>
        <v>0</v>
      </c>
      <c r="CR124" s="24">
        <f>-IF(CR2=Assumptions!$F$2,$G$70,0)</f>
        <v>0</v>
      </c>
      <c r="CS124" s="24">
        <f>-IF(CS2=Assumptions!$F$2,$G$70,0)</f>
        <v>0</v>
      </c>
      <c r="CT124" s="24">
        <f>-IF(CT2=Assumptions!$F$2,$G$70,0)</f>
        <v>0</v>
      </c>
      <c r="CU124" s="24">
        <f>-IF(CU2=Assumptions!$F$2,$G$70,0)</f>
        <v>0</v>
      </c>
      <c r="CV124" s="24">
        <f>-IF(CV2=Assumptions!$F$2,$G$70,0)</f>
        <v>0</v>
      </c>
      <c r="CW124" s="24">
        <f>-IF(CW2=Assumptions!$F$2,$G$70,0)</f>
        <v>0</v>
      </c>
      <c r="CX124" s="24">
        <f>-IF(CX2=Assumptions!$F$2,$G$70,0)</f>
        <v>0</v>
      </c>
      <c r="CY124" s="24">
        <f>-IF(CY2=Assumptions!$F$2,$G$70,0)</f>
        <v>0</v>
      </c>
      <c r="CZ124" s="24">
        <f>-IF(CZ2=Assumptions!$F$2,$G$70,0)</f>
        <v>0</v>
      </c>
      <c r="DA124" s="24">
        <f>-IF(DA2=Assumptions!$F$2,$G$70,0)</f>
        <v>0</v>
      </c>
      <c r="DB124" s="24">
        <f>-IF(DB2=Assumptions!$F$2,$G$70,0)</f>
        <v>0</v>
      </c>
      <c r="DC124" s="24">
        <f>-IF(DC2=Assumptions!$F$2,$G$70,0)</f>
        <v>0</v>
      </c>
      <c r="DD124" s="24">
        <f>-IF(DD2=Assumptions!$F$2,$G$70,0)</f>
        <v>0</v>
      </c>
      <c r="DE124" s="24">
        <f>-IF(DE2=Assumptions!$F$2,$G$70,0)</f>
        <v>0</v>
      </c>
      <c r="DF124" s="24">
        <f>-IF(DF2=Assumptions!$F$2,$G$70,0)</f>
        <v>0</v>
      </c>
      <c r="DG124" s="24">
        <f>-IF(DG2=Assumptions!$F$2,$G$70,0)</f>
        <v>0</v>
      </c>
      <c r="DH124" s="24">
        <f>-IF(DH2=Assumptions!$F$2,$G$70,0)</f>
        <v>0</v>
      </c>
      <c r="DI124" s="24">
        <f>-IF(DI2=Assumptions!$F$2,$G$70,0)</f>
        <v>0</v>
      </c>
      <c r="DJ124" s="24">
        <f>-IF(DJ2=Assumptions!$F$2,$G$70,0)</f>
        <v>0</v>
      </c>
      <c r="DK124" s="24">
        <f>-IF(DK2=Assumptions!$F$2,$G$70,0)</f>
        <v>0</v>
      </c>
      <c r="DL124" s="24">
        <f>-IF(DL2=Assumptions!$F$2,$G$70,0)</f>
        <v>0</v>
      </c>
      <c r="DM124" s="24">
        <f>-IF(DM2=Assumptions!$F$2,$G$70,0)</f>
        <v>0</v>
      </c>
      <c r="DN124" s="24">
        <f>-IF(DN2=Assumptions!$F$2,$G$70,0)</f>
        <v>0</v>
      </c>
      <c r="DO124" s="24">
        <f>-IF(DO2=Assumptions!$F$2,$G$70,0)</f>
        <v>0</v>
      </c>
      <c r="DP124" s="24">
        <f>-IF(DP2=Assumptions!$F$2,$G$70,0)</f>
        <v>0</v>
      </c>
      <c r="DQ124" s="24">
        <f>-IF(DQ2=Assumptions!$F$2,$G$70,0)</f>
        <v>0</v>
      </c>
      <c r="DR124" s="24">
        <f>-IF(DR2=Assumptions!$F$2,$G$70,0)</f>
        <v>0</v>
      </c>
      <c r="DS124" s="24">
        <f>-IF(DS2=Assumptions!$F$2,$G$70,0)</f>
        <v>0</v>
      </c>
      <c r="DT124" s="24">
        <f>-IF(DT2=Assumptions!$F$2,$G$70,0)</f>
        <v>0</v>
      </c>
      <c r="DU124" s="24">
        <f>-IF(DU2=Assumptions!$F$2,$G$70,0)</f>
        <v>0</v>
      </c>
      <c r="DV124" s="24">
        <f>-IF(DV2=Assumptions!$F$2,$G$70,0)</f>
        <v>0</v>
      </c>
      <c r="DW124" s="24">
        <f>-IF(DW2=Assumptions!$F$2,$G$70,0)</f>
        <v>0</v>
      </c>
      <c r="DX124" s="24">
        <f>-IF(DX2=Assumptions!$F$2,$G$70,0)</f>
        <v>0</v>
      </c>
      <c r="DY124" s="24">
        <f>-IF(DY2=Assumptions!$F$2,$G$70,0)</f>
        <v>0</v>
      </c>
      <c r="DZ124" s="24">
        <f>-IF(DZ2=Assumptions!$F$2,$G$70,0)</f>
        <v>0</v>
      </c>
      <c r="EA124" s="24">
        <f>-IF(EA2=Assumptions!$F$2,$G$70,0)</f>
        <v>0</v>
      </c>
      <c r="EB124" s="24">
        <f>-IF(EB2=Assumptions!$F$2,$G$70,0)</f>
        <v>0</v>
      </c>
      <c r="EC124" s="24">
        <f>-IF(EC2=Assumptions!$F$2,$G$70,0)</f>
        <v>0</v>
      </c>
      <c r="ED124" s="24">
        <f>-IF(ED2=Assumptions!$F$2,$G$70,0)</f>
        <v>0</v>
      </c>
      <c r="EE124" s="24">
        <f>-IF(EE2=Assumptions!$F$2,$G$70,0)</f>
        <v>0</v>
      </c>
      <c r="EF124" s="24">
        <f>-IF(EF2=Assumptions!$F$2,$G$70,0)</f>
        <v>0</v>
      </c>
      <c r="EG124" s="24">
        <f>-IF(EG2=Assumptions!$F$2,$G$70,0)</f>
        <v>0</v>
      </c>
      <c r="EH124" s="24">
        <f>-IF(EH2=Assumptions!$F$2,$G$70,0)</f>
        <v>0</v>
      </c>
      <c r="EI124" s="24">
        <f>-IF(EI2=Assumptions!$F$2,$G$70,0)</f>
        <v>0</v>
      </c>
      <c r="EJ124" s="24"/>
      <c r="EK124" s="24"/>
      <c r="EL124" s="24"/>
      <c r="EM124" s="1" t="s">
        <v>191</v>
      </c>
    </row>
    <row r="125" spans="4:143" x14ac:dyDescent="0.45">
      <c r="D125" s="1" t="s">
        <v>200</v>
      </c>
      <c r="E125" s="186"/>
      <c r="F125" s="188"/>
      <c r="G125" s="24">
        <f>-MIN(MAX(G69-G116,0),G122+G123+G124)</f>
        <v>0</v>
      </c>
      <c r="H125" s="24">
        <f>-MIN(MAX(H69-H116,0),H122+H123+H124)</f>
        <v>0</v>
      </c>
      <c r="I125" s="24">
        <f>-MIN(MAX(I69-I116,0),I122+I123+I124)</f>
        <v>0</v>
      </c>
      <c r="J125" s="24">
        <f>-MIN(MAX(J69-J116,0),J122+J123+J124)</f>
        <v>0</v>
      </c>
      <c r="K125" s="24">
        <f>-MIN(MAX(K69-K116,0),K122+K123+K124)</f>
        <v>0</v>
      </c>
      <c r="L125" s="24">
        <f>-MIN(MAX(L69-L116,0),L122+L123+L124)</f>
        <v>0</v>
      </c>
      <c r="M125" s="24">
        <f>-MIN(MAX(M69-M116,0),M122+M123+M124)</f>
        <v>0</v>
      </c>
      <c r="N125" s="24">
        <f>-MIN(MAX(N69-N116,0),N122+N123+N124)</f>
        <v>0</v>
      </c>
      <c r="O125" s="24">
        <f>-MIN(MAX(O69-O116,0),O122+O123+O124)</f>
        <v>0</v>
      </c>
      <c r="P125" s="24">
        <f>-MIN(MAX(P69-P116,0),P122+P123+P124)</f>
        <v>0</v>
      </c>
      <c r="Q125" s="24">
        <f>-MIN(MAX(Q69-Q116,0),Q122+Q123+Q124)</f>
        <v>0</v>
      </c>
      <c r="R125" s="24">
        <f>-MIN(MAX(R69-R116,0),R122+R123+R124)</f>
        <v>0</v>
      </c>
      <c r="S125" s="24">
        <f>-MIN(MAX(S69-S116,0),S122+S123+S124)</f>
        <v>0</v>
      </c>
      <c r="T125" s="24">
        <f>-MIN(MAX(T69-T116,0),T122+T123+T124)</f>
        <v>0</v>
      </c>
      <c r="U125" s="24">
        <f>-MIN(MAX(U69-U116,0),U122+U123+U124)</f>
        <v>0</v>
      </c>
      <c r="V125" s="24">
        <f>-MIN(MAX(V69-V116,0),V122+V123+V124)</f>
        <v>0</v>
      </c>
      <c r="W125" s="24">
        <f>-MIN(MAX(W69-W116,0),W122+W123+W124)</f>
        <v>0</v>
      </c>
      <c r="X125" s="24">
        <f>-MIN(MAX(X69-X116,0),X122+X123+X124)</f>
        <v>0</v>
      </c>
      <c r="Y125" s="24">
        <f>-MIN(MAX(Y69-Y116,0),Y122+Y123+Y124)</f>
        <v>0</v>
      </c>
      <c r="Z125" s="24">
        <f>-MIN(MAX(Z69-Z116,0),Z122+Z123+Z124)</f>
        <v>0</v>
      </c>
      <c r="AA125" s="24">
        <f>-MIN(MAX(AA69-AA116,0),AA122+AA123+AA124)</f>
        <v>0</v>
      </c>
      <c r="AB125" s="24">
        <f>-MIN(MAX(AB69-AB116,0),AB122+AB123+AB124)</f>
        <v>0</v>
      </c>
      <c r="AC125" s="24">
        <f>-MIN(MAX(AC69-AC116,0),AC122+AC123+AC124)</f>
        <v>0</v>
      </c>
      <c r="AD125" s="24">
        <f>-MIN(MAX(AD69-AD116,0),AD122+AD123+AD124)</f>
        <v>0</v>
      </c>
      <c r="AE125" s="24">
        <f>-MIN(MAX(AE69-AE116,0),AE122+AE123+AE124)</f>
        <v>0</v>
      </c>
      <c r="AF125" s="24">
        <f>-MIN(MAX(AF69-AF116,0),AF122+AF123+AF124)</f>
        <v>-22523.855515408057</v>
      </c>
      <c r="AG125" s="24">
        <f>-MIN(MAX(AG69-AG116,0),AG122+AG123+AG124)</f>
        <v>-25353.182693594768</v>
      </c>
      <c r="AH125" s="24">
        <f>-MIN(MAX(AH69-AH116,0),AH122+AH123+AH124)</f>
        <v>-28193.765577765211</v>
      </c>
      <c r="AI125" s="24">
        <f>-MIN(MAX(AI69-AI116,0),AI122+AI123+AI124)</f>
        <v>-36016.839020373569</v>
      </c>
      <c r="AJ125" s="24">
        <f>-MIN(MAX(AJ69-AJ116,0),AJ122+AJ123+AJ124)</f>
        <v>-43871.720839711386</v>
      </c>
      <c r="AK125" s="24">
        <f>-MIN(MAX(AK69-AK116,0),AK122+AK123+AK124)</f>
        <v>-51758.509269460686</v>
      </c>
      <c r="AL125" s="24">
        <f>-MIN(MAX(AL69-AL116,0),AL122+AL123+AL124)</f>
        <v>-52088.362340348518</v>
      </c>
      <c r="AM125" s="24">
        <f>-MIN(MAX(AM69-AM116,0),AM122+AM123+AM124)</f>
        <v>-52418.929841811558</v>
      </c>
      <c r="AN125" s="24">
        <f>-MIN(MAX(AN69-AN116,0),AN122+AN123+AN124)</f>
        <v>-9462512.4382197857</v>
      </c>
      <c r="AO125" s="24">
        <f>-MIN(MAX(AO69-AO116,0),AO122+AO123+AO124)</f>
        <v>-25375.756998543977</v>
      </c>
      <c r="AP125" s="24">
        <f>-MIN(MAX(AP69-AP116,0),AP122+AP123+AP124)</f>
        <v>-25708.477007572605</v>
      </c>
      <c r="AQ125" s="24">
        <f>-MIN(MAX(AQ69-AQ116,0),AQ122+AQ123+AQ124)</f>
        <v>-26041.917601996643</v>
      </c>
      <c r="AR125" s="24">
        <f>-MIN(MAX(AR69-AR116,0),AR122+AR123+AR124)</f>
        <v>-26376.080328733373</v>
      </c>
      <c r="AS125" s="24">
        <f>-MIN(MAX(AS69-AS116,0),AS122+AS123+AS124)</f>
        <v>-26710.96673799913</v>
      </c>
      <c r="AT125" s="24">
        <f>-MIN(MAX(AT69-AT116,0),AT122+AT123+AT124)</f>
        <v>-27046.578383316111</v>
      </c>
      <c r="AU125" s="24">
        <f>-MIN(MAX(AU69-AU116,0),AU122+AU123+AU124)</f>
        <v>-27382.916821519502</v>
      </c>
      <c r="AV125" s="24">
        <f>-MIN(MAX(AV69-AV116,0),AV122+AV123+AV124)</f>
        <v>-27719.983612764492</v>
      </c>
      <c r="AW125" s="24">
        <f>-MIN(MAX(AW69-AW116,0),AW122+AW123+AW124)</f>
        <v>-28057.780320533111</v>
      </c>
      <c r="AX125" s="24">
        <f>-MIN(MAX(AX69-AX116,0),AX122+AX123+AX124)</f>
        <v>-28396.308511641524</v>
      </c>
      <c r="AY125" s="24">
        <f>-MIN(MAX(AY69-AY116,0),AY122+AY123+AY124)</f>
        <v>-28735.569756247067</v>
      </c>
      <c r="AZ125" s="24">
        <f>-MIN(MAX(AZ69-AZ116,0),AZ122+AZ123+AZ124)</f>
        <v>-29075.565627855285</v>
      </c>
      <c r="BA125" s="24">
        <f>-MIN(MAX(BA69-BA116,0),BA122+BA123+BA124)</f>
        <v>-29416.297703326771</v>
      </c>
      <c r="BB125" s="24">
        <f>-MIN(MAX(BB69-BB116,0),BB122+BB123+BB124)</f>
        <v>-29757.767562885077</v>
      </c>
      <c r="BC125" s="24">
        <f>-MIN(MAX(BC69-BC116,0),BC122+BC123+BC124)</f>
        <v>-30099.976790122921</v>
      </c>
      <c r="BD125" s="24">
        <f>-MIN(MAX(BD69-BD116,0),BD122+BD123+BD124)</f>
        <v>-30442.926972009918</v>
      </c>
      <c r="BE125" s="24">
        <f>-MIN(MAX(BE69-BE116,0),BE122+BE123+BE124)</f>
        <v>-30786.619698899398</v>
      </c>
      <c r="BF125" s="24">
        <f>-MIN(MAX(BF69-BF116,0),BF122+BF123+BF124)</f>
        <v>-31131.056564535909</v>
      </c>
      <c r="BG125" s="24">
        <f>-MIN(MAX(BG69-BG116,0),BG122+BG123+BG124)</f>
        <v>-31476.239166062322</v>
      </c>
      <c r="BH125" s="24">
        <f>-MIN(MAX(BH69-BH116,0),BH122+BH123+BH124)</f>
        <v>-31822.169104026831</v>
      </c>
      <c r="BI125" s="24">
        <f>-MIN(MAX(BI69-BI116,0),BI122+BI123+BI124)</f>
        <v>-32168.84798239042</v>
      </c>
      <c r="BJ125" s="24">
        <f>-MIN(MAX(BJ69-BJ116,0),BJ122+BJ123+BJ124)</f>
        <v>-32516.277408533879</v>
      </c>
      <c r="BK125" s="24">
        <f>-MIN(MAX(BK69-BK116,0),BK122+BK123+BK124)</f>
        <v>-32864.458993265362</v>
      </c>
      <c r="BL125" s="24">
        <f>-MIN(MAX(BL69-BL116,0),BL122+BL123+BL124)</f>
        <v>-33213.39435082733</v>
      </c>
      <c r="BM125" s="24">
        <f>-MIN(MAX(BM69-BM116,0),BM122+BM123+BM124)</f>
        <v>-33563.08509890415</v>
      </c>
      <c r="BN125" s="24">
        <f>-MIN(MAX(BN69-BN116,0),BN122+BN123+BN124)</f>
        <v>-33913.532858629107</v>
      </c>
      <c r="BO125" s="24">
        <f>-MIN(MAX(BO69-BO116,0),BO122+BO123+BO124)</f>
        <v>-693464.83385316748</v>
      </c>
      <c r="BP125" s="24">
        <f>-MIN(MAX(BP69-BP116,0),BP122+BP123+BP124)</f>
        <v>0</v>
      </c>
      <c r="BQ125" s="24">
        <f>-MIN(MAX(BQ69-BQ116,0),BQ122+BQ123+BQ124)</f>
        <v>0</v>
      </c>
      <c r="BR125" s="24">
        <f>-MIN(MAX(BR69-BR116,0),BR122+BR123+BR124)</f>
        <v>0</v>
      </c>
      <c r="BS125" s="24">
        <f>-MIN(MAX(BS69-BS116,0),BS122+BS123+BS124)</f>
        <v>0</v>
      </c>
      <c r="BT125" s="24">
        <f>-MIN(MAX(BT69-BT116,0),BT122+BT123+BT124)</f>
        <v>0</v>
      </c>
      <c r="BU125" s="24">
        <f>-MIN(MAX(BU69-BU116,0),BU122+BU123+BU124)</f>
        <v>0</v>
      </c>
      <c r="BV125" s="24">
        <f>-MIN(MAX(BV69-BV116,0),BV122+BV123+BV124)</f>
        <v>0</v>
      </c>
      <c r="BW125" s="24">
        <f>-MIN(MAX(BW69-BW116,0),BW122+BW123+BW124)</f>
        <v>0</v>
      </c>
      <c r="BX125" s="24">
        <f>-MIN(MAX(BX69-BX116,0),BX122+BX123+BX124)</f>
        <v>0</v>
      </c>
      <c r="BY125" s="24">
        <f>-MIN(MAX(BY69-BY116,0),BY122+BY123+BY124)</f>
        <v>0</v>
      </c>
      <c r="BZ125" s="24">
        <f>-MIN(MAX(BZ69-BZ116,0),BZ122+BZ123+BZ124)</f>
        <v>0</v>
      </c>
      <c r="CA125" s="24">
        <f>-MIN(MAX(CA69-CA116,0),CA122+CA123+CA124)</f>
        <v>0</v>
      </c>
      <c r="CB125" s="24">
        <f>-MIN(MAX(CB69-CB116,0),CB122+CB123+CB124)</f>
        <v>0</v>
      </c>
      <c r="CC125" s="24">
        <f>-MIN(MAX(CC69-CC116,0),CC122+CC123+CC124)</f>
        <v>0</v>
      </c>
      <c r="CD125" s="24">
        <f>-MIN(MAX(CD69-CD116,0),CD122+CD123+CD124)</f>
        <v>0</v>
      </c>
      <c r="CE125" s="24">
        <f>-MIN(MAX(CE69-CE116,0),CE122+CE123+CE124)</f>
        <v>0</v>
      </c>
      <c r="CF125" s="24">
        <f>-MIN(MAX(CF69-CF116,0),CF122+CF123+CF124)</f>
        <v>0</v>
      </c>
      <c r="CG125" s="24">
        <f>-MIN(MAX(CG69-CG116,0),CG122+CG123+CG124)</f>
        <v>0</v>
      </c>
      <c r="CH125" s="24">
        <f>-MIN(MAX(CH69-CH116,0),CH122+CH123+CH124)</f>
        <v>0</v>
      </c>
      <c r="CI125" s="24">
        <f>-MIN(MAX(CI69-CI116,0),CI122+CI123+CI124)</f>
        <v>0</v>
      </c>
      <c r="CJ125" s="24">
        <f>-MIN(MAX(CJ69-CJ116,0),CJ122+CJ123+CJ124)</f>
        <v>0</v>
      </c>
      <c r="CK125" s="24">
        <f>-MIN(MAX(CK69-CK116,0),CK122+CK123+CK124)</f>
        <v>0</v>
      </c>
      <c r="CL125" s="24">
        <f>-MIN(MAX(CL69-CL116,0),CL122+CL123+CL124)</f>
        <v>0</v>
      </c>
      <c r="CM125" s="24">
        <f>-MIN(MAX(CM69-CM116,0),CM122+CM123+CM124)</f>
        <v>0</v>
      </c>
      <c r="CN125" s="24">
        <f>-MIN(MAX(CN69-CN116,0),CN122+CN123+CN124)</f>
        <v>0</v>
      </c>
      <c r="CO125" s="24">
        <f>-MIN(MAX(CO69-CO116,0),CO122+CO123+CO124)</f>
        <v>0</v>
      </c>
      <c r="CP125" s="24">
        <f>-MIN(MAX(CP69-CP116,0),CP122+CP123+CP124)</f>
        <v>0</v>
      </c>
      <c r="CQ125" s="24">
        <f>-MIN(MAX(CQ69-CQ116,0),CQ122+CQ123+CQ124)</f>
        <v>0</v>
      </c>
      <c r="CR125" s="24">
        <f>-MIN(MAX(CR69-CR116,0),CR122+CR123+CR124)</f>
        <v>0</v>
      </c>
      <c r="CS125" s="24">
        <f>-MIN(MAX(CS69-CS116,0),CS122+CS123+CS124)</f>
        <v>0</v>
      </c>
      <c r="CT125" s="24">
        <f>-MIN(MAX(CT69-CT116,0),CT122+CT123+CT124)</f>
        <v>0</v>
      </c>
      <c r="CU125" s="24">
        <f>-MIN(MAX(CU69-CU116,0),CU122+CU123+CU124)</f>
        <v>0</v>
      </c>
      <c r="CV125" s="24">
        <f>-MIN(MAX(CV69-CV116,0),CV122+CV123+CV124)</f>
        <v>0</v>
      </c>
      <c r="CW125" s="24">
        <f>-MIN(MAX(CW69-CW116,0),CW122+CW123+CW124)</f>
        <v>0</v>
      </c>
      <c r="CX125" s="24">
        <f>-MIN(MAX(CX69-CX116,0),CX122+CX123+CX124)</f>
        <v>0</v>
      </c>
      <c r="CY125" s="24">
        <f>-MIN(MAX(CY69-CY116,0),CY122+CY123+CY124)</f>
        <v>0</v>
      </c>
      <c r="CZ125" s="24">
        <f>-MIN(MAX(CZ69-CZ116,0),CZ122+CZ123+CZ124)</f>
        <v>0</v>
      </c>
      <c r="DA125" s="24">
        <f>-MIN(MAX(DA69-DA116,0),DA122+DA123+DA124)</f>
        <v>0</v>
      </c>
      <c r="DB125" s="24">
        <f>-MIN(MAX(DB69-DB116,0),DB122+DB123+DB124)</f>
        <v>0</v>
      </c>
      <c r="DC125" s="24">
        <f>-MIN(MAX(DC69-DC116,0),DC122+DC123+DC124)</f>
        <v>0</v>
      </c>
      <c r="DD125" s="24">
        <f>-MIN(MAX(DD69-DD116,0),DD122+DD123+DD124)</f>
        <v>0</v>
      </c>
      <c r="DE125" s="24">
        <f>-MIN(MAX(DE69-DE116,0),DE122+DE123+DE124)</f>
        <v>0</v>
      </c>
      <c r="DF125" s="24">
        <f>-MIN(MAX(DF69-DF116,0),DF122+DF123+DF124)</f>
        <v>0</v>
      </c>
      <c r="DG125" s="24">
        <f>-MIN(MAX(DG69-DG116,0),DG122+DG123+DG124)</f>
        <v>0</v>
      </c>
      <c r="DH125" s="24">
        <f>-MIN(MAX(DH69-DH116,0),DH122+DH123+DH124)</f>
        <v>0</v>
      </c>
      <c r="DI125" s="24">
        <f>-MIN(MAX(DI69-DI116,0),DI122+DI123+DI124)</f>
        <v>0</v>
      </c>
      <c r="DJ125" s="24">
        <f>-MIN(MAX(DJ69-DJ116,0),DJ122+DJ123+DJ124)</f>
        <v>0</v>
      </c>
      <c r="DK125" s="24">
        <f>-MIN(MAX(DK69-DK116,0),DK122+DK123+DK124)</f>
        <v>0</v>
      </c>
      <c r="DL125" s="24">
        <f>-MIN(MAX(DL69-DL116,0),DL122+DL123+DL124)</f>
        <v>0</v>
      </c>
      <c r="DM125" s="24">
        <f>-MIN(MAX(DM69-DM116,0),DM122+DM123+DM124)</f>
        <v>0</v>
      </c>
      <c r="DN125" s="24">
        <f>-MIN(MAX(DN69-DN116,0),DN122+DN123+DN124)</f>
        <v>0</v>
      </c>
      <c r="DO125" s="24">
        <f>-MIN(MAX(DO69-DO116,0),DO122+DO123+DO124)</f>
        <v>0</v>
      </c>
      <c r="DP125" s="24">
        <f>-MIN(MAX(DP69-DP116,0),DP122+DP123+DP124)</f>
        <v>0</v>
      </c>
      <c r="DQ125" s="24">
        <f>-MIN(MAX(DQ69-DQ116,0),DQ122+DQ123+DQ124)</f>
        <v>0</v>
      </c>
      <c r="DR125" s="24">
        <f>-MIN(MAX(DR69-DR116,0),DR122+DR123+DR124)</f>
        <v>0</v>
      </c>
      <c r="DS125" s="24">
        <f>-MIN(MAX(DS69-DS116,0),DS122+DS123+DS124)</f>
        <v>0</v>
      </c>
      <c r="DT125" s="24">
        <f>-MIN(MAX(DT69-DT116,0),DT122+DT123+DT124)</f>
        <v>0</v>
      </c>
      <c r="DU125" s="24">
        <f>-MIN(MAX(DU69-DU116,0),DU122+DU123+DU124)</f>
        <v>0</v>
      </c>
      <c r="DV125" s="24">
        <f>-MIN(MAX(DV69-DV116,0),DV122+DV123+DV124)</f>
        <v>0</v>
      </c>
      <c r="DW125" s="24">
        <f>-MIN(MAX(DW69-DW116,0),DW122+DW123+DW124)</f>
        <v>0</v>
      </c>
      <c r="DX125" s="24">
        <f>-MIN(MAX(DX69-DX116,0),DX122+DX123+DX124)</f>
        <v>0</v>
      </c>
      <c r="DY125" s="24">
        <f>-MIN(MAX(DY69-DY116,0),DY122+DY123+DY124)</f>
        <v>0</v>
      </c>
      <c r="DZ125" s="24">
        <f>-MIN(MAX(DZ69-DZ116,0),DZ122+DZ123+DZ124)</f>
        <v>0</v>
      </c>
      <c r="EA125" s="24">
        <f>-MIN(MAX(EA69-EA116,0),EA122+EA123+EA124)</f>
        <v>0</v>
      </c>
      <c r="EB125" s="24">
        <f>-MIN(MAX(EB69-EB116,0),EB122+EB123+EB124)</f>
        <v>0</v>
      </c>
      <c r="EC125" s="24">
        <f>-MIN(MAX(EC69-EC116,0),EC122+EC123+EC124)</f>
        <v>0</v>
      </c>
      <c r="ED125" s="24">
        <f>-MIN(MAX(ED69-ED116,0),ED122+ED123+ED124)</f>
        <v>0</v>
      </c>
      <c r="EE125" s="24">
        <f>-MIN(MAX(EE69-EE116,0),EE122+EE123+EE124)</f>
        <v>0</v>
      </c>
      <c r="EF125" s="24">
        <f>-MIN(MAX(EF69-EF116,0),EF122+EF123+EF124)</f>
        <v>0</v>
      </c>
      <c r="EG125" s="24">
        <f>-MIN(MAX(EG69-EG116,0),EG122+EG123+EG124)</f>
        <v>0</v>
      </c>
      <c r="EH125" s="24">
        <f>-MIN(MAX(EH69-EH116,0),EH122+EH123+EH124)</f>
        <v>0</v>
      </c>
      <c r="EI125" s="24">
        <f>-MIN(MAX(EI69-EI116,0),EI122+EI123+EI124)</f>
        <v>0</v>
      </c>
      <c r="EJ125" s="24"/>
      <c r="EK125" s="24"/>
      <c r="EL125" s="24"/>
      <c r="EM125" s="1" t="s">
        <v>191</v>
      </c>
    </row>
    <row r="126" spans="4:143" x14ac:dyDescent="0.45">
      <c r="D126" s="1" t="s">
        <v>201</v>
      </c>
      <c r="E126" s="188"/>
      <c r="F126" s="188"/>
      <c r="G126" s="24">
        <f>SUM(G122:G125)</f>
        <v>8489313.7959519476</v>
      </c>
      <c r="H126" s="24">
        <f>SUM(H122:H125)</f>
        <v>8557008.776305899</v>
      </c>
      <c r="I126" s="24">
        <f t="shared" ref="I126:T126" si="929">SUM(I122:I125)</f>
        <v>8625243.5659395251</v>
      </c>
      <c r="J126" s="24">
        <f t="shared" si="929"/>
        <v>8694022.4693678264</v>
      </c>
      <c r="K126" s="24">
        <f t="shared" si="929"/>
        <v>8763349.8254306093</v>
      </c>
      <c r="L126" s="24">
        <f t="shared" si="929"/>
        <v>8833230.0075662024</v>
      </c>
      <c r="M126" s="24">
        <f t="shared" si="929"/>
        <v>8903667.4240873419</v>
      </c>
      <c r="N126" s="24">
        <f t="shared" si="929"/>
        <v>8974666.5184592698</v>
      </c>
      <c r="O126" s="24">
        <f t="shared" si="929"/>
        <v>9046231.7695800457</v>
      </c>
      <c r="P126" s="24">
        <f t="shared" si="929"/>
        <v>9118367.6920630876</v>
      </c>
      <c r="Q126" s="24">
        <f t="shared" si="929"/>
        <v>9191078.8365219776</v>
      </c>
      <c r="R126" s="24">
        <f t="shared" si="929"/>
        <v>9264369.7898575291</v>
      </c>
      <c r="S126" s="24">
        <f t="shared" si="929"/>
        <v>9338245.1755471472</v>
      </c>
      <c r="T126" s="24">
        <f t="shared" si="929"/>
        <v>9412709.6539364941</v>
      </c>
      <c r="U126" s="24">
        <f t="shared" ref="U126" si="930">SUM(U122:U125)</f>
        <v>9487767.9225334823</v>
      </c>
      <c r="V126" s="24">
        <f t="shared" ref="V126" si="931">SUM(V122:V125)</f>
        <v>9563424.7163046133</v>
      </c>
      <c r="W126" s="24">
        <f t="shared" ref="W126" si="932">SUM(W122:W125)</f>
        <v>9639684.8079736754</v>
      </c>
      <c r="X126" s="24">
        <f t="shared" ref="X126" si="933">SUM(X122:X125)</f>
        <v>9716553.0083228275</v>
      </c>
      <c r="Y126" s="24">
        <f t="shared" ref="Y126" si="934">SUM(Y122:Y125)</f>
        <v>9794034.1664960813</v>
      </c>
      <c r="Z126" s="24">
        <f t="shared" ref="Z126" si="935">SUM(Z122:Z125)</f>
        <v>9872133.1703052018</v>
      </c>
      <c r="AA126" s="24">
        <f t="shared" ref="AA126" si="936">SUM(AA122:AA125)</f>
        <v>9950854.9465380535</v>
      </c>
      <c r="AB126" s="24">
        <f t="shared" ref="AB126" si="937">SUM(AB122:AB125)</f>
        <v>10030204.461269399</v>
      </c>
      <c r="AC126" s="24">
        <f t="shared" ref="AC126" si="938">SUM(AC122:AC125)</f>
        <v>10110186.720174178</v>
      </c>
      <c r="AD126" s="24">
        <f t="shared" ref="AD126" si="939">SUM(AD122:AD125)</f>
        <v>10190806.768843286</v>
      </c>
      <c r="AE126" s="24">
        <f t="shared" ref="AE126" si="940">SUM(AE122:AE125)</f>
        <v>10272069.693101864</v>
      </c>
      <c r="AF126" s="24">
        <f t="shared" ref="AF126" si="941">SUM(AF122:AF125)</f>
        <v>10331456.763814738</v>
      </c>
      <c r="AG126" s="24">
        <f t="shared" ref="AG126" si="942">SUM(AG122:AG125)</f>
        <v>10388488.068190949</v>
      </c>
      <c r="AH126" s="24">
        <f t="shared" ref="AH126" si="943">SUM(AH122:AH125)</f>
        <v>10443133.565312929</v>
      </c>
      <c r="AI126" s="24">
        <f t="shared" ref="AI126" si="944">SUM(AI122:AI125)</f>
        <v>10490391.73986016</v>
      </c>
      <c r="AJ126" s="24">
        <f t="shared" ref="AJ126" si="945">SUM(AJ122:AJ125)</f>
        <v>10530171.875908306</v>
      </c>
      <c r="AK126" s="24">
        <f t="shared" ref="AK126" si="946">SUM(AK122:AK125)</f>
        <v>10562382.43591783</v>
      </c>
      <c r="AL126" s="24">
        <f t="shared" ref="AL126" si="947">SUM(AL122:AL125)</f>
        <v>10594519.994385278</v>
      </c>
      <c r="AM126" s="24">
        <f t="shared" ref="AM126" si="948">SUM(AM122:AM125)</f>
        <v>10626583.254755523</v>
      </c>
      <c r="AN126" s="24">
        <f t="shared" ref="AN126" si="949">SUM(AN122:AN125)</f>
        <v>1248808.6836885959</v>
      </c>
      <c r="AO126" s="24">
        <f t="shared" ref="AO126" si="950">SUM(AO122:AO125)</f>
        <v>1233391.1025026194</v>
      </c>
      <c r="AP126" s="24">
        <f t="shared" ref="AP126" si="951">SUM(AP122:AP125)</f>
        <v>1217517.8593501633</v>
      </c>
      <c r="AQ126" s="24">
        <f t="shared" ref="AQ126" si="952">SUM(AQ122:AQ125)</f>
        <v>1201184.6001333231</v>
      </c>
      <c r="AR126" s="24">
        <f t="shared" ref="AR126" si="953">SUM(AR122:AR125)</f>
        <v>1184386.9344870895</v>
      </c>
      <c r="AS126" s="24">
        <f t="shared" ref="AS126" si="954">SUM(AS122:AS125)</f>
        <v>1167120.4354868494</v>
      </c>
      <c r="AT126" s="24">
        <f t="shared" ref="AT126" si="955">SUM(AT122:AT125)</f>
        <v>1149380.6393535489</v>
      </c>
      <c r="AU126" s="24">
        <f t="shared" ref="AU126" si="956">SUM(AU122:AU125)</f>
        <v>1131163.0451564977</v>
      </c>
      <c r="AV126" s="24">
        <f t="shared" ref="AV126" si="957">SUM(AV122:AV125)</f>
        <v>1112463.1145137977</v>
      </c>
      <c r="AW126" s="24">
        <f t="shared" ref="AW126" si="958">SUM(AW122:AW125)</f>
        <v>1093276.2712903733</v>
      </c>
      <c r="AX126" s="24">
        <f t="shared" ref="AX126" si="959">SUM(AX122:AX125)</f>
        <v>1073597.9012935895</v>
      </c>
      <c r="AY126" s="24">
        <f t="shared" ref="AY126" si="960">SUM(AY122:AY125)</f>
        <v>1053423.3519664339</v>
      </c>
      <c r="AZ126" s="24">
        <f t="shared" ref="AZ126" si="961">SUM(AZ122:AZ125)</f>
        <v>1032747.9320782456</v>
      </c>
      <c r="BA126" s="24">
        <f t="shared" ref="BA126" si="962">SUM(BA122:BA125)</f>
        <v>1011566.9114129706</v>
      </c>
      <c r="BB126" s="24">
        <f t="shared" ref="BB126" si="963">SUM(BB122:BB125)</f>
        <v>989875.52045492502</v>
      </c>
      <c r="BC126" s="24">
        <f t="shared" ref="BC126" si="964">SUM(BC122:BC125)</f>
        <v>967668.95007204392</v>
      </c>
      <c r="BD126" s="24">
        <f t="shared" ref="BD126" si="965">SUM(BD122:BD125)</f>
        <v>944942.35119659838</v>
      </c>
      <c r="BE126" s="24">
        <f t="shared" ref="BE126" si="966">SUM(BE122:BE125)</f>
        <v>921690.83450335916</v>
      </c>
      <c r="BF126" s="24">
        <f t="shared" ref="BF126" si="967">SUM(BF122:BF125)</f>
        <v>897909.47008518653</v>
      </c>
      <c r="BG126" s="24">
        <f t="shared" ref="BG126" si="968">SUM(BG122:BG125)</f>
        <v>873593.287126026</v>
      </c>
      <c r="BH126" s="24">
        <f t="shared" ref="BH126" si="969">SUM(BH122:BH125)</f>
        <v>848737.27357128973</v>
      </c>
      <c r="BI126" s="24">
        <f t="shared" ref="BI126" si="970">SUM(BI122:BI125)</f>
        <v>823336.37579560163</v>
      </c>
      <c r="BJ126" s="24">
        <f t="shared" ref="BJ126" si="971">SUM(BJ122:BJ125)</f>
        <v>797385.49826788658</v>
      </c>
      <c r="BK126" s="24">
        <f t="shared" ref="BK126" si="972">SUM(BK122:BK125)</f>
        <v>770879.5032137807</v>
      </c>
      <c r="BL126" s="24">
        <f t="shared" ref="BL126" si="973">SUM(BL122:BL125)</f>
        <v>743813.21027534362</v>
      </c>
      <c r="BM126" s="24">
        <f t="shared" ref="BM126" si="974">SUM(BM122:BM125)</f>
        <v>716181.39616804873</v>
      </c>
      <c r="BN126" s="24">
        <f t="shared" ref="BN126" si="975">SUM(BN122:BN125)</f>
        <v>687978.794335032</v>
      </c>
      <c r="BO126" s="24">
        <f t="shared" ref="BO126" si="976">SUM(BO122:BO125)</f>
        <v>0</v>
      </c>
      <c r="BP126" s="24">
        <f t="shared" ref="BP126" si="977">SUM(BP122:BP125)</f>
        <v>0</v>
      </c>
      <c r="BQ126" s="24">
        <f t="shared" ref="BQ126" si="978">SUM(BQ122:BQ125)</f>
        <v>0</v>
      </c>
      <c r="BR126" s="24">
        <f t="shared" ref="BR126" si="979">SUM(BR122:BR125)</f>
        <v>0</v>
      </c>
      <c r="BS126" s="24">
        <f t="shared" ref="BS126" si="980">SUM(BS122:BS125)</f>
        <v>0</v>
      </c>
      <c r="BT126" s="24">
        <f t="shared" ref="BT126" si="981">SUM(BT122:BT125)</f>
        <v>0</v>
      </c>
      <c r="BU126" s="24">
        <f t="shared" ref="BU126" si="982">SUM(BU122:BU125)</f>
        <v>0</v>
      </c>
      <c r="BV126" s="24">
        <f t="shared" ref="BV126" si="983">SUM(BV122:BV125)</f>
        <v>0</v>
      </c>
      <c r="BW126" s="24">
        <f t="shared" ref="BW126" si="984">SUM(BW122:BW125)</f>
        <v>0</v>
      </c>
      <c r="BX126" s="24">
        <f t="shared" ref="BX126" si="985">SUM(BX122:BX125)</f>
        <v>0</v>
      </c>
      <c r="BY126" s="24">
        <f t="shared" ref="BY126" si="986">SUM(BY122:BY125)</f>
        <v>0</v>
      </c>
      <c r="BZ126" s="24">
        <f t="shared" ref="BZ126" si="987">SUM(BZ122:BZ125)</f>
        <v>0</v>
      </c>
      <c r="CA126" s="24">
        <f t="shared" ref="CA126" si="988">SUM(CA122:CA125)</f>
        <v>0</v>
      </c>
      <c r="CB126" s="24">
        <f t="shared" ref="CB126" si="989">SUM(CB122:CB125)</f>
        <v>0</v>
      </c>
      <c r="CC126" s="24">
        <f t="shared" ref="CC126" si="990">SUM(CC122:CC125)</f>
        <v>0</v>
      </c>
      <c r="CD126" s="24">
        <f t="shared" ref="CD126" si="991">SUM(CD122:CD125)</f>
        <v>0</v>
      </c>
      <c r="CE126" s="24">
        <f t="shared" ref="CE126" si="992">SUM(CE122:CE125)</f>
        <v>0</v>
      </c>
      <c r="CF126" s="24">
        <f t="shared" ref="CF126" si="993">SUM(CF122:CF125)</f>
        <v>0</v>
      </c>
      <c r="CG126" s="24">
        <f t="shared" ref="CG126" si="994">SUM(CG122:CG125)</f>
        <v>0</v>
      </c>
      <c r="CH126" s="24">
        <f t="shared" ref="CH126" si="995">SUM(CH122:CH125)</f>
        <v>0</v>
      </c>
      <c r="CI126" s="24">
        <f t="shared" ref="CI126" si="996">SUM(CI122:CI125)</f>
        <v>0</v>
      </c>
      <c r="CJ126" s="24">
        <f t="shared" ref="CJ126" si="997">SUM(CJ122:CJ125)</f>
        <v>0</v>
      </c>
      <c r="CK126" s="24">
        <f t="shared" ref="CK126" si="998">SUM(CK122:CK125)</f>
        <v>0</v>
      </c>
      <c r="CL126" s="24">
        <f t="shared" ref="CL126" si="999">SUM(CL122:CL125)</f>
        <v>0</v>
      </c>
      <c r="CM126" s="24">
        <f t="shared" ref="CM126" si="1000">SUM(CM122:CM125)</f>
        <v>0</v>
      </c>
      <c r="CN126" s="24">
        <f t="shared" ref="CN126" si="1001">SUM(CN122:CN125)</f>
        <v>0</v>
      </c>
      <c r="CO126" s="24">
        <f t="shared" ref="CO126" si="1002">SUM(CO122:CO125)</f>
        <v>0</v>
      </c>
      <c r="CP126" s="24">
        <f t="shared" ref="CP126" si="1003">SUM(CP122:CP125)</f>
        <v>0</v>
      </c>
      <c r="CQ126" s="24">
        <f t="shared" ref="CQ126" si="1004">SUM(CQ122:CQ125)</f>
        <v>0</v>
      </c>
      <c r="CR126" s="24">
        <f t="shared" ref="CR126" si="1005">SUM(CR122:CR125)</f>
        <v>0</v>
      </c>
      <c r="CS126" s="24">
        <f t="shared" ref="CS126" si="1006">SUM(CS122:CS125)</f>
        <v>0</v>
      </c>
      <c r="CT126" s="24">
        <f t="shared" ref="CT126" si="1007">SUM(CT122:CT125)</f>
        <v>0</v>
      </c>
      <c r="CU126" s="24">
        <f t="shared" ref="CU126" si="1008">SUM(CU122:CU125)</f>
        <v>0</v>
      </c>
      <c r="CV126" s="24">
        <f t="shared" ref="CV126:EI126" si="1009">SUM(CV122:CV125)</f>
        <v>0</v>
      </c>
      <c r="CW126" s="24">
        <f t="shared" si="1009"/>
        <v>0</v>
      </c>
      <c r="CX126" s="24">
        <f t="shared" si="1009"/>
        <v>0</v>
      </c>
      <c r="CY126" s="24">
        <f t="shared" si="1009"/>
        <v>0</v>
      </c>
      <c r="CZ126" s="24">
        <f t="shared" si="1009"/>
        <v>0</v>
      </c>
      <c r="DA126" s="24">
        <f t="shared" si="1009"/>
        <v>0</v>
      </c>
      <c r="DB126" s="24">
        <f t="shared" si="1009"/>
        <v>0</v>
      </c>
      <c r="DC126" s="24">
        <f t="shared" si="1009"/>
        <v>0</v>
      </c>
      <c r="DD126" s="24">
        <f t="shared" si="1009"/>
        <v>0</v>
      </c>
      <c r="DE126" s="24">
        <f t="shared" si="1009"/>
        <v>0</v>
      </c>
      <c r="DF126" s="24">
        <f t="shared" si="1009"/>
        <v>0</v>
      </c>
      <c r="DG126" s="24">
        <f t="shared" si="1009"/>
        <v>0</v>
      </c>
      <c r="DH126" s="24">
        <f t="shared" si="1009"/>
        <v>0</v>
      </c>
      <c r="DI126" s="24">
        <f t="shared" si="1009"/>
        <v>0</v>
      </c>
      <c r="DJ126" s="24">
        <f t="shared" si="1009"/>
        <v>0</v>
      </c>
      <c r="DK126" s="24">
        <f t="shared" si="1009"/>
        <v>0</v>
      </c>
      <c r="DL126" s="24">
        <f t="shared" si="1009"/>
        <v>0</v>
      </c>
      <c r="DM126" s="24">
        <f t="shared" si="1009"/>
        <v>0</v>
      </c>
      <c r="DN126" s="24">
        <f t="shared" si="1009"/>
        <v>0</v>
      </c>
      <c r="DO126" s="24">
        <f t="shared" si="1009"/>
        <v>0</v>
      </c>
      <c r="DP126" s="24">
        <f t="shared" si="1009"/>
        <v>0</v>
      </c>
      <c r="DQ126" s="24">
        <f t="shared" si="1009"/>
        <v>0</v>
      </c>
      <c r="DR126" s="24">
        <f t="shared" si="1009"/>
        <v>0</v>
      </c>
      <c r="DS126" s="24">
        <f t="shared" si="1009"/>
        <v>0</v>
      </c>
      <c r="DT126" s="24">
        <f t="shared" si="1009"/>
        <v>0</v>
      </c>
      <c r="DU126" s="24">
        <f t="shared" si="1009"/>
        <v>0</v>
      </c>
      <c r="DV126" s="24">
        <f t="shared" si="1009"/>
        <v>0</v>
      </c>
      <c r="DW126" s="24">
        <f t="shared" si="1009"/>
        <v>0</v>
      </c>
      <c r="DX126" s="24">
        <f t="shared" si="1009"/>
        <v>0</v>
      </c>
      <c r="DY126" s="24">
        <f t="shared" si="1009"/>
        <v>0</v>
      </c>
      <c r="DZ126" s="24">
        <f t="shared" si="1009"/>
        <v>0</v>
      </c>
      <c r="EA126" s="24">
        <f t="shared" si="1009"/>
        <v>0</v>
      </c>
      <c r="EB126" s="24">
        <f t="shared" si="1009"/>
        <v>0</v>
      </c>
      <c r="EC126" s="24">
        <f t="shared" si="1009"/>
        <v>0</v>
      </c>
      <c r="ED126" s="24">
        <f t="shared" si="1009"/>
        <v>0</v>
      </c>
      <c r="EE126" s="24">
        <f t="shared" si="1009"/>
        <v>0</v>
      </c>
      <c r="EF126" s="24">
        <f t="shared" si="1009"/>
        <v>0</v>
      </c>
      <c r="EG126" s="24">
        <f t="shared" si="1009"/>
        <v>0</v>
      </c>
      <c r="EH126" s="24">
        <f t="shared" si="1009"/>
        <v>0</v>
      </c>
      <c r="EI126" s="24">
        <f t="shared" si="1009"/>
        <v>0</v>
      </c>
      <c r="EJ126" s="24"/>
      <c r="EK126" s="24"/>
      <c r="EL126" s="24"/>
      <c r="EM126" s="1" t="s">
        <v>191</v>
      </c>
    </row>
    <row r="127" spans="4:143" s="83" customFormat="1" x14ac:dyDescent="0.45">
      <c r="D127" s="83" t="s">
        <v>202</v>
      </c>
      <c r="E127" s="186">
        <f>E123</f>
        <v>0.1</v>
      </c>
      <c r="F127" s="187">
        <f>XIRR($G127:$EI127,$G$2:$EI$2)</f>
        <v>9.9876314401626587E-2</v>
      </c>
      <c r="G127" s="185">
        <f>-G124-G125</f>
        <v>-8489313.7959519476</v>
      </c>
      <c r="H127" s="185">
        <f t="shared" ref="H127:BS127" si="1010">-H124-H125</f>
        <v>0</v>
      </c>
      <c r="I127" s="185">
        <f t="shared" si="1010"/>
        <v>0</v>
      </c>
      <c r="J127" s="185">
        <f t="shared" si="1010"/>
        <v>0</v>
      </c>
      <c r="K127" s="185">
        <f t="shared" si="1010"/>
        <v>0</v>
      </c>
      <c r="L127" s="185">
        <f t="shared" si="1010"/>
        <v>0</v>
      </c>
      <c r="M127" s="185">
        <f t="shared" si="1010"/>
        <v>0</v>
      </c>
      <c r="N127" s="185">
        <f t="shared" si="1010"/>
        <v>0</v>
      </c>
      <c r="O127" s="185">
        <f t="shared" si="1010"/>
        <v>0</v>
      </c>
      <c r="P127" s="185">
        <f t="shared" si="1010"/>
        <v>0</v>
      </c>
      <c r="Q127" s="185">
        <f t="shared" si="1010"/>
        <v>0</v>
      </c>
      <c r="R127" s="185">
        <f t="shared" si="1010"/>
        <v>0</v>
      </c>
      <c r="S127" s="185">
        <f t="shared" si="1010"/>
        <v>0</v>
      </c>
      <c r="T127" s="185">
        <f t="shared" si="1010"/>
        <v>0</v>
      </c>
      <c r="U127" s="185">
        <f t="shared" si="1010"/>
        <v>0</v>
      </c>
      <c r="V127" s="185">
        <f t="shared" si="1010"/>
        <v>0</v>
      </c>
      <c r="W127" s="185">
        <f t="shared" si="1010"/>
        <v>0</v>
      </c>
      <c r="X127" s="185">
        <f t="shared" si="1010"/>
        <v>0</v>
      </c>
      <c r="Y127" s="185">
        <f t="shared" si="1010"/>
        <v>0</v>
      </c>
      <c r="Z127" s="185">
        <f t="shared" si="1010"/>
        <v>0</v>
      </c>
      <c r="AA127" s="185">
        <f t="shared" si="1010"/>
        <v>0</v>
      </c>
      <c r="AB127" s="185">
        <f t="shared" si="1010"/>
        <v>0</v>
      </c>
      <c r="AC127" s="185">
        <f t="shared" si="1010"/>
        <v>0</v>
      </c>
      <c r="AD127" s="185">
        <f t="shared" si="1010"/>
        <v>0</v>
      </c>
      <c r="AE127" s="185">
        <f t="shared" si="1010"/>
        <v>0</v>
      </c>
      <c r="AF127" s="185">
        <f t="shared" si="1010"/>
        <v>22523.855515408057</v>
      </c>
      <c r="AG127" s="185">
        <f t="shared" si="1010"/>
        <v>25353.182693594768</v>
      </c>
      <c r="AH127" s="185">
        <f t="shared" si="1010"/>
        <v>28193.765577765211</v>
      </c>
      <c r="AI127" s="185">
        <f t="shared" si="1010"/>
        <v>36016.839020373569</v>
      </c>
      <c r="AJ127" s="185">
        <f t="shared" si="1010"/>
        <v>43871.720839711386</v>
      </c>
      <c r="AK127" s="185">
        <f t="shared" si="1010"/>
        <v>51758.509269460686</v>
      </c>
      <c r="AL127" s="185">
        <f t="shared" si="1010"/>
        <v>52088.362340348518</v>
      </c>
      <c r="AM127" s="185">
        <f t="shared" si="1010"/>
        <v>52418.929841811558</v>
      </c>
      <c r="AN127" s="185">
        <f t="shared" si="1010"/>
        <v>9462512.4382197857</v>
      </c>
      <c r="AO127" s="185">
        <f t="shared" si="1010"/>
        <v>25375.756998543977</v>
      </c>
      <c r="AP127" s="185">
        <f t="shared" si="1010"/>
        <v>25708.477007572605</v>
      </c>
      <c r="AQ127" s="185">
        <f t="shared" si="1010"/>
        <v>26041.917601996643</v>
      </c>
      <c r="AR127" s="185">
        <f t="shared" si="1010"/>
        <v>26376.080328733373</v>
      </c>
      <c r="AS127" s="185">
        <f t="shared" si="1010"/>
        <v>26710.96673799913</v>
      </c>
      <c r="AT127" s="185">
        <f t="shared" si="1010"/>
        <v>27046.578383316111</v>
      </c>
      <c r="AU127" s="185">
        <f t="shared" si="1010"/>
        <v>27382.916821519502</v>
      </c>
      <c r="AV127" s="185">
        <f t="shared" si="1010"/>
        <v>27719.983612764492</v>
      </c>
      <c r="AW127" s="185">
        <f t="shared" si="1010"/>
        <v>28057.780320533111</v>
      </c>
      <c r="AX127" s="185">
        <f t="shared" si="1010"/>
        <v>28396.308511641524</v>
      </c>
      <c r="AY127" s="185">
        <f t="shared" si="1010"/>
        <v>28735.569756247067</v>
      </c>
      <c r="AZ127" s="185">
        <f t="shared" si="1010"/>
        <v>29075.565627855285</v>
      </c>
      <c r="BA127" s="185">
        <f t="shared" si="1010"/>
        <v>29416.297703326771</v>
      </c>
      <c r="BB127" s="185">
        <f t="shared" si="1010"/>
        <v>29757.767562885077</v>
      </c>
      <c r="BC127" s="185">
        <f t="shared" si="1010"/>
        <v>30099.976790122921</v>
      </c>
      <c r="BD127" s="185">
        <f t="shared" si="1010"/>
        <v>30442.926972009918</v>
      </c>
      <c r="BE127" s="185">
        <f t="shared" si="1010"/>
        <v>30786.619698899398</v>
      </c>
      <c r="BF127" s="185">
        <f t="shared" si="1010"/>
        <v>31131.056564535909</v>
      </c>
      <c r="BG127" s="185">
        <f t="shared" si="1010"/>
        <v>31476.239166062322</v>
      </c>
      <c r="BH127" s="185">
        <f t="shared" si="1010"/>
        <v>31822.169104026831</v>
      </c>
      <c r="BI127" s="185">
        <f t="shared" si="1010"/>
        <v>32168.84798239042</v>
      </c>
      <c r="BJ127" s="185">
        <f t="shared" si="1010"/>
        <v>32516.277408533879</v>
      </c>
      <c r="BK127" s="185">
        <f t="shared" si="1010"/>
        <v>32864.458993265362</v>
      </c>
      <c r="BL127" s="185">
        <f t="shared" si="1010"/>
        <v>33213.39435082733</v>
      </c>
      <c r="BM127" s="185">
        <f t="shared" si="1010"/>
        <v>33563.08509890415</v>
      </c>
      <c r="BN127" s="185">
        <f t="shared" si="1010"/>
        <v>33913.532858629107</v>
      </c>
      <c r="BO127" s="185">
        <f t="shared" si="1010"/>
        <v>693464.83385316748</v>
      </c>
      <c r="BP127" s="185">
        <f t="shared" si="1010"/>
        <v>0</v>
      </c>
      <c r="BQ127" s="185">
        <f t="shared" si="1010"/>
        <v>0</v>
      </c>
      <c r="BR127" s="185">
        <f t="shared" si="1010"/>
        <v>0</v>
      </c>
      <c r="BS127" s="185">
        <f t="shared" si="1010"/>
        <v>0</v>
      </c>
      <c r="BT127" s="185">
        <f t="shared" ref="BT127:CV127" si="1011">-BT124-BT125</f>
        <v>0</v>
      </c>
      <c r="BU127" s="185">
        <f t="shared" si="1011"/>
        <v>0</v>
      </c>
      <c r="BV127" s="185">
        <f t="shared" si="1011"/>
        <v>0</v>
      </c>
      <c r="BW127" s="185">
        <f t="shared" si="1011"/>
        <v>0</v>
      </c>
      <c r="BX127" s="185">
        <f t="shared" si="1011"/>
        <v>0</v>
      </c>
      <c r="BY127" s="185">
        <f t="shared" si="1011"/>
        <v>0</v>
      </c>
      <c r="BZ127" s="185">
        <f t="shared" si="1011"/>
        <v>0</v>
      </c>
      <c r="CA127" s="185">
        <f t="shared" si="1011"/>
        <v>0</v>
      </c>
      <c r="CB127" s="185">
        <f t="shared" si="1011"/>
        <v>0</v>
      </c>
      <c r="CC127" s="185">
        <f t="shared" si="1011"/>
        <v>0</v>
      </c>
      <c r="CD127" s="185">
        <f t="shared" si="1011"/>
        <v>0</v>
      </c>
      <c r="CE127" s="185">
        <f t="shared" si="1011"/>
        <v>0</v>
      </c>
      <c r="CF127" s="185">
        <f t="shared" si="1011"/>
        <v>0</v>
      </c>
      <c r="CG127" s="185">
        <f t="shared" si="1011"/>
        <v>0</v>
      </c>
      <c r="CH127" s="185">
        <f t="shared" si="1011"/>
        <v>0</v>
      </c>
      <c r="CI127" s="185">
        <f t="shared" si="1011"/>
        <v>0</v>
      </c>
      <c r="CJ127" s="185">
        <f t="shared" si="1011"/>
        <v>0</v>
      </c>
      <c r="CK127" s="185">
        <f t="shared" si="1011"/>
        <v>0</v>
      </c>
      <c r="CL127" s="185">
        <f t="shared" si="1011"/>
        <v>0</v>
      </c>
      <c r="CM127" s="185">
        <f t="shared" si="1011"/>
        <v>0</v>
      </c>
      <c r="CN127" s="185">
        <f t="shared" si="1011"/>
        <v>0</v>
      </c>
      <c r="CO127" s="185">
        <f t="shared" si="1011"/>
        <v>0</v>
      </c>
      <c r="CP127" s="185">
        <f t="shared" si="1011"/>
        <v>0</v>
      </c>
      <c r="CQ127" s="185">
        <f t="shared" si="1011"/>
        <v>0</v>
      </c>
      <c r="CR127" s="185">
        <f t="shared" si="1011"/>
        <v>0</v>
      </c>
      <c r="CS127" s="185">
        <f t="shared" si="1011"/>
        <v>0</v>
      </c>
      <c r="CT127" s="185">
        <f t="shared" si="1011"/>
        <v>0</v>
      </c>
      <c r="CU127" s="185">
        <f t="shared" si="1011"/>
        <v>0</v>
      </c>
      <c r="CV127" s="185">
        <f t="shared" si="1011"/>
        <v>0</v>
      </c>
      <c r="CW127" s="185">
        <f t="shared" ref="CW127:EI127" si="1012">-CW124-CW125</f>
        <v>0</v>
      </c>
      <c r="CX127" s="185">
        <f t="shared" si="1012"/>
        <v>0</v>
      </c>
      <c r="CY127" s="185">
        <f t="shared" si="1012"/>
        <v>0</v>
      </c>
      <c r="CZ127" s="185">
        <f t="shared" si="1012"/>
        <v>0</v>
      </c>
      <c r="DA127" s="185">
        <f t="shared" si="1012"/>
        <v>0</v>
      </c>
      <c r="DB127" s="185">
        <f t="shared" si="1012"/>
        <v>0</v>
      </c>
      <c r="DC127" s="185">
        <f t="shared" si="1012"/>
        <v>0</v>
      </c>
      <c r="DD127" s="185">
        <f t="shared" si="1012"/>
        <v>0</v>
      </c>
      <c r="DE127" s="185">
        <f t="shared" si="1012"/>
        <v>0</v>
      </c>
      <c r="DF127" s="185">
        <f t="shared" si="1012"/>
        <v>0</v>
      </c>
      <c r="DG127" s="185">
        <f t="shared" si="1012"/>
        <v>0</v>
      </c>
      <c r="DH127" s="185">
        <f t="shared" si="1012"/>
        <v>0</v>
      </c>
      <c r="DI127" s="185">
        <f t="shared" si="1012"/>
        <v>0</v>
      </c>
      <c r="DJ127" s="185">
        <f t="shared" si="1012"/>
        <v>0</v>
      </c>
      <c r="DK127" s="185">
        <f t="shared" si="1012"/>
        <v>0</v>
      </c>
      <c r="DL127" s="185">
        <f t="shared" si="1012"/>
        <v>0</v>
      </c>
      <c r="DM127" s="185">
        <f t="shared" si="1012"/>
        <v>0</v>
      </c>
      <c r="DN127" s="185">
        <f t="shared" si="1012"/>
        <v>0</v>
      </c>
      <c r="DO127" s="185">
        <f t="shared" si="1012"/>
        <v>0</v>
      </c>
      <c r="DP127" s="185">
        <f t="shared" si="1012"/>
        <v>0</v>
      </c>
      <c r="DQ127" s="185">
        <f t="shared" si="1012"/>
        <v>0</v>
      </c>
      <c r="DR127" s="185">
        <f t="shared" si="1012"/>
        <v>0</v>
      </c>
      <c r="DS127" s="185">
        <f t="shared" si="1012"/>
        <v>0</v>
      </c>
      <c r="DT127" s="185">
        <f t="shared" si="1012"/>
        <v>0</v>
      </c>
      <c r="DU127" s="185">
        <f t="shared" si="1012"/>
        <v>0</v>
      </c>
      <c r="DV127" s="185">
        <f t="shared" si="1012"/>
        <v>0</v>
      </c>
      <c r="DW127" s="185">
        <f t="shared" si="1012"/>
        <v>0</v>
      </c>
      <c r="DX127" s="185">
        <f t="shared" si="1012"/>
        <v>0</v>
      </c>
      <c r="DY127" s="185">
        <f t="shared" si="1012"/>
        <v>0</v>
      </c>
      <c r="DZ127" s="185">
        <f t="shared" si="1012"/>
        <v>0</v>
      </c>
      <c r="EA127" s="185">
        <f t="shared" si="1012"/>
        <v>0</v>
      </c>
      <c r="EB127" s="185">
        <f t="shared" si="1012"/>
        <v>0</v>
      </c>
      <c r="EC127" s="185">
        <f t="shared" si="1012"/>
        <v>0</v>
      </c>
      <c r="ED127" s="185">
        <f t="shared" si="1012"/>
        <v>0</v>
      </c>
      <c r="EE127" s="185">
        <f t="shared" si="1012"/>
        <v>0</v>
      </c>
      <c r="EF127" s="185">
        <f t="shared" si="1012"/>
        <v>0</v>
      </c>
      <c r="EG127" s="185">
        <f t="shared" si="1012"/>
        <v>0</v>
      </c>
      <c r="EH127" s="185">
        <f t="shared" si="1012"/>
        <v>0</v>
      </c>
      <c r="EI127" s="185">
        <f t="shared" si="1012"/>
        <v>0</v>
      </c>
      <c r="EJ127" s="185"/>
      <c r="EK127" s="185"/>
      <c r="EL127" s="185"/>
      <c r="EM127" s="1" t="s">
        <v>191</v>
      </c>
    </row>
    <row r="128" spans="4:143" x14ac:dyDescent="0.45">
      <c r="E128" s="188"/>
      <c r="F128" s="188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4"/>
      <c r="CA128" s="24"/>
      <c r="CB128" s="24"/>
      <c r="CC128" s="24"/>
      <c r="CD128" s="24"/>
      <c r="CE128" s="24"/>
      <c r="CF128" s="24"/>
      <c r="CG128" s="24"/>
      <c r="CH128" s="24"/>
      <c r="CI128" s="24"/>
      <c r="CJ128" s="24"/>
      <c r="CK128" s="24"/>
      <c r="CL128" s="24"/>
      <c r="CM128" s="24"/>
      <c r="CN128" s="24"/>
      <c r="CO128" s="24"/>
      <c r="CP128" s="24"/>
      <c r="CQ128" s="24"/>
      <c r="CR128" s="24"/>
      <c r="CS128" s="24"/>
      <c r="CT128" s="24"/>
      <c r="CU128" s="24"/>
      <c r="CV128" s="24"/>
      <c r="CW128" s="24"/>
      <c r="CX128" s="24"/>
      <c r="CY128" s="24"/>
      <c r="CZ128" s="24"/>
      <c r="DA128" s="24"/>
      <c r="DB128" s="24"/>
      <c r="DC128" s="24"/>
      <c r="DD128" s="24"/>
      <c r="DE128" s="24"/>
      <c r="DF128" s="24"/>
      <c r="DG128" s="24"/>
      <c r="DH128" s="24"/>
      <c r="DI128" s="24"/>
      <c r="DJ128" s="24"/>
      <c r="DK128" s="24"/>
      <c r="DL128" s="24"/>
      <c r="DM128" s="24"/>
      <c r="DN128" s="24"/>
      <c r="DO128" s="24"/>
      <c r="DP128" s="24"/>
      <c r="DQ128" s="24"/>
      <c r="DR128" s="24"/>
      <c r="DS128" s="24"/>
      <c r="DT128" s="24"/>
      <c r="DU128" s="24"/>
      <c r="DV128" s="24"/>
      <c r="DW128" s="24"/>
      <c r="DX128" s="24"/>
      <c r="DY128" s="24"/>
      <c r="DZ128" s="24"/>
      <c r="EA128" s="24"/>
      <c r="EB128" s="24"/>
      <c r="EC128" s="24"/>
      <c r="ED128" s="24"/>
      <c r="EE128" s="24"/>
      <c r="EF128" s="24"/>
      <c r="EG128" s="24"/>
      <c r="EH128" s="24"/>
      <c r="EI128" s="24"/>
      <c r="EJ128" s="24"/>
      <c r="EK128" s="24"/>
      <c r="EL128" s="24"/>
      <c r="EM128" s="1" t="s">
        <v>191</v>
      </c>
    </row>
    <row r="129" spans="3:143" x14ac:dyDescent="0.45">
      <c r="D129" s="1" t="s">
        <v>203</v>
      </c>
      <c r="E129" s="188">
        <f>-SUM(G129:EI129)</f>
        <v>11238002.989134565</v>
      </c>
      <c r="F129" s="188"/>
      <c r="G129" s="24">
        <f>G125</f>
        <v>0</v>
      </c>
      <c r="H129" s="24">
        <f t="shared" ref="H129:BS129" si="1013">H125</f>
        <v>0</v>
      </c>
      <c r="I129" s="24">
        <f t="shared" si="1013"/>
        <v>0</v>
      </c>
      <c r="J129" s="24">
        <f t="shared" si="1013"/>
        <v>0</v>
      </c>
      <c r="K129" s="24">
        <f t="shared" si="1013"/>
        <v>0</v>
      </c>
      <c r="L129" s="24">
        <f t="shared" si="1013"/>
        <v>0</v>
      </c>
      <c r="M129" s="24">
        <f t="shared" si="1013"/>
        <v>0</v>
      </c>
      <c r="N129" s="24">
        <f t="shared" si="1013"/>
        <v>0</v>
      </c>
      <c r="O129" s="24">
        <f t="shared" si="1013"/>
        <v>0</v>
      </c>
      <c r="P129" s="24">
        <f t="shared" si="1013"/>
        <v>0</v>
      </c>
      <c r="Q129" s="24">
        <f t="shared" si="1013"/>
        <v>0</v>
      </c>
      <c r="R129" s="24">
        <f t="shared" si="1013"/>
        <v>0</v>
      </c>
      <c r="S129" s="24">
        <f t="shared" si="1013"/>
        <v>0</v>
      </c>
      <c r="T129" s="24">
        <f t="shared" si="1013"/>
        <v>0</v>
      </c>
      <c r="U129" s="24">
        <f t="shared" si="1013"/>
        <v>0</v>
      </c>
      <c r="V129" s="24">
        <f t="shared" si="1013"/>
        <v>0</v>
      </c>
      <c r="W129" s="24">
        <f t="shared" si="1013"/>
        <v>0</v>
      </c>
      <c r="X129" s="24">
        <f t="shared" si="1013"/>
        <v>0</v>
      </c>
      <c r="Y129" s="24">
        <f t="shared" si="1013"/>
        <v>0</v>
      </c>
      <c r="Z129" s="24">
        <f t="shared" si="1013"/>
        <v>0</v>
      </c>
      <c r="AA129" s="24">
        <f t="shared" si="1013"/>
        <v>0</v>
      </c>
      <c r="AB129" s="24">
        <f t="shared" si="1013"/>
        <v>0</v>
      </c>
      <c r="AC129" s="24">
        <f t="shared" si="1013"/>
        <v>0</v>
      </c>
      <c r="AD129" s="24">
        <f t="shared" si="1013"/>
        <v>0</v>
      </c>
      <c r="AE129" s="24">
        <f t="shared" si="1013"/>
        <v>0</v>
      </c>
      <c r="AF129" s="24">
        <f t="shared" si="1013"/>
        <v>-22523.855515408057</v>
      </c>
      <c r="AG129" s="24">
        <f t="shared" si="1013"/>
        <v>-25353.182693594768</v>
      </c>
      <c r="AH129" s="24">
        <f t="shared" si="1013"/>
        <v>-28193.765577765211</v>
      </c>
      <c r="AI129" s="24">
        <f t="shared" si="1013"/>
        <v>-36016.839020373569</v>
      </c>
      <c r="AJ129" s="24">
        <f t="shared" si="1013"/>
        <v>-43871.720839711386</v>
      </c>
      <c r="AK129" s="24">
        <f t="shared" si="1013"/>
        <v>-51758.509269460686</v>
      </c>
      <c r="AL129" s="24">
        <f t="shared" si="1013"/>
        <v>-52088.362340348518</v>
      </c>
      <c r="AM129" s="24">
        <f t="shared" si="1013"/>
        <v>-52418.929841811558</v>
      </c>
      <c r="AN129" s="24">
        <f t="shared" si="1013"/>
        <v>-9462512.4382197857</v>
      </c>
      <c r="AO129" s="24">
        <f t="shared" si="1013"/>
        <v>-25375.756998543977</v>
      </c>
      <c r="AP129" s="24">
        <f t="shared" si="1013"/>
        <v>-25708.477007572605</v>
      </c>
      <c r="AQ129" s="24">
        <f t="shared" si="1013"/>
        <v>-26041.917601996643</v>
      </c>
      <c r="AR129" s="24">
        <f t="shared" si="1013"/>
        <v>-26376.080328733373</v>
      </c>
      <c r="AS129" s="24">
        <f t="shared" si="1013"/>
        <v>-26710.96673799913</v>
      </c>
      <c r="AT129" s="24">
        <f t="shared" si="1013"/>
        <v>-27046.578383316111</v>
      </c>
      <c r="AU129" s="24">
        <f t="shared" si="1013"/>
        <v>-27382.916821519502</v>
      </c>
      <c r="AV129" s="24">
        <f t="shared" si="1013"/>
        <v>-27719.983612764492</v>
      </c>
      <c r="AW129" s="24">
        <f t="shared" si="1013"/>
        <v>-28057.780320533111</v>
      </c>
      <c r="AX129" s="24">
        <f t="shared" si="1013"/>
        <v>-28396.308511641524</v>
      </c>
      <c r="AY129" s="24">
        <f t="shared" si="1013"/>
        <v>-28735.569756247067</v>
      </c>
      <c r="AZ129" s="24">
        <f t="shared" si="1013"/>
        <v>-29075.565627855285</v>
      </c>
      <c r="BA129" s="24">
        <f t="shared" si="1013"/>
        <v>-29416.297703326771</v>
      </c>
      <c r="BB129" s="24">
        <f t="shared" si="1013"/>
        <v>-29757.767562885077</v>
      </c>
      <c r="BC129" s="24">
        <f t="shared" si="1013"/>
        <v>-30099.976790122921</v>
      </c>
      <c r="BD129" s="24">
        <f t="shared" si="1013"/>
        <v>-30442.926972009918</v>
      </c>
      <c r="BE129" s="24">
        <f t="shared" si="1013"/>
        <v>-30786.619698899398</v>
      </c>
      <c r="BF129" s="24">
        <f t="shared" si="1013"/>
        <v>-31131.056564535909</v>
      </c>
      <c r="BG129" s="24">
        <f t="shared" si="1013"/>
        <v>-31476.239166062322</v>
      </c>
      <c r="BH129" s="24">
        <f t="shared" si="1013"/>
        <v>-31822.169104026831</v>
      </c>
      <c r="BI129" s="24">
        <f t="shared" si="1013"/>
        <v>-32168.84798239042</v>
      </c>
      <c r="BJ129" s="24">
        <f t="shared" si="1013"/>
        <v>-32516.277408533879</v>
      </c>
      <c r="BK129" s="24">
        <f t="shared" si="1013"/>
        <v>-32864.458993265362</v>
      </c>
      <c r="BL129" s="24">
        <f t="shared" si="1013"/>
        <v>-33213.39435082733</v>
      </c>
      <c r="BM129" s="24">
        <f t="shared" si="1013"/>
        <v>-33563.08509890415</v>
      </c>
      <c r="BN129" s="24">
        <f t="shared" si="1013"/>
        <v>-33913.532858629107</v>
      </c>
      <c r="BO129" s="24">
        <f t="shared" si="1013"/>
        <v>-693464.83385316748</v>
      </c>
      <c r="BP129" s="24">
        <f t="shared" si="1013"/>
        <v>0</v>
      </c>
      <c r="BQ129" s="24">
        <f t="shared" si="1013"/>
        <v>0</v>
      </c>
      <c r="BR129" s="24">
        <f t="shared" si="1013"/>
        <v>0</v>
      </c>
      <c r="BS129" s="24">
        <f t="shared" si="1013"/>
        <v>0</v>
      </c>
      <c r="BT129" s="24">
        <f t="shared" ref="BT129:CV129" si="1014">BT125</f>
        <v>0</v>
      </c>
      <c r="BU129" s="24">
        <f t="shared" si="1014"/>
        <v>0</v>
      </c>
      <c r="BV129" s="24">
        <f t="shared" si="1014"/>
        <v>0</v>
      </c>
      <c r="BW129" s="24">
        <f t="shared" si="1014"/>
        <v>0</v>
      </c>
      <c r="BX129" s="24">
        <f t="shared" si="1014"/>
        <v>0</v>
      </c>
      <c r="BY129" s="24">
        <f t="shared" si="1014"/>
        <v>0</v>
      </c>
      <c r="BZ129" s="24">
        <f t="shared" si="1014"/>
        <v>0</v>
      </c>
      <c r="CA129" s="24">
        <f t="shared" si="1014"/>
        <v>0</v>
      </c>
      <c r="CB129" s="24">
        <f t="shared" si="1014"/>
        <v>0</v>
      </c>
      <c r="CC129" s="24">
        <f t="shared" si="1014"/>
        <v>0</v>
      </c>
      <c r="CD129" s="24">
        <f t="shared" si="1014"/>
        <v>0</v>
      </c>
      <c r="CE129" s="24">
        <f t="shared" si="1014"/>
        <v>0</v>
      </c>
      <c r="CF129" s="24">
        <f t="shared" si="1014"/>
        <v>0</v>
      </c>
      <c r="CG129" s="24">
        <f t="shared" si="1014"/>
        <v>0</v>
      </c>
      <c r="CH129" s="24">
        <f t="shared" si="1014"/>
        <v>0</v>
      </c>
      <c r="CI129" s="24">
        <f t="shared" si="1014"/>
        <v>0</v>
      </c>
      <c r="CJ129" s="24">
        <f t="shared" si="1014"/>
        <v>0</v>
      </c>
      <c r="CK129" s="24">
        <f t="shared" si="1014"/>
        <v>0</v>
      </c>
      <c r="CL129" s="24">
        <f t="shared" si="1014"/>
        <v>0</v>
      </c>
      <c r="CM129" s="24">
        <f t="shared" si="1014"/>
        <v>0</v>
      </c>
      <c r="CN129" s="24">
        <f t="shared" si="1014"/>
        <v>0</v>
      </c>
      <c r="CO129" s="24">
        <f t="shared" si="1014"/>
        <v>0</v>
      </c>
      <c r="CP129" s="24">
        <f t="shared" si="1014"/>
        <v>0</v>
      </c>
      <c r="CQ129" s="24">
        <f t="shared" si="1014"/>
        <v>0</v>
      </c>
      <c r="CR129" s="24">
        <f t="shared" si="1014"/>
        <v>0</v>
      </c>
      <c r="CS129" s="24">
        <f t="shared" si="1014"/>
        <v>0</v>
      </c>
      <c r="CT129" s="24">
        <f t="shared" si="1014"/>
        <v>0</v>
      </c>
      <c r="CU129" s="24">
        <f t="shared" si="1014"/>
        <v>0</v>
      </c>
      <c r="CV129" s="24">
        <f t="shared" si="1014"/>
        <v>0</v>
      </c>
      <c r="CW129" s="24">
        <f t="shared" ref="CW129:EI129" si="1015">CW125</f>
        <v>0</v>
      </c>
      <c r="CX129" s="24">
        <f t="shared" si="1015"/>
        <v>0</v>
      </c>
      <c r="CY129" s="24">
        <f t="shared" si="1015"/>
        <v>0</v>
      </c>
      <c r="CZ129" s="24">
        <f t="shared" si="1015"/>
        <v>0</v>
      </c>
      <c r="DA129" s="24">
        <f t="shared" si="1015"/>
        <v>0</v>
      </c>
      <c r="DB129" s="24">
        <f t="shared" si="1015"/>
        <v>0</v>
      </c>
      <c r="DC129" s="24">
        <f t="shared" si="1015"/>
        <v>0</v>
      </c>
      <c r="DD129" s="24">
        <f t="shared" si="1015"/>
        <v>0</v>
      </c>
      <c r="DE129" s="24">
        <f t="shared" si="1015"/>
        <v>0</v>
      </c>
      <c r="DF129" s="24">
        <f t="shared" si="1015"/>
        <v>0</v>
      </c>
      <c r="DG129" s="24">
        <f t="shared" si="1015"/>
        <v>0</v>
      </c>
      <c r="DH129" s="24">
        <f t="shared" si="1015"/>
        <v>0</v>
      </c>
      <c r="DI129" s="24">
        <f t="shared" si="1015"/>
        <v>0</v>
      </c>
      <c r="DJ129" s="24">
        <f t="shared" si="1015"/>
        <v>0</v>
      </c>
      <c r="DK129" s="24">
        <f t="shared" si="1015"/>
        <v>0</v>
      </c>
      <c r="DL129" s="24">
        <f t="shared" si="1015"/>
        <v>0</v>
      </c>
      <c r="DM129" s="24">
        <f t="shared" si="1015"/>
        <v>0</v>
      </c>
      <c r="DN129" s="24">
        <f t="shared" si="1015"/>
        <v>0</v>
      </c>
      <c r="DO129" s="24">
        <f t="shared" si="1015"/>
        <v>0</v>
      </c>
      <c r="DP129" s="24">
        <f t="shared" si="1015"/>
        <v>0</v>
      </c>
      <c r="DQ129" s="24">
        <f t="shared" si="1015"/>
        <v>0</v>
      </c>
      <c r="DR129" s="24">
        <f t="shared" si="1015"/>
        <v>0</v>
      </c>
      <c r="DS129" s="24">
        <f t="shared" si="1015"/>
        <v>0</v>
      </c>
      <c r="DT129" s="24">
        <f t="shared" si="1015"/>
        <v>0</v>
      </c>
      <c r="DU129" s="24">
        <f t="shared" si="1015"/>
        <v>0</v>
      </c>
      <c r="DV129" s="24">
        <f t="shared" si="1015"/>
        <v>0</v>
      </c>
      <c r="DW129" s="24">
        <f t="shared" si="1015"/>
        <v>0</v>
      </c>
      <c r="DX129" s="24">
        <f t="shared" si="1015"/>
        <v>0</v>
      </c>
      <c r="DY129" s="24">
        <f t="shared" si="1015"/>
        <v>0</v>
      </c>
      <c r="DZ129" s="24">
        <f t="shared" si="1015"/>
        <v>0</v>
      </c>
      <c r="EA129" s="24">
        <f t="shared" si="1015"/>
        <v>0</v>
      </c>
      <c r="EB129" s="24">
        <f t="shared" si="1015"/>
        <v>0</v>
      </c>
      <c r="EC129" s="24">
        <f t="shared" si="1015"/>
        <v>0</v>
      </c>
      <c r="ED129" s="24">
        <f t="shared" si="1015"/>
        <v>0</v>
      </c>
      <c r="EE129" s="24">
        <f t="shared" si="1015"/>
        <v>0</v>
      </c>
      <c r="EF129" s="24">
        <f t="shared" si="1015"/>
        <v>0</v>
      </c>
      <c r="EG129" s="24">
        <f t="shared" si="1015"/>
        <v>0</v>
      </c>
      <c r="EH129" s="24">
        <f t="shared" si="1015"/>
        <v>0</v>
      </c>
      <c r="EI129" s="24">
        <f t="shared" si="1015"/>
        <v>0</v>
      </c>
      <c r="EJ129" s="24"/>
      <c r="EK129" s="24"/>
      <c r="EL129" s="24"/>
      <c r="EM129" s="1" t="s">
        <v>191</v>
      </c>
    </row>
    <row r="130" spans="3:143" x14ac:dyDescent="0.45">
      <c r="D130" s="2" t="s">
        <v>204</v>
      </c>
      <c r="E130" s="189"/>
      <c r="F130" s="189"/>
      <c r="G130" s="176">
        <f>MAX(G69,0)+G129</f>
        <v>0</v>
      </c>
      <c r="H130" s="176">
        <f>MAX(H69,0)+H129</f>
        <v>0</v>
      </c>
      <c r="I130" s="176">
        <f>MAX(I69,0)+I129</f>
        <v>0</v>
      </c>
      <c r="J130" s="176">
        <f>MAX(J69,0)+J129</f>
        <v>0</v>
      </c>
      <c r="K130" s="176">
        <f>MAX(K69,0)+K129</f>
        <v>0</v>
      </c>
      <c r="L130" s="176">
        <f>MAX(L69,0)+L129</f>
        <v>0</v>
      </c>
      <c r="M130" s="176">
        <f>MAX(M69,0)+M129</f>
        <v>0</v>
      </c>
      <c r="N130" s="176">
        <f>MAX(N69,0)+N129</f>
        <v>0</v>
      </c>
      <c r="O130" s="176">
        <f>MAX(O69,0)+O129</f>
        <v>0</v>
      </c>
      <c r="P130" s="176">
        <f>MAX(P69,0)+P129</f>
        <v>0</v>
      </c>
      <c r="Q130" s="176">
        <f>MAX(Q69,0)+Q129</f>
        <v>0</v>
      </c>
      <c r="R130" s="176">
        <f>MAX(R69,0)+R129</f>
        <v>0</v>
      </c>
      <c r="S130" s="176">
        <f>MAX(S69,0)+S129</f>
        <v>0</v>
      </c>
      <c r="T130" s="176">
        <f>MAX(T69,0)+T129</f>
        <v>0</v>
      </c>
      <c r="U130" s="176">
        <f>MAX(U69,0)+U129</f>
        <v>0</v>
      </c>
      <c r="V130" s="176">
        <f>MAX(V69,0)+V129</f>
        <v>0</v>
      </c>
      <c r="W130" s="176">
        <f>MAX(W69,0)+W129</f>
        <v>0</v>
      </c>
      <c r="X130" s="176">
        <f>MAX(X69,0)+X129</f>
        <v>0</v>
      </c>
      <c r="Y130" s="176">
        <f>MAX(Y69,0)+Y129</f>
        <v>0</v>
      </c>
      <c r="Z130" s="176">
        <f>MAX(Z69,0)+Z129</f>
        <v>0</v>
      </c>
      <c r="AA130" s="176">
        <f>MAX(AA69,0)+AA129</f>
        <v>0</v>
      </c>
      <c r="AB130" s="176">
        <f>MAX(AB69,0)+AB129</f>
        <v>0</v>
      </c>
      <c r="AC130" s="176">
        <f>MAX(AC69,0)+AC129</f>
        <v>0</v>
      </c>
      <c r="AD130" s="176">
        <f>MAX(AD69,0)+AD129</f>
        <v>0</v>
      </c>
      <c r="AE130" s="176">
        <f>MAX(AE69,0)+AE129</f>
        <v>0</v>
      </c>
      <c r="AF130" s="176">
        <f>MAX(AF69,0)+AF129</f>
        <v>3699.6794262566655</v>
      </c>
      <c r="AG130" s="176">
        <f>MAX(AG69,0)+AG129</f>
        <v>3761.7443405402009</v>
      </c>
      <c r="AH130" s="176">
        <f>MAX(AH69,0)+AH129</f>
        <v>3824.0518487025765</v>
      </c>
      <c r="AI130" s="176">
        <f>MAX(AI69,0)+AI129</f>
        <v>3998.5082584495321</v>
      </c>
      <c r="AJ130" s="176">
        <f>MAX(AJ69,0)+AJ129</f>
        <v>4173.6650144808518</v>
      </c>
      <c r="AK130" s="176">
        <f>MAX(AK69,0)+AK129</f>
        <v>4349.5242632047011</v>
      </c>
      <c r="AL130" s="176">
        <f>MAX(AL69,0)+AL129</f>
        <v>4358.4552622117553</v>
      </c>
      <c r="AM130" s="176">
        <f>MAX(AM69,0)+AM129</f>
        <v>4367.4046499502801</v>
      </c>
      <c r="AN130" s="176">
        <f>MAX(AN69,0)+AN129</f>
        <v>4376.3724643681198</v>
      </c>
      <c r="AO130" s="176">
        <f>MAX(AO69,0)+AO129</f>
        <v>4385.3587434895198</v>
      </c>
      <c r="AP130" s="176">
        <f>MAX(AP69,0)+AP129</f>
        <v>4394.36352542042</v>
      </c>
      <c r="AQ130" s="176">
        <f>MAX(AQ69,0)+AQ129</f>
        <v>4403.3868483434781</v>
      </c>
      <c r="AR130" s="176">
        <f>MAX(AR69,0)+AR129</f>
        <v>4412.4287505208122</v>
      </c>
      <c r="AS130" s="176">
        <f>MAX(AS69,0)+AS129</f>
        <v>4421.4892702936413</v>
      </c>
      <c r="AT130" s="176">
        <f>MAX(AT69,0)+AT129</f>
        <v>4430.5684460824632</v>
      </c>
      <c r="AU130" s="176">
        <f>MAX(AU69,0)+AU129</f>
        <v>4439.666316387189</v>
      </c>
      <c r="AV130" s="176">
        <f>MAX(AV69,0)+AV129</f>
        <v>4448.7829197873398</v>
      </c>
      <c r="AW130" s="176">
        <f>MAX(AW69,0)+AW129</f>
        <v>4457.9182949421993</v>
      </c>
      <c r="AX130" s="176">
        <f>MAX(AX69,0)+AX129</f>
        <v>4467.0724805909776</v>
      </c>
      <c r="AY130" s="176">
        <f>MAX(AY69,0)+AY129</f>
        <v>4476.2455155529678</v>
      </c>
      <c r="AZ130" s="176">
        <f>MAX(AZ69,0)+AZ129</f>
        <v>4485.4374387277276</v>
      </c>
      <c r="BA130" s="176">
        <f>MAX(BA69,0)+BA129</f>
        <v>4494.6482890952429</v>
      </c>
      <c r="BB130" s="176">
        <f>MAX(BB69,0)+BB129</f>
        <v>4503.8781057160886</v>
      </c>
      <c r="BC130" s="176">
        <f>MAX(BC69,0)+BC129</f>
        <v>4513.1269277315878</v>
      </c>
      <c r="BD130" s="176">
        <f>MAX(BD69,0)+BD129</f>
        <v>4522.3947943640014</v>
      </c>
      <c r="BE130" s="176">
        <f>MAX(BE69,0)+BE129</f>
        <v>4531.6817449166774</v>
      </c>
      <c r="BF130" s="176">
        <f>MAX(BF69,0)+BF129</f>
        <v>4540.9878187742215</v>
      </c>
      <c r="BG130" s="176">
        <f>MAX(BG69,0)+BG129</f>
        <v>4550.3130554026757</v>
      </c>
      <c r="BH130" s="176">
        <f>MAX(BH69,0)+BH129</f>
        <v>4559.6574943496707</v>
      </c>
      <c r="BI130" s="176">
        <f>MAX(BI69,0)+BI129</f>
        <v>4569.0211752446048</v>
      </c>
      <c r="BJ130" s="176">
        <f>MAX(BJ69,0)+BJ129</f>
        <v>4578.4041377988215</v>
      </c>
      <c r="BK130" s="176">
        <f>MAX(BK69,0)+BK129</f>
        <v>4587.8064218057552</v>
      </c>
      <c r="BL130" s="176">
        <f>MAX(BL69,0)+BL129</f>
        <v>4597.2280671411281</v>
      </c>
      <c r="BM130" s="176">
        <f>MAX(BM69,0)+BM129</f>
        <v>4606.6691137630987</v>
      </c>
      <c r="BN130" s="176">
        <f>MAX(BN69,0)+BN129</f>
        <v>4616.1296017124405</v>
      </c>
      <c r="BO130" s="176">
        <f>MAX(BO69,0)+BO129</f>
        <v>12239132.005108185</v>
      </c>
      <c r="BP130" s="176">
        <f>MAX(BP69,0)+BP129</f>
        <v>0</v>
      </c>
      <c r="BQ130" s="176">
        <f>MAX(BQ69,0)+BQ129</f>
        <v>0</v>
      </c>
      <c r="BR130" s="176">
        <f>MAX(BR69,0)+BR129</f>
        <v>0</v>
      </c>
      <c r="BS130" s="176">
        <f>MAX(BS69,0)+BS129</f>
        <v>0</v>
      </c>
      <c r="BT130" s="176">
        <f>MAX(BT69,0)+BT129</f>
        <v>0</v>
      </c>
      <c r="BU130" s="176">
        <f>MAX(BU69,0)+BU129</f>
        <v>0</v>
      </c>
      <c r="BV130" s="176">
        <f>MAX(BV69,0)+BV129</f>
        <v>0</v>
      </c>
      <c r="BW130" s="176">
        <f>MAX(BW69,0)+BW129</f>
        <v>0</v>
      </c>
      <c r="BX130" s="176">
        <f>MAX(BX69,0)+BX129</f>
        <v>0</v>
      </c>
      <c r="BY130" s="176">
        <f>MAX(BY69,0)+BY129</f>
        <v>0</v>
      </c>
      <c r="BZ130" s="176">
        <f>MAX(BZ69,0)+BZ129</f>
        <v>0</v>
      </c>
      <c r="CA130" s="176">
        <f>MAX(CA69,0)+CA129</f>
        <v>0</v>
      </c>
      <c r="CB130" s="176">
        <f>MAX(CB69,0)+CB129</f>
        <v>0</v>
      </c>
      <c r="CC130" s="176">
        <f>MAX(CC69,0)+CC129</f>
        <v>0</v>
      </c>
      <c r="CD130" s="176">
        <f>MAX(CD69,0)+CD129</f>
        <v>0</v>
      </c>
      <c r="CE130" s="176">
        <f>MAX(CE69,0)+CE129</f>
        <v>0</v>
      </c>
      <c r="CF130" s="176">
        <f>MAX(CF69,0)+CF129</f>
        <v>0</v>
      </c>
      <c r="CG130" s="176">
        <f>MAX(CG69,0)+CG129</f>
        <v>0</v>
      </c>
      <c r="CH130" s="176">
        <f>MAX(CH69,0)+CH129</f>
        <v>0</v>
      </c>
      <c r="CI130" s="176">
        <f>MAX(CI69,0)+CI129</f>
        <v>0</v>
      </c>
      <c r="CJ130" s="176">
        <f>MAX(CJ69,0)+CJ129</f>
        <v>0</v>
      </c>
      <c r="CK130" s="176">
        <f>MAX(CK69,0)+CK129</f>
        <v>0</v>
      </c>
      <c r="CL130" s="176">
        <f>MAX(CL69,0)+CL129</f>
        <v>0</v>
      </c>
      <c r="CM130" s="176">
        <f>MAX(CM69,0)+CM129</f>
        <v>0</v>
      </c>
      <c r="CN130" s="176">
        <f>MAX(CN69,0)+CN129</f>
        <v>0</v>
      </c>
      <c r="CO130" s="176">
        <f>MAX(CO69,0)+CO129</f>
        <v>0</v>
      </c>
      <c r="CP130" s="176">
        <f>MAX(CP69,0)+CP129</f>
        <v>0</v>
      </c>
      <c r="CQ130" s="176">
        <f>MAX(CQ69,0)+CQ129</f>
        <v>0</v>
      </c>
      <c r="CR130" s="176">
        <f>MAX(CR69,0)+CR129</f>
        <v>0</v>
      </c>
      <c r="CS130" s="176">
        <f>MAX(CS69,0)+CS129</f>
        <v>0</v>
      </c>
      <c r="CT130" s="176">
        <f>MAX(CT69,0)+CT129</f>
        <v>0</v>
      </c>
      <c r="CU130" s="176">
        <f>MAX(CU69,0)+CU129</f>
        <v>0</v>
      </c>
      <c r="CV130" s="176">
        <f>MAX(CV69,0)+CV129</f>
        <v>0</v>
      </c>
      <c r="CW130" s="176">
        <f>MAX(CW69,0)+CW129</f>
        <v>0</v>
      </c>
      <c r="CX130" s="176">
        <f>MAX(CX69,0)+CX129</f>
        <v>0</v>
      </c>
      <c r="CY130" s="176">
        <f>MAX(CY69,0)+CY129</f>
        <v>0</v>
      </c>
      <c r="CZ130" s="176">
        <f>MAX(CZ69,0)+CZ129</f>
        <v>0</v>
      </c>
      <c r="DA130" s="176">
        <f>MAX(DA69,0)+DA129</f>
        <v>0</v>
      </c>
      <c r="DB130" s="176">
        <f>MAX(DB69,0)+DB129</f>
        <v>0</v>
      </c>
      <c r="DC130" s="176">
        <f>MAX(DC69,0)+DC129</f>
        <v>0</v>
      </c>
      <c r="DD130" s="176">
        <f>MAX(DD69,0)+DD129</f>
        <v>0</v>
      </c>
      <c r="DE130" s="176">
        <f>MAX(DE69,0)+DE129</f>
        <v>0</v>
      </c>
      <c r="DF130" s="176">
        <f>MAX(DF69,0)+DF129</f>
        <v>0</v>
      </c>
      <c r="DG130" s="176">
        <f>MAX(DG69,0)+DG129</f>
        <v>0</v>
      </c>
      <c r="DH130" s="176">
        <f>MAX(DH69,0)+DH129</f>
        <v>0</v>
      </c>
      <c r="DI130" s="176">
        <f>MAX(DI69,0)+DI129</f>
        <v>0</v>
      </c>
      <c r="DJ130" s="176">
        <f>MAX(DJ69,0)+DJ129</f>
        <v>0</v>
      </c>
      <c r="DK130" s="176">
        <f>MAX(DK69,0)+DK129</f>
        <v>0</v>
      </c>
      <c r="DL130" s="176">
        <f>MAX(DL69,0)+DL129</f>
        <v>0</v>
      </c>
      <c r="DM130" s="176">
        <f>MAX(DM69,0)+DM129</f>
        <v>0</v>
      </c>
      <c r="DN130" s="176">
        <f>MAX(DN69,0)+DN129</f>
        <v>0</v>
      </c>
      <c r="DO130" s="176">
        <f>MAX(DO69,0)+DO129</f>
        <v>0</v>
      </c>
      <c r="DP130" s="176">
        <f>MAX(DP69,0)+DP129</f>
        <v>0</v>
      </c>
      <c r="DQ130" s="176">
        <f>MAX(DQ69,0)+DQ129</f>
        <v>0</v>
      </c>
      <c r="DR130" s="176">
        <f>MAX(DR69,0)+DR129</f>
        <v>0</v>
      </c>
      <c r="DS130" s="176">
        <f>MAX(DS69,0)+DS129</f>
        <v>0</v>
      </c>
      <c r="DT130" s="176">
        <f>MAX(DT69,0)+DT129</f>
        <v>0</v>
      </c>
      <c r="DU130" s="176">
        <f>MAX(DU69,0)+DU129</f>
        <v>0</v>
      </c>
      <c r="DV130" s="176">
        <f>MAX(DV69,0)+DV129</f>
        <v>0</v>
      </c>
      <c r="DW130" s="176">
        <f>MAX(DW69,0)+DW129</f>
        <v>0</v>
      </c>
      <c r="DX130" s="176">
        <f>MAX(DX69,0)+DX129</f>
        <v>0</v>
      </c>
      <c r="DY130" s="176">
        <f>MAX(DY69,0)+DY129</f>
        <v>0</v>
      </c>
      <c r="DZ130" s="176">
        <f>MAX(DZ69,0)+DZ129</f>
        <v>0</v>
      </c>
      <c r="EA130" s="176">
        <f>MAX(EA69,0)+EA129</f>
        <v>0</v>
      </c>
      <c r="EB130" s="176">
        <f>MAX(EB69,0)+EB129</f>
        <v>0</v>
      </c>
      <c r="EC130" s="176">
        <f>MAX(EC69,0)+EC129</f>
        <v>0</v>
      </c>
      <c r="ED130" s="176">
        <f>MAX(ED69,0)+ED129</f>
        <v>0</v>
      </c>
      <c r="EE130" s="176">
        <f>MAX(EE69,0)+EE129</f>
        <v>0</v>
      </c>
      <c r="EF130" s="176">
        <f>MAX(EF69,0)+EF129</f>
        <v>0</v>
      </c>
      <c r="EG130" s="176">
        <f>MAX(EG69,0)+EG129</f>
        <v>0</v>
      </c>
      <c r="EH130" s="176">
        <f>MAX(EH69,0)+EH129</f>
        <v>0</v>
      </c>
      <c r="EI130" s="176">
        <f>MAX(EI69,0)+EI129</f>
        <v>0</v>
      </c>
      <c r="EJ130" s="24"/>
      <c r="EK130" s="24"/>
      <c r="EL130" s="24"/>
      <c r="EM130" s="1" t="s">
        <v>191</v>
      </c>
    </row>
    <row r="131" spans="3:143" x14ac:dyDescent="0.45">
      <c r="E131" s="188"/>
      <c r="F131" s="188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4"/>
      <c r="CA131" s="24"/>
      <c r="CB131" s="24"/>
      <c r="CC131" s="24"/>
      <c r="CD131" s="24"/>
      <c r="CE131" s="24"/>
      <c r="CF131" s="24"/>
      <c r="CG131" s="24"/>
      <c r="CH131" s="24"/>
      <c r="CI131" s="24"/>
      <c r="CJ131" s="24"/>
      <c r="CK131" s="24"/>
      <c r="CL131" s="24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  <c r="DA131" s="24"/>
      <c r="DB131" s="24"/>
      <c r="DC131" s="24"/>
      <c r="DD131" s="24"/>
      <c r="DE131" s="24"/>
      <c r="DF131" s="24"/>
      <c r="DG131" s="24"/>
      <c r="DH131" s="24"/>
      <c r="DI131" s="24"/>
      <c r="DJ131" s="24"/>
      <c r="DK131" s="24"/>
      <c r="DL131" s="24"/>
      <c r="DM131" s="24"/>
      <c r="DN131" s="24"/>
      <c r="DO131" s="24"/>
      <c r="DP131" s="24"/>
      <c r="DQ131" s="24"/>
      <c r="DR131" s="24"/>
      <c r="DS131" s="24"/>
      <c r="DT131" s="24"/>
      <c r="DU131" s="24"/>
      <c r="DV131" s="24"/>
      <c r="DW131" s="24"/>
      <c r="DX131" s="24"/>
      <c r="DY131" s="24"/>
      <c r="DZ131" s="24"/>
      <c r="EA131" s="24"/>
      <c r="EB131" s="24"/>
      <c r="EC131" s="24"/>
      <c r="ED131" s="24"/>
      <c r="EE131" s="24"/>
      <c r="EF131" s="24"/>
      <c r="EG131" s="24"/>
      <c r="EH131" s="24"/>
      <c r="EI131" s="24"/>
      <c r="EJ131" s="24"/>
      <c r="EK131" s="24"/>
      <c r="EL131" s="24"/>
      <c r="EM131" s="1" t="s">
        <v>191</v>
      </c>
    </row>
    <row r="132" spans="3:143" x14ac:dyDescent="0.45">
      <c r="D132" s="79" t="str">
        <f>H$90&amp;" up to "&amp;TEXT(L$90,"0.0%")</f>
        <v>Hurdle 1 up to 15.0%</v>
      </c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  <c r="AA132" s="176"/>
      <c r="AB132" s="176"/>
      <c r="AC132" s="176"/>
      <c r="AD132" s="176"/>
      <c r="AE132" s="176"/>
      <c r="AF132" s="176"/>
      <c r="AG132" s="176"/>
      <c r="AH132" s="176"/>
      <c r="AI132" s="176"/>
      <c r="AJ132" s="176"/>
      <c r="AK132" s="176"/>
      <c r="AL132" s="176"/>
      <c r="AM132" s="176"/>
      <c r="AN132" s="176"/>
      <c r="AO132" s="176"/>
      <c r="AP132" s="176"/>
      <c r="AQ132" s="176"/>
      <c r="AR132" s="176"/>
      <c r="AS132" s="176"/>
      <c r="AT132" s="176"/>
      <c r="AU132" s="176"/>
      <c r="AV132" s="176"/>
      <c r="AW132" s="176"/>
      <c r="AX132" s="176"/>
      <c r="AY132" s="176"/>
      <c r="AZ132" s="176"/>
      <c r="BA132" s="176"/>
      <c r="BB132" s="176"/>
      <c r="BC132" s="176"/>
      <c r="BD132" s="176"/>
      <c r="BE132" s="176"/>
      <c r="BF132" s="176"/>
      <c r="BG132" s="176"/>
      <c r="BH132" s="176"/>
      <c r="BI132" s="176"/>
      <c r="BJ132" s="176"/>
      <c r="BK132" s="176"/>
      <c r="BL132" s="176"/>
      <c r="BM132" s="176"/>
      <c r="BN132" s="176"/>
      <c r="BO132" s="176"/>
      <c r="BP132" s="176"/>
      <c r="BQ132" s="176"/>
      <c r="BR132" s="176"/>
      <c r="BS132" s="176"/>
      <c r="BT132" s="176"/>
      <c r="BU132" s="176"/>
      <c r="BV132" s="176"/>
      <c r="BW132" s="176"/>
      <c r="BX132" s="176"/>
      <c r="BY132" s="176"/>
      <c r="BZ132" s="176"/>
      <c r="CA132" s="176"/>
      <c r="CB132" s="176"/>
      <c r="CC132" s="176"/>
      <c r="CD132" s="176"/>
      <c r="CE132" s="176"/>
      <c r="CF132" s="176"/>
      <c r="CG132" s="176"/>
      <c r="CH132" s="176"/>
      <c r="CI132" s="176"/>
      <c r="CJ132" s="176"/>
      <c r="CK132" s="176"/>
      <c r="CL132" s="176"/>
      <c r="CM132" s="176"/>
      <c r="CN132" s="176"/>
      <c r="CO132" s="176"/>
      <c r="CP132" s="176"/>
      <c r="CQ132" s="176"/>
      <c r="CR132" s="176"/>
      <c r="CS132" s="176"/>
      <c r="CT132" s="176"/>
      <c r="CU132" s="176"/>
      <c r="CV132" s="176"/>
      <c r="CW132" s="176"/>
      <c r="CX132" s="176"/>
      <c r="CY132" s="176"/>
      <c r="CZ132" s="176"/>
      <c r="DA132" s="176"/>
      <c r="DB132" s="176"/>
      <c r="DC132" s="176"/>
      <c r="DD132" s="176"/>
      <c r="DE132" s="176"/>
      <c r="DF132" s="176"/>
      <c r="DG132" s="176"/>
      <c r="DH132" s="176"/>
      <c r="DI132" s="176"/>
      <c r="DJ132" s="176"/>
      <c r="DK132" s="176"/>
      <c r="DL132" s="176"/>
      <c r="DM132" s="176"/>
      <c r="DN132" s="176"/>
      <c r="DO132" s="176"/>
      <c r="DP132" s="176"/>
      <c r="DQ132" s="176"/>
      <c r="DR132" s="176"/>
      <c r="DS132" s="176"/>
      <c r="DT132" s="176"/>
      <c r="DU132" s="176"/>
      <c r="DV132" s="176"/>
      <c r="DW132" s="176"/>
      <c r="DX132" s="176"/>
      <c r="DY132" s="176"/>
      <c r="DZ132" s="176"/>
      <c r="EA132" s="176"/>
      <c r="EB132" s="176"/>
      <c r="EC132" s="176"/>
      <c r="ED132" s="176"/>
      <c r="EE132" s="176"/>
      <c r="EF132" s="176"/>
      <c r="EG132" s="176"/>
      <c r="EH132" s="176"/>
      <c r="EI132" s="176"/>
      <c r="EJ132" s="24"/>
      <c r="EK132" s="24"/>
      <c r="EL132" s="24"/>
      <c r="EM132" s="1" t="s">
        <v>191</v>
      </c>
    </row>
    <row r="133" spans="3:143" x14ac:dyDescent="0.45">
      <c r="D133" s="1" t="s">
        <v>205</v>
      </c>
      <c r="E133" s="163">
        <f>+$K$90</f>
        <v>0.15</v>
      </c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4"/>
      <c r="CA133" s="24"/>
      <c r="CB133" s="24"/>
      <c r="CC133" s="24"/>
      <c r="CD133" s="24"/>
      <c r="CE133" s="24"/>
      <c r="CF133" s="24"/>
      <c r="CG133" s="24"/>
      <c r="CH133" s="24"/>
      <c r="CI133" s="24"/>
      <c r="CJ133" s="24"/>
      <c r="CK133" s="24"/>
      <c r="CL133" s="24"/>
      <c r="CM133" s="24"/>
      <c r="CN133" s="24"/>
      <c r="CO133" s="24"/>
      <c r="CP133" s="24"/>
      <c r="CQ133" s="24"/>
      <c r="CR133" s="24"/>
      <c r="CS133" s="24"/>
      <c r="CT133" s="24"/>
      <c r="CU133" s="24"/>
      <c r="CV133" s="24"/>
      <c r="CW133" s="24"/>
      <c r="CX133" s="24"/>
      <c r="CY133" s="24"/>
      <c r="CZ133" s="24"/>
      <c r="DA133" s="24"/>
      <c r="DB133" s="24"/>
      <c r="DC133" s="24"/>
      <c r="DD133" s="24"/>
      <c r="DE133" s="24"/>
      <c r="DF133" s="24"/>
      <c r="DG133" s="24"/>
      <c r="DH133" s="24"/>
      <c r="DI133" s="24"/>
      <c r="DJ133" s="24"/>
      <c r="DK133" s="24"/>
      <c r="DL133" s="24"/>
      <c r="DM133" s="24"/>
      <c r="DN133" s="24"/>
      <c r="DO133" s="24"/>
      <c r="DP133" s="24"/>
      <c r="DQ133" s="24"/>
      <c r="DR133" s="24"/>
      <c r="DS133" s="24"/>
      <c r="DT133" s="24"/>
      <c r="DU133" s="24"/>
      <c r="DV133" s="24"/>
      <c r="DW133" s="24"/>
      <c r="DX133" s="24"/>
      <c r="DY133" s="24"/>
      <c r="DZ133" s="24"/>
      <c r="EA133" s="24"/>
      <c r="EB133" s="24"/>
      <c r="EC133" s="24"/>
      <c r="ED133" s="24"/>
      <c r="EE133" s="24"/>
      <c r="EF133" s="24"/>
      <c r="EG133" s="24"/>
      <c r="EH133" s="24"/>
      <c r="EI133" s="24"/>
      <c r="EJ133" s="24"/>
      <c r="EK133" s="24"/>
      <c r="EL133" s="24"/>
      <c r="EM133" s="1" t="s">
        <v>191</v>
      </c>
    </row>
    <row r="134" spans="3:143" x14ac:dyDescent="0.45"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4"/>
      <c r="CA134" s="24"/>
      <c r="CB134" s="24"/>
      <c r="CC134" s="24"/>
      <c r="CD134" s="24"/>
      <c r="CE134" s="24"/>
      <c r="CF134" s="24"/>
      <c r="CG134" s="24"/>
      <c r="CH134" s="24"/>
      <c r="CI134" s="24"/>
      <c r="CJ134" s="24"/>
      <c r="CK134" s="24"/>
      <c r="CL134" s="24"/>
      <c r="CM134" s="24"/>
      <c r="CN134" s="24"/>
      <c r="CO134" s="24"/>
      <c r="CP134" s="24"/>
      <c r="CQ134" s="24"/>
      <c r="CR134" s="24"/>
      <c r="CS134" s="24"/>
      <c r="CT134" s="24"/>
      <c r="CU134" s="24"/>
      <c r="CV134" s="24"/>
      <c r="CW134" s="24"/>
      <c r="CX134" s="24"/>
      <c r="CY134" s="24"/>
      <c r="CZ134" s="24"/>
      <c r="DA134" s="24"/>
      <c r="DB134" s="24"/>
      <c r="DC134" s="24"/>
      <c r="DD134" s="24"/>
      <c r="DE134" s="24"/>
      <c r="DF134" s="24"/>
      <c r="DG134" s="24"/>
      <c r="DH134" s="24"/>
      <c r="DI134" s="24"/>
      <c r="DJ134" s="24"/>
      <c r="DK134" s="24"/>
      <c r="DL134" s="24"/>
      <c r="DM134" s="24"/>
      <c r="DN134" s="24"/>
      <c r="DO134" s="24"/>
      <c r="DP134" s="24"/>
      <c r="DQ134" s="24"/>
      <c r="DR134" s="24"/>
      <c r="DS134" s="24"/>
      <c r="DT134" s="24"/>
      <c r="DU134" s="24"/>
      <c r="DV134" s="24"/>
      <c r="DW134" s="24"/>
      <c r="DX134" s="24"/>
      <c r="DY134" s="24"/>
      <c r="DZ134" s="24"/>
      <c r="EA134" s="24"/>
      <c r="EB134" s="24"/>
      <c r="EC134" s="24"/>
      <c r="ED134" s="24"/>
      <c r="EE134" s="24"/>
      <c r="EF134" s="24"/>
      <c r="EG134" s="24"/>
      <c r="EH134" s="24"/>
      <c r="EI134" s="24"/>
      <c r="EJ134" s="24"/>
      <c r="EK134" s="24"/>
      <c r="EL134" s="24"/>
      <c r="EM134" s="1" t="s">
        <v>191</v>
      </c>
    </row>
    <row r="135" spans="3:143" x14ac:dyDescent="0.45">
      <c r="D135" s="1" t="s">
        <v>206</v>
      </c>
      <c r="E135" s="24"/>
      <c r="F135" s="24"/>
      <c r="G135" s="24"/>
      <c r="H135" s="24">
        <f>+G141</f>
        <v>5651390.8349986859</v>
      </c>
      <c r="I135" s="24">
        <f t="shared" ref="I135:BT135" si="1016">+H141</f>
        <v>5695250.9987528827</v>
      </c>
      <c r="J135" s="24">
        <f t="shared" si="1016"/>
        <v>5637499.6590483868</v>
      </c>
      <c r="K135" s="24">
        <f t="shared" si="1016"/>
        <v>5574579.810247371</v>
      </c>
      <c r="L135" s="24">
        <f t="shared" si="1016"/>
        <v>5506412.0357408384</v>
      </c>
      <c r="M135" s="24">
        <f t="shared" si="1016"/>
        <v>5392544.0183049515</v>
      </c>
      <c r="N135" s="24">
        <f t="shared" si="1016"/>
        <v>5291424.9342948338</v>
      </c>
      <c r="O135" s="24">
        <f t="shared" si="1016"/>
        <v>5229243.1677561942</v>
      </c>
      <c r="P135" s="24">
        <f t="shared" si="1016"/>
        <v>5168965.4820848675</v>
      </c>
      <c r="Q135" s="24">
        <f t="shared" si="1016"/>
        <v>5110624.8322287584</v>
      </c>
      <c r="R135" s="24">
        <f t="shared" si="1016"/>
        <v>5049254.5921331551</v>
      </c>
      <c r="S135" s="24">
        <f t="shared" si="1016"/>
        <v>4994829.9851556346</v>
      </c>
      <c r="T135" s="24">
        <f t="shared" si="1016"/>
        <v>4943443.1266817739</v>
      </c>
      <c r="U135" s="24">
        <f t="shared" si="1016"/>
        <v>4894140.3847601255</v>
      </c>
      <c r="V135" s="24">
        <f t="shared" si="1016"/>
        <v>4846956.9890184188</v>
      </c>
      <c r="W135" s="24">
        <f t="shared" si="1016"/>
        <v>4801928.6151867351</v>
      </c>
      <c r="X135" s="24">
        <f t="shared" si="1016"/>
        <v>4759091.39041573</v>
      </c>
      <c r="Y135" s="24">
        <f t="shared" si="1016"/>
        <v>4718481.8986573964</v>
      </c>
      <c r="Z135" s="24">
        <f t="shared" si="1016"/>
        <v>4680137.1861091014</v>
      </c>
      <c r="AA135" s="24">
        <f t="shared" si="1016"/>
        <v>4644094.7667216444</v>
      </c>
      <c r="AB135" s="24">
        <f t="shared" si="1016"/>
        <v>4610392.6277720761</v>
      </c>
      <c r="AC135" s="24">
        <f t="shared" si="1016"/>
        <v>4579069.2355020475</v>
      </c>
      <c r="AD135" s="24">
        <f t="shared" si="1016"/>
        <v>4550163.5408224575</v>
      </c>
      <c r="AE135" s="24">
        <f t="shared" si="1016"/>
        <v>4523714.9850851623</v>
      </c>
      <c r="AF135" s="24">
        <f t="shared" si="1016"/>
        <v>4265463.505922555</v>
      </c>
      <c r="AG135" s="24">
        <f t="shared" si="1016"/>
        <v>4289764.4734913781</v>
      </c>
      <c r="AH135" s="24">
        <f t="shared" si="1016"/>
        <v>4311468.0425210139</v>
      </c>
      <c r="AI135" s="24">
        <f t="shared" si="1016"/>
        <v>4330532.3227925878</v>
      </c>
      <c r="AJ135" s="24">
        <f t="shared" si="1016"/>
        <v>4341848.5781327868</v>
      </c>
      <c r="AK135" s="24">
        <f t="shared" si="1016"/>
        <v>4345293.637402175</v>
      </c>
      <c r="AL135" s="24">
        <f t="shared" si="1016"/>
        <v>4340742.7864635242</v>
      </c>
      <c r="AM135" s="24">
        <f t="shared" si="1016"/>
        <v>4335801.178264169</v>
      </c>
      <c r="AN135" s="24">
        <f t="shared" si="1016"/>
        <v>4330463.5050542671</v>
      </c>
      <c r="AO135" s="24">
        <f t="shared" si="1016"/>
        <v>0</v>
      </c>
      <c r="AP135" s="24">
        <f t="shared" si="1016"/>
        <v>0</v>
      </c>
      <c r="AQ135" s="24">
        <f t="shared" si="1016"/>
        <v>0</v>
      </c>
      <c r="AR135" s="24">
        <f t="shared" si="1016"/>
        <v>0</v>
      </c>
      <c r="AS135" s="24">
        <f t="shared" si="1016"/>
        <v>0</v>
      </c>
      <c r="AT135" s="24">
        <f t="shared" si="1016"/>
        <v>0</v>
      </c>
      <c r="AU135" s="24">
        <f t="shared" si="1016"/>
        <v>0</v>
      </c>
      <c r="AV135" s="24">
        <f t="shared" si="1016"/>
        <v>0</v>
      </c>
      <c r="AW135" s="24">
        <f t="shared" si="1016"/>
        <v>0</v>
      </c>
      <c r="AX135" s="24">
        <f t="shared" si="1016"/>
        <v>0</v>
      </c>
      <c r="AY135" s="24">
        <f t="shared" si="1016"/>
        <v>0</v>
      </c>
      <c r="AZ135" s="24">
        <f t="shared" si="1016"/>
        <v>0</v>
      </c>
      <c r="BA135" s="24">
        <f t="shared" si="1016"/>
        <v>0</v>
      </c>
      <c r="BB135" s="24">
        <f t="shared" si="1016"/>
        <v>0</v>
      </c>
      <c r="BC135" s="24">
        <f t="shared" si="1016"/>
        <v>0</v>
      </c>
      <c r="BD135" s="24">
        <f t="shared" si="1016"/>
        <v>0</v>
      </c>
      <c r="BE135" s="24">
        <f t="shared" si="1016"/>
        <v>0</v>
      </c>
      <c r="BF135" s="24">
        <f t="shared" si="1016"/>
        <v>0</v>
      </c>
      <c r="BG135" s="24">
        <f t="shared" si="1016"/>
        <v>0</v>
      </c>
      <c r="BH135" s="24">
        <f t="shared" si="1016"/>
        <v>0</v>
      </c>
      <c r="BI135" s="24">
        <f t="shared" si="1016"/>
        <v>0</v>
      </c>
      <c r="BJ135" s="24">
        <f t="shared" si="1016"/>
        <v>0</v>
      </c>
      <c r="BK135" s="24">
        <f t="shared" si="1016"/>
        <v>0</v>
      </c>
      <c r="BL135" s="24">
        <f t="shared" si="1016"/>
        <v>0</v>
      </c>
      <c r="BM135" s="24">
        <f t="shared" si="1016"/>
        <v>0</v>
      </c>
      <c r="BN135" s="24">
        <f t="shared" si="1016"/>
        <v>0</v>
      </c>
      <c r="BO135" s="24">
        <f t="shared" si="1016"/>
        <v>0</v>
      </c>
      <c r="BP135" s="24">
        <f t="shared" si="1016"/>
        <v>0</v>
      </c>
      <c r="BQ135" s="24">
        <f t="shared" si="1016"/>
        <v>-4635.109062170488</v>
      </c>
      <c r="BR135" s="24">
        <f t="shared" si="1016"/>
        <v>-4644.6281151753674</v>
      </c>
      <c r="BS135" s="24">
        <f t="shared" si="1016"/>
        <v>-4654.1667705003256</v>
      </c>
      <c r="BT135" s="24">
        <f t="shared" si="1016"/>
        <v>-4663.7250686017987</v>
      </c>
      <c r="BU135" s="24">
        <f t="shared" ref="BU135:CV135" si="1017">+BT141</f>
        <v>-4673.3030500198647</v>
      </c>
      <c r="BV135" s="24">
        <f t="shared" si="1017"/>
        <v>-4682.9007553784286</v>
      </c>
      <c r="BW135" s="24">
        <f t="shared" si="1017"/>
        <v>-4692.5182253853818</v>
      </c>
      <c r="BX135" s="24">
        <f t="shared" si="1017"/>
        <v>-4702.1555008327987</v>
      </c>
      <c r="BY135" s="24">
        <f t="shared" si="1017"/>
        <v>-4711.8126225970809</v>
      </c>
      <c r="BZ135" s="24">
        <f t="shared" si="1017"/>
        <v>-4721.4896316391541</v>
      </c>
      <c r="CA135" s="24">
        <f t="shared" si="1017"/>
        <v>-4731.1865690046443</v>
      </c>
      <c r="CB135" s="24">
        <f t="shared" si="1017"/>
        <v>-4740.9034758240323</v>
      </c>
      <c r="CC135" s="24">
        <f t="shared" si="1017"/>
        <v>-4750.6403933128513</v>
      </c>
      <c r="CD135" s="24">
        <f t="shared" si="1017"/>
        <v>-4760.3973627718487</v>
      </c>
      <c r="CE135" s="24">
        <f t="shared" si="1017"/>
        <v>-4770.1744255871772</v>
      </c>
      <c r="CF135" s="24">
        <f t="shared" si="1017"/>
        <v>-4779.9716232305509</v>
      </c>
      <c r="CG135" s="24">
        <f t="shared" si="1017"/>
        <v>-4789.7889972594448</v>
      </c>
      <c r="CH135" s="24">
        <f t="shared" si="1017"/>
        <v>-4799.6265893172549</v>
      </c>
      <c r="CI135" s="24">
        <f t="shared" si="1017"/>
        <v>-4809.4844411334852</v>
      </c>
      <c r="CJ135" s="24">
        <f t="shared" si="1017"/>
        <v>-4819.3625945239255</v>
      </c>
      <c r="CK135" s="24">
        <f t="shared" si="1017"/>
        <v>-4829.2610913908256</v>
      </c>
      <c r="CL135" s="24">
        <f t="shared" si="1017"/>
        <v>-4839.1799737230785</v>
      </c>
      <c r="CM135" s="24">
        <f t="shared" si="1017"/>
        <v>-4849.1192835963984</v>
      </c>
      <c r="CN135" s="24">
        <f t="shared" si="1017"/>
        <v>-4859.0790631735026</v>
      </c>
      <c r="CO135" s="24">
        <f t="shared" si="1017"/>
        <v>-4869.0593547042836</v>
      </c>
      <c r="CP135" s="24">
        <f t="shared" si="1017"/>
        <v>-4879.0602005260052</v>
      </c>
      <c r="CQ135" s="24">
        <f t="shared" si="1017"/>
        <v>-4889.0816430634641</v>
      </c>
      <c r="CR135" s="24">
        <f t="shared" si="1017"/>
        <v>-4899.1237248291882</v>
      </c>
      <c r="CS135" s="24">
        <f t="shared" si="1017"/>
        <v>-4909.1864884236056</v>
      </c>
      <c r="CT135" s="24">
        <f t="shared" si="1017"/>
        <v>-4919.2699765352345</v>
      </c>
      <c r="CU135" s="24">
        <f t="shared" si="1017"/>
        <v>-4929.374231940863</v>
      </c>
      <c r="CV135" s="24">
        <f t="shared" si="1017"/>
        <v>-4939.4992975057366</v>
      </c>
      <c r="CW135" s="24">
        <f t="shared" ref="CW135" si="1018">+CV141</f>
        <v>-4949.6452161837251</v>
      </c>
      <c r="CX135" s="24">
        <f t="shared" ref="CX135" si="1019">+CW141</f>
        <v>-4959.8120310175309</v>
      </c>
      <c r="CY135" s="24">
        <f t="shared" ref="CY135" si="1020">+CX141</f>
        <v>-4969.9997851388489</v>
      </c>
      <c r="CZ135" s="24">
        <f t="shared" ref="CZ135" si="1021">+CY141</f>
        <v>-4980.2085217685735</v>
      </c>
      <c r="DA135" s="24">
        <f t="shared" ref="DA135" si="1022">+CZ141</f>
        <v>-4990.4382842169571</v>
      </c>
      <c r="DB135" s="24">
        <f t="shared" ref="DB135" si="1023">+DA141</f>
        <v>-5000.6891158838253</v>
      </c>
      <c r="DC135" s="24">
        <f t="shared" ref="DC135" si="1024">+DB141</f>
        <v>-5010.9610602587327</v>
      </c>
      <c r="DD135" s="24">
        <f t="shared" ref="DD135" si="1025">+DC141</f>
        <v>-5021.2541609211721</v>
      </c>
      <c r="DE135" s="24">
        <f t="shared" ref="DE135" si="1026">+DD141</f>
        <v>-5031.5684615407481</v>
      </c>
      <c r="DF135" s="24">
        <f t="shared" ref="DF135" si="1027">+DE141</f>
        <v>-5041.9040058773662</v>
      </c>
      <c r="DG135" s="24">
        <f t="shared" ref="DG135" si="1028">+DF141</f>
        <v>-5052.2608377814231</v>
      </c>
      <c r="DH135" s="24">
        <f t="shared" ref="DH135" si="1029">+DG141</f>
        <v>-5062.6390011939875</v>
      </c>
      <c r="DI135" s="24">
        <f t="shared" ref="DI135" si="1030">+DH141</f>
        <v>-5073.038540146993</v>
      </c>
      <c r="DJ135" s="24">
        <f t="shared" ref="DJ135" si="1031">+DI141</f>
        <v>-5083.4594987634327</v>
      </c>
      <c r="DK135" s="24">
        <f t="shared" ref="DK135" si="1032">+DJ141</f>
        <v>-5093.9019212575295</v>
      </c>
      <c r="DL135" s="24">
        <f t="shared" ref="DL135" si="1033">+DK141</f>
        <v>-5104.3658519349419</v>
      </c>
      <c r="DM135" s="24">
        <f t="shared" ref="DM135" si="1034">+DL141</f>
        <v>-5114.851335192945</v>
      </c>
      <c r="DN135" s="24">
        <f t="shared" ref="DN135" si="1035">+DM141</f>
        <v>-5125.3584155206263</v>
      </c>
      <c r="DO135" s="24">
        <f t="shared" ref="DO135" si="1036">+DN141</f>
        <v>-5135.8871374990658</v>
      </c>
      <c r="DP135" s="24">
        <f t="shared" ref="DP135" si="1037">+DO141</f>
        <v>-5146.4375458015375</v>
      </c>
      <c r="DQ135" s="24">
        <f t="shared" ref="DQ135" si="1038">+DP141</f>
        <v>-5157.0096851936942</v>
      </c>
      <c r="DR135" s="24">
        <f t="shared" ref="DR135" si="1039">+DQ141</f>
        <v>-5167.6036005337583</v>
      </c>
      <c r="DS135" s="24">
        <f t="shared" ref="DS135" si="1040">+DR141</f>
        <v>-5178.2193367727186</v>
      </c>
      <c r="DT135" s="24">
        <f t="shared" ref="DT135" si="1041">+DS141</f>
        <v>-5188.8569389545173</v>
      </c>
      <c r="DU135" s="24">
        <f t="shared" ref="DU135" si="1042">+DT141</f>
        <v>-5199.5164522162459</v>
      </c>
      <c r="DV135" s="24">
        <f t="shared" ref="DV135" si="1043">+DU141</f>
        <v>-5210.1979217883363</v>
      </c>
      <c r="DW135" s="24">
        <f t="shared" ref="DW135" si="1044">+DV141</f>
        <v>-5220.9013929947505</v>
      </c>
      <c r="DX135" s="24">
        <f t="shared" ref="DX135" si="1045">+DW141</f>
        <v>-5231.6269112531818</v>
      </c>
      <c r="DY135" s="24">
        <f t="shared" ref="DY135" si="1046">+DX141</f>
        <v>-5242.3745220752444</v>
      </c>
      <c r="DZ135" s="24">
        <f t="shared" ref="DZ135" si="1047">+DY141</f>
        <v>-5253.1442710666724</v>
      </c>
      <c r="EA135" s="24">
        <f t="shared" ref="EA135" si="1048">+DZ141</f>
        <v>-5263.9362039275065</v>
      </c>
      <c r="EB135" s="24">
        <f t="shared" ref="EB135" si="1049">+EA141</f>
        <v>-5274.7503664522901</v>
      </c>
      <c r="EC135" s="24">
        <f t="shared" ref="EC135" si="1050">+EB141</f>
        <v>-5285.5868045302823</v>
      </c>
      <c r="ED135" s="24">
        <f t="shared" ref="ED135" si="1051">+EC141</f>
        <v>-5296.4455641456261</v>
      </c>
      <c r="EE135" s="24">
        <f t="shared" ref="EE135" si="1052">+ED141</f>
        <v>-5307.326691377566</v>
      </c>
      <c r="EF135" s="24">
        <f t="shared" ref="EF135" si="1053">+EE141</f>
        <v>-5318.2302324006396</v>
      </c>
      <c r="EG135" s="24">
        <f t="shared" ref="EG135" si="1054">+EF141</f>
        <v>-5329.1562334848713</v>
      </c>
      <c r="EH135" s="24">
        <f t="shared" ref="EH135" si="1055">+EG141</f>
        <v>-5340.1047409959756</v>
      </c>
      <c r="EI135" s="24">
        <f t="shared" ref="EI135" si="1056">+EH141</f>
        <v>-5351.0758013955437</v>
      </c>
      <c r="EJ135" s="24"/>
      <c r="EK135" s="24"/>
      <c r="EL135" s="24"/>
      <c r="EM135" s="1" t="s">
        <v>191</v>
      </c>
    </row>
    <row r="136" spans="3:143" x14ac:dyDescent="0.45">
      <c r="D136" s="1" t="s">
        <v>207</v>
      </c>
      <c r="E136" s="163">
        <f>+L90</f>
        <v>0.15</v>
      </c>
      <c r="F136" s="186">
        <f>+(1+E136)^(1/12)-1</f>
        <v>1.171491691985338E-2</v>
      </c>
      <c r="G136" s="24">
        <f>+$F$136*G135</f>
        <v>0</v>
      </c>
      <c r="H136" s="24">
        <f>+$F$136*H135</f>
        <v>66205.574113630428</v>
      </c>
      <c r="I136" s="24">
        <f t="shared" ref="I136:AN136" si="1057">+$F$136*I135</f>
        <v>66719.392288102012</v>
      </c>
      <c r="J136" s="24">
        <f t="shared" si="1057"/>
        <v>66042.840141453606</v>
      </c>
      <c r="K136" s="24">
        <f t="shared" si="1057"/>
        <v>65305.739340139968</v>
      </c>
      <c r="L136" s="24">
        <f t="shared" si="1057"/>
        <v>64507.159525184637</v>
      </c>
      <c r="M136" s="24">
        <f t="shared" si="1057"/>
        <v>63173.205161094811</v>
      </c>
      <c r="N136" s="24">
        <f t="shared" si="1057"/>
        <v>61988.603492904607</v>
      </c>
      <c r="O136" s="24">
        <f t="shared" si="1057"/>
        <v>61260.149263974723</v>
      </c>
      <c r="P136" s="24">
        <f t="shared" si="1057"/>
        <v>60554.001184214096</v>
      </c>
      <c r="Q136" s="24">
        <f t="shared" si="1057"/>
        <v>59870.545318099525</v>
      </c>
      <c r="R136" s="24">
        <f t="shared" si="1057"/>
        <v>59151.598054028073</v>
      </c>
      <c r="S136" s="24">
        <f t="shared" si="1057"/>
        <v>58514.018304890749</v>
      </c>
      <c r="T136" s="24">
        <f t="shared" si="1057"/>
        <v>57912.025527097205</v>
      </c>
      <c r="U136" s="24">
        <f t="shared" si="1057"/>
        <v>57334.448001564124</v>
      </c>
      <c r="V136" s="24">
        <f t="shared" si="1057"/>
        <v>56781.698440453467</v>
      </c>
      <c r="W136" s="24">
        <f t="shared" si="1057"/>
        <v>56254.194781979189</v>
      </c>
      <c r="X136" s="24">
        <f t="shared" si="1057"/>
        <v>55752.360252709783</v>
      </c>
      <c r="Y136" s="24">
        <f t="shared" si="1057"/>
        <v>55276.623430603431</v>
      </c>
      <c r="Z136" s="24">
        <f t="shared" si="1057"/>
        <v>54827.418308784501</v>
      </c>
      <c r="AA136" s="24">
        <f t="shared" si="1057"/>
        <v>54405.184360069929</v>
      </c>
      <c r="AB136" s="24">
        <f t="shared" si="1057"/>
        <v>54010.366602254377</v>
      </c>
      <c r="AC136" s="24">
        <f t="shared" si="1057"/>
        <v>53643.415664163018</v>
      </c>
      <c r="AD136" s="24">
        <f t="shared" si="1057"/>
        <v>53304.787852480971</v>
      </c>
      <c r="AE136" s="24">
        <f t="shared" si="1057"/>
        <v>52994.945219368448</v>
      </c>
      <c r="AF136" s="24">
        <f t="shared" si="1057"/>
        <v>49969.550596549256</v>
      </c>
      <c r="AG136" s="24">
        <f t="shared" si="1057"/>
        <v>50254.234412690072</v>
      </c>
      <c r="AH136" s="24">
        <f t="shared" si="1057"/>
        <v>50508.48992073656</v>
      </c>
      <c r="AI136" s="24">
        <f t="shared" si="1057"/>
        <v>50731.826380254846</v>
      </c>
      <c r="AJ136" s="24">
        <f t="shared" si="1057"/>
        <v>50864.395371409126</v>
      </c>
      <c r="AK136" s="24">
        <f t="shared" si="1057"/>
        <v>50904.753954533975</v>
      </c>
      <c r="AL136" s="24">
        <f t="shared" si="1057"/>
        <v>50851.441113873043</v>
      </c>
      <c r="AM136" s="24">
        <f t="shared" si="1057"/>
        <v>50793.550584367134</v>
      </c>
      <c r="AN136" s="24">
        <f t="shared" si="1057"/>
        <v>50731.020186167807</v>
      </c>
      <c r="AO136" s="24">
        <f t="shared" ref="AO136:BT136" si="1058">+$F$136*AO135</f>
        <v>0</v>
      </c>
      <c r="AP136" s="24">
        <f t="shared" si="1058"/>
        <v>0</v>
      </c>
      <c r="AQ136" s="24">
        <f t="shared" si="1058"/>
        <v>0</v>
      </c>
      <c r="AR136" s="24">
        <f t="shared" si="1058"/>
        <v>0</v>
      </c>
      <c r="AS136" s="24">
        <f t="shared" si="1058"/>
        <v>0</v>
      </c>
      <c r="AT136" s="24">
        <f t="shared" si="1058"/>
        <v>0</v>
      </c>
      <c r="AU136" s="24">
        <f t="shared" si="1058"/>
        <v>0</v>
      </c>
      <c r="AV136" s="24">
        <f t="shared" si="1058"/>
        <v>0</v>
      </c>
      <c r="AW136" s="24">
        <f t="shared" si="1058"/>
        <v>0</v>
      </c>
      <c r="AX136" s="24">
        <f t="shared" si="1058"/>
        <v>0</v>
      </c>
      <c r="AY136" s="24">
        <f t="shared" si="1058"/>
        <v>0</v>
      </c>
      <c r="AZ136" s="24">
        <f t="shared" si="1058"/>
        <v>0</v>
      </c>
      <c r="BA136" s="24">
        <f t="shared" si="1058"/>
        <v>0</v>
      </c>
      <c r="BB136" s="24">
        <f t="shared" si="1058"/>
        <v>0</v>
      </c>
      <c r="BC136" s="24">
        <f t="shared" si="1058"/>
        <v>0</v>
      </c>
      <c r="BD136" s="24">
        <f t="shared" si="1058"/>
        <v>0</v>
      </c>
      <c r="BE136" s="24">
        <f t="shared" si="1058"/>
        <v>0</v>
      </c>
      <c r="BF136" s="24">
        <f t="shared" si="1058"/>
        <v>0</v>
      </c>
      <c r="BG136" s="24">
        <f t="shared" si="1058"/>
        <v>0</v>
      </c>
      <c r="BH136" s="24">
        <f t="shared" si="1058"/>
        <v>0</v>
      </c>
      <c r="BI136" s="24">
        <f t="shared" si="1058"/>
        <v>0</v>
      </c>
      <c r="BJ136" s="24">
        <f t="shared" si="1058"/>
        <v>0</v>
      </c>
      <c r="BK136" s="24">
        <f t="shared" si="1058"/>
        <v>0</v>
      </c>
      <c r="BL136" s="24">
        <f t="shared" si="1058"/>
        <v>0</v>
      </c>
      <c r="BM136" s="24">
        <f t="shared" si="1058"/>
        <v>0</v>
      </c>
      <c r="BN136" s="24">
        <f t="shared" si="1058"/>
        <v>0</v>
      </c>
      <c r="BO136" s="24">
        <f t="shared" si="1058"/>
        <v>0</v>
      </c>
      <c r="BP136" s="24">
        <f t="shared" si="1058"/>
        <v>0</v>
      </c>
      <c r="BQ136" s="24">
        <f t="shared" si="1058"/>
        <v>-54.299917577786779</v>
      </c>
      <c r="BR136" s="24">
        <f t="shared" si="1058"/>
        <v>-54.411432492894626</v>
      </c>
      <c r="BS136" s="24">
        <f t="shared" si="1058"/>
        <v>-54.523177047553624</v>
      </c>
      <c r="BT136" s="24">
        <f t="shared" si="1058"/>
        <v>-54.635151715707579</v>
      </c>
      <c r="BU136" s="24">
        <f t="shared" ref="BU136:CV136" si="1059">+$F$136*BU135</f>
        <v>-54.747356972280116</v>
      </c>
      <c r="BV136" s="24">
        <f t="shared" si="1059"/>
        <v>-54.859793293176928</v>
      </c>
      <c r="BW136" s="24">
        <f t="shared" si="1059"/>
        <v>-54.972461155287561</v>
      </c>
      <c r="BX136" s="24">
        <f t="shared" si="1059"/>
        <v>-55.085361036487797</v>
      </c>
      <c r="BY136" s="24">
        <f t="shared" si="1059"/>
        <v>-55.198493415641273</v>
      </c>
      <c r="BZ136" s="24">
        <f t="shared" si="1059"/>
        <v>-55.31185877260183</v>
      </c>
      <c r="CA136" s="24">
        <f t="shared" si="1059"/>
        <v>-55.425457588215565</v>
      </c>
      <c r="CB136" s="24">
        <f t="shared" si="1059"/>
        <v>-55.539290344322652</v>
      </c>
      <c r="CC136" s="24">
        <f t="shared" si="1059"/>
        <v>-55.653357523759638</v>
      </c>
      <c r="CD136" s="24">
        <f t="shared" si="1059"/>
        <v>-55.767659610361342</v>
      </c>
      <c r="CE136" s="24">
        <f t="shared" si="1059"/>
        <v>-55.882197088963096</v>
      </c>
      <c r="CF136" s="24">
        <f t="shared" si="1059"/>
        <v>-55.996970445402603</v>
      </c>
      <c r="CG136" s="24">
        <f t="shared" si="1059"/>
        <v>-56.111980166522223</v>
      </c>
      <c r="CH136" s="24">
        <f t="shared" si="1059"/>
        <v>-56.227226740170877</v>
      </c>
      <c r="CI136" s="24">
        <f t="shared" si="1059"/>
        <v>-56.34271065520624</v>
      </c>
      <c r="CJ136" s="24">
        <f t="shared" si="1059"/>
        <v>-56.458432401496822</v>
      </c>
      <c r="CK136" s="24">
        <f t="shared" si="1059"/>
        <v>-56.574392469923986</v>
      </c>
      <c r="CL136" s="24">
        <f t="shared" si="1059"/>
        <v>-56.690591352384125</v>
      </c>
      <c r="CM136" s="24">
        <f t="shared" si="1059"/>
        <v>-56.807029541790747</v>
      </c>
      <c r="CN136" s="24">
        <f t="shared" si="1059"/>
        <v>-56.923707532076577</v>
      </c>
      <c r="CO136" s="24">
        <f t="shared" si="1059"/>
        <v>-57.040625818195593</v>
      </c>
      <c r="CP136" s="24">
        <f t="shared" si="1059"/>
        <v>-57.157784896125321</v>
      </c>
      <c r="CQ136" s="24">
        <f t="shared" si="1059"/>
        <v>-57.275185262868739</v>
      </c>
      <c r="CR136" s="24">
        <f t="shared" si="1059"/>
        <v>-57.392827416456569</v>
      </c>
      <c r="CS136" s="24">
        <f t="shared" si="1059"/>
        <v>-57.510711855949296</v>
      </c>
      <c r="CT136" s="24">
        <f t="shared" si="1059"/>
        <v>-57.628839081439359</v>
      </c>
      <c r="CU136" s="24">
        <f t="shared" si="1059"/>
        <v>-57.747209594053274</v>
      </c>
      <c r="CV136" s="24">
        <f t="shared" si="1059"/>
        <v>-57.865823895953838</v>
      </c>
      <c r="CW136" s="24">
        <f t="shared" ref="CW136:EI136" si="1060">+$F$136*CW135</f>
        <v>-57.98468249034206</v>
      </c>
      <c r="CX136" s="24">
        <f t="shared" si="1060"/>
        <v>-58.103785881459629</v>
      </c>
      <c r="CY136" s="24">
        <f t="shared" si="1060"/>
        <v>-58.223134574590766</v>
      </c>
      <c r="CZ136" s="24">
        <f t="shared" si="1060"/>
        <v>-58.34272907606465</v>
      </c>
      <c r="DA136" s="24">
        <f t="shared" si="1060"/>
        <v>-58.462569893257303</v>
      </c>
      <c r="DB136" s="24">
        <f t="shared" si="1060"/>
        <v>-58.582657534594063</v>
      </c>
      <c r="DC136" s="24">
        <f t="shared" si="1060"/>
        <v>-58.702992509551457</v>
      </c>
      <c r="DD136" s="24">
        <f t="shared" si="1060"/>
        <v>-58.823575328659622</v>
      </c>
      <c r="DE136" s="24">
        <f t="shared" si="1060"/>
        <v>-58.944406503504347</v>
      </c>
      <c r="DF136" s="24">
        <f t="shared" si="1060"/>
        <v>-59.065486546729289</v>
      </c>
      <c r="DG136" s="24">
        <f t="shared" si="1060"/>
        <v>-59.186815972038204</v>
      </c>
      <c r="DH136" s="24">
        <f t="shared" si="1060"/>
        <v>-59.308395294197062</v>
      </c>
      <c r="DI136" s="24">
        <f t="shared" si="1060"/>
        <v>-59.430225029036301</v>
      </c>
      <c r="DJ136" s="24">
        <f t="shared" si="1060"/>
        <v>-59.552305693453121</v>
      </c>
      <c r="DK136" s="24">
        <f t="shared" si="1060"/>
        <v>-59.674637805413468</v>
      </c>
      <c r="DL136" s="24">
        <f t="shared" si="1060"/>
        <v>-59.797221883954464</v>
      </c>
      <c r="DM136" s="24">
        <f t="shared" si="1060"/>
        <v>-59.920058449186484</v>
      </c>
      <c r="DN136" s="24">
        <f t="shared" si="1060"/>
        <v>-60.043148022295497</v>
      </c>
      <c r="DO136" s="24">
        <f t="shared" si="1060"/>
        <v>-60.16649112554515</v>
      </c>
      <c r="DP136" s="24">
        <f t="shared" si="1060"/>
        <v>-60.290088282279136</v>
      </c>
      <c r="DQ136" s="24">
        <f t="shared" si="1060"/>
        <v>-60.413940016923362</v>
      </c>
      <c r="DR136" s="24">
        <f t="shared" si="1060"/>
        <v>-60.538046854988167</v>
      </c>
      <c r="DS136" s="24">
        <f t="shared" si="1060"/>
        <v>-60.662409323070669</v>
      </c>
      <c r="DT136" s="24">
        <f t="shared" si="1060"/>
        <v>-60.787027948856888</v>
      </c>
      <c r="DU136" s="24">
        <f t="shared" si="1060"/>
        <v>-60.911903261124117</v>
      </c>
      <c r="DV136" s="24">
        <f t="shared" si="1060"/>
        <v>-61.037035789743101</v>
      </c>
      <c r="DW136" s="24">
        <f t="shared" si="1060"/>
        <v>-61.162426065680279</v>
      </c>
      <c r="DX136" s="24">
        <f t="shared" si="1060"/>
        <v>-61.288074621000177</v>
      </c>
      <c r="DY136" s="24">
        <f t="shared" si="1060"/>
        <v>-61.413981988867555</v>
      </c>
      <c r="DZ136" s="24">
        <f t="shared" si="1060"/>
        <v>-61.540148703549811</v>
      </c>
      <c r="EA136" s="24">
        <f t="shared" si="1060"/>
        <v>-61.666575300419119</v>
      </c>
      <c r="EB136" s="24">
        <f t="shared" si="1060"/>
        <v>-61.793262315954749</v>
      </c>
      <c r="EC136" s="24">
        <f t="shared" si="1060"/>
        <v>-61.920210287745562</v>
      </c>
      <c r="ED136" s="24">
        <f t="shared" si="1060"/>
        <v>-62.047419754491976</v>
      </c>
      <c r="EE136" s="24">
        <f t="shared" si="1060"/>
        <v>-62.174891256008507</v>
      </c>
      <c r="EF136" s="24">
        <f t="shared" si="1060"/>
        <v>-62.302625333226025</v>
      </c>
      <c r="EG136" s="24">
        <f t="shared" si="1060"/>
        <v>-62.430622528194029</v>
      </c>
      <c r="EH136" s="24">
        <f t="shared" si="1060"/>
        <v>-62.558883384083003</v>
      </c>
      <c r="EI136" s="24">
        <f t="shared" si="1060"/>
        <v>-62.687408445186641</v>
      </c>
      <c r="EJ136" s="24"/>
      <c r="EK136" s="24"/>
      <c r="EL136" s="24"/>
      <c r="EM136" s="1" t="s">
        <v>191</v>
      </c>
    </row>
    <row r="137" spans="3:143" x14ac:dyDescent="0.45">
      <c r="C137" s="47"/>
      <c r="D137" s="1" t="s">
        <v>193</v>
      </c>
      <c r="E137" s="24"/>
      <c r="F137" s="24"/>
      <c r="G137" s="24">
        <f t="shared" ref="G137:AL137" si="1061">MIN(G118,0)</f>
        <v>-5651390.8349986859</v>
      </c>
      <c r="H137" s="24">
        <f t="shared" si="1061"/>
        <v>-22345.410359434267</v>
      </c>
      <c r="I137" s="24">
        <f t="shared" si="1061"/>
        <v>-124470.73199259791</v>
      </c>
      <c r="J137" s="24">
        <f t="shared" si="1061"/>
        <v>-128962.68894246993</v>
      </c>
      <c r="K137" s="24">
        <f t="shared" si="1061"/>
        <v>-133473.51384667229</v>
      </c>
      <c r="L137" s="24">
        <f t="shared" si="1061"/>
        <v>-178375.17696107196</v>
      </c>
      <c r="M137" s="24">
        <f t="shared" si="1061"/>
        <v>-164292.28917121224</v>
      </c>
      <c r="N137" s="24">
        <f t="shared" si="1061"/>
        <v>-124170.37003154399</v>
      </c>
      <c r="O137" s="24">
        <f t="shared" si="1061"/>
        <v>-121537.83493530095</v>
      </c>
      <c r="P137" s="24">
        <f t="shared" si="1061"/>
        <v>-118894.65104032315</v>
      </c>
      <c r="Q137" s="24">
        <f t="shared" si="1061"/>
        <v>-121240.78541370273</v>
      </c>
      <c r="R137" s="24">
        <f t="shared" si="1061"/>
        <v>-113576.20503154901</v>
      </c>
      <c r="S137" s="24">
        <f t="shared" si="1061"/>
        <v>-109900.87677875203</v>
      </c>
      <c r="T137" s="24">
        <f t="shared" si="1061"/>
        <v>-107214.76744874577</v>
      </c>
      <c r="U137" s="24">
        <f t="shared" si="1061"/>
        <v>-104517.8437432709</v>
      </c>
      <c r="V137" s="24">
        <f t="shared" si="1061"/>
        <v>-101810.07227213717</v>
      </c>
      <c r="W137" s="24">
        <f t="shared" si="1061"/>
        <v>-99091.419552984415</v>
      </c>
      <c r="X137" s="24">
        <f t="shared" si="1061"/>
        <v>-96361.852011043797</v>
      </c>
      <c r="Y137" s="24">
        <f t="shared" si="1061"/>
        <v>-93621.335978898205</v>
      </c>
      <c r="Z137" s="24">
        <f t="shared" si="1061"/>
        <v>-90869.837696241666</v>
      </c>
      <c r="AA137" s="24">
        <f t="shared" si="1061"/>
        <v>-88107.323309638581</v>
      </c>
      <c r="AB137" s="24">
        <f t="shared" si="1061"/>
        <v>-85333.758872282473</v>
      </c>
      <c r="AC137" s="24">
        <f t="shared" si="1061"/>
        <v>-82549.110343753608</v>
      </c>
      <c r="AD137" s="24">
        <f t="shared" si="1061"/>
        <v>-79753.343589776443</v>
      </c>
      <c r="AE137" s="24">
        <f t="shared" si="1061"/>
        <v>-311246.42438197631</v>
      </c>
      <c r="AF137" s="24">
        <f t="shared" si="1061"/>
        <v>0</v>
      </c>
      <c r="AG137" s="24">
        <f t="shared" si="1061"/>
        <v>0</v>
      </c>
      <c r="AH137" s="24">
        <f t="shared" si="1061"/>
        <v>0</v>
      </c>
      <c r="AI137" s="24">
        <f t="shared" si="1061"/>
        <v>0</v>
      </c>
      <c r="AJ137" s="24">
        <f t="shared" si="1061"/>
        <v>0</v>
      </c>
      <c r="AK137" s="24">
        <f t="shared" si="1061"/>
        <v>0</v>
      </c>
      <c r="AL137" s="24">
        <f t="shared" si="1061"/>
        <v>0</v>
      </c>
      <c r="AM137" s="24">
        <f t="shared" ref="AM137:BR137" si="1062">MIN(AM118,0)</f>
        <v>0</v>
      </c>
      <c r="AN137" s="24">
        <f t="shared" si="1062"/>
        <v>0</v>
      </c>
      <c r="AO137" s="24">
        <f t="shared" si="1062"/>
        <v>0</v>
      </c>
      <c r="AP137" s="24">
        <f t="shared" si="1062"/>
        <v>0</v>
      </c>
      <c r="AQ137" s="24">
        <f t="shared" si="1062"/>
        <v>0</v>
      </c>
      <c r="AR137" s="24">
        <f t="shared" si="1062"/>
        <v>0</v>
      </c>
      <c r="AS137" s="24">
        <f t="shared" si="1062"/>
        <v>0</v>
      </c>
      <c r="AT137" s="24">
        <f t="shared" si="1062"/>
        <v>0</v>
      </c>
      <c r="AU137" s="24">
        <f t="shared" si="1062"/>
        <v>0</v>
      </c>
      <c r="AV137" s="24">
        <f t="shared" si="1062"/>
        <v>0</v>
      </c>
      <c r="AW137" s="24">
        <f t="shared" si="1062"/>
        <v>0</v>
      </c>
      <c r="AX137" s="24">
        <f t="shared" si="1062"/>
        <v>0</v>
      </c>
      <c r="AY137" s="24">
        <f t="shared" si="1062"/>
        <v>0</v>
      </c>
      <c r="AZ137" s="24">
        <f t="shared" si="1062"/>
        <v>0</v>
      </c>
      <c r="BA137" s="24">
        <f t="shared" si="1062"/>
        <v>0</v>
      </c>
      <c r="BB137" s="24">
        <f t="shared" si="1062"/>
        <v>0</v>
      </c>
      <c r="BC137" s="24">
        <f t="shared" si="1062"/>
        <v>0</v>
      </c>
      <c r="BD137" s="24">
        <f t="shared" si="1062"/>
        <v>0</v>
      </c>
      <c r="BE137" s="24">
        <f t="shared" si="1062"/>
        <v>0</v>
      </c>
      <c r="BF137" s="24">
        <f t="shared" si="1062"/>
        <v>0</v>
      </c>
      <c r="BG137" s="24">
        <f t="shared" si="1062"/>
        <v>0</v>
      </c>
      <c r="BH137" s="24">
        <f t="shared" si="1062"/>
        <v>0</v>
      </c>
      <c r="BI137" s="24">
        <f t="shared" si="1062"/>
        <v>0</v>
      </c>
      <c r="BJ137" s="24">
        <f t="shared" si="1062"/>
        <v>0</v>
      </c>
      <c r="BK137" s="24">
        <f t="shared" si="1062"/>
        <v>0</v>
      </c>
      <c r="BL137" s="24">
        <f t="shared" si="1062"/>
        <v>0</v>
      </c>
      <c r="BM137" s="24">
        <f t="shared" si="1062"/>
        <v>0</v>
      </c>
      <c r="BN137" s="24">
        <f t="shared" si="1062"/>
        <v>0</v>
      </c>
      <c r="BO137" s="24">
        <f t="shared" si="1062"/>
        <v>0</v>
      </c>
      <c r="BP137" s="24">
        <f t="shared" si="1062"/>
        <v>-4635.109062170488</v>
      </c>
      <c r="BQ137" s="24">
        <f t="shared" si="1062"/>
        <v>-4644.6281151753674</v>
      </c>
      <c r="BR137" s="24">
        <f t="shared" si="1062"/>
        <v>-4654.1667705003265</v>
      </c>
      <c r="BS137" s="24">
        <f t="shared" ref="BS137:CX137" si="1063">MIN(BS118,0)</f>
        <v>-4663.7250686017987</v>
      </c>
      <c r="BT137" s="24">
        <f t="shared" si="1063"/>
        <v>-4673.3030500198647</v>
      </c>
      <c r="BU137" s="24">
        <f t="shared" si="1063"/>
        <v>-4682.9007553784277</v>
      </c>
      <c r="BV137" s="24">
        <f t="shared" si="1063"/>
        <v>-4692.5182253853827</v>
      </c>
      <c r="BW137" s="24">
        <f t="shared" si="1063"/>
        <v>-4702.1555008327987</v>
      </c>
      <c r="BX137" s="24">
        <f t="shared" si="1063"/>
        <v>-4711.81262259708</v>
      </c>
      <c r="BY137" s="24">
        <f t="shared" si="1063"/>
        <v>-4721.489631639155</v>
      </c>
      <c r="BZ137" s="24">
        <f t="shared" si="1063"/>
        <v>-4731.1865690046443</v>
      </c>
      <c r="CA137" s="24">
        <f t="shared" si="1063"/>
        <v>-4740.9034758240332</v>
      </c>
      <c r="CB137" s="24">
        <f t="shared" si="1063"/>
        <v>-4750.6403933128513</v>
      </c>
      <c r="CC137" s="24">
        <f t="shared" si="1063"/>
        <v>-4760.3973627718497</v>
      </c>
      <c r="CD137" s="24">
        <f t="shared" si="1063"/>
        <v>-4770.1744255871772</v>
      </c>
      <c r="CE137" s="24">
        <f t="shared" si="1063"/>
        <v>-4779.9716232305518</v>
      </c>
      <c r="CF137" s="24">
        <f t="shared" si="1063"/>
        <v>-4789.7889972594448</v>
      </c>
      <c r="CG137" s="24">
        <f t="shared" si="1063"/>
        <v>-4799.6265893172558</v>
      </c>
      <c r="CH137" s="24">
        <f t="shared" si="1063"/>
        <v>-4809.4844411334852</v>
      </c>
      <c r="CI137" s="24">
        <f t="shared" si="1063"/>
        <v>-4819.3625945239255</v>
      </c>
      <c r="CJ137" s="24">
        <f t="shared" si="1063"/>
        <v>-4829.2610913908247</v>
      </c>
      <c r="CK137" s="24">
        <f t="shared" si="1063"/>
        <v>-4839.1799737230785</v>
      </c>
      <c r="CL137" s="24">
        <f t="shared" si="1063"/>
        <v>-4849.1192835963984</v>
      </c>
      <c r="CM137" s="24">
        <f t="shared" si="1063"/>
        <v>-4859.0790631735017</v>
      </c>
      <c r="CN137" s="24">
        <f t="shared" si="1063"/>
        <v>-4869.0593547042845</v>
      </c>
      <c r="CO137" s="24">
        <f t="shared" si="1063"/>
        <v>-4879.0602005260052</v>
      </c>
      <c r="CP137" s="24">
        <f t="shared" si="1063"/>
        <v>-4889.081643063465</v>
      </c>
      <c r="CQ137" s="24">
        <f t="shared" si="1063"/>
        <v>-4899.1237248291882</v>
      </c>
      <c r="CR137" s="24">
        <f t="shared" si="1063"/>
        <v>-4909.1864884236047</v>
      </c>
      <c r="CS137" s="24">
        <f t="shared" si="1063"/>
        <v>-4919.2699765352345</v>
      </c>
      <c r="CT137" s="24">
        <f t="shared" si="1063"/>
        <v>-4929.3742319408639</v>
      </c>
      <c r="CU137" s="24">
        <f t="shared" si="1063"/>
        <v>-4939.4992975057357</v>
      </c>
      <c r="CV137" s="24">
        <f t="shared" si="1063"/>
        <v>-4949.645216183726</v>
      </c>
      <c r="CW137" s="24">
        <f t="shared" si="1063"/>
        <v>-4959.81203101753</v>
      </c>
      <c r="CX137" s="24">
        <f t="shared" si="1063"/>
        <v>-4969.9997851388498</v>
      </c>
      <c r="CY137" s="24">
        <f t="shared" ref="CY137:EI137" si="1064">MIN(CY118,0)</f>
        <v>-4980.2085217685735</v>
      </c>
      <c r="CZ137" s="24">
        <f t="shared" si="1064"/>
        <v>-4990.438284216958</v>
      </c>
      <c r="DA137" s="24">
        <f t="shared" si="1064"/>
        <v>-5000.6891158838253</v>
      </c>
      <c r="DB137" s="24">
        <f t="shared" si="1064"/>
        <v>-5010.9610602587327</v>
      </c>
      <c r="DC137" s="24">
        <f t="shared" si="1064"/>
        <v>-5021.254160921173</v>
      </c>
      <c r="DD137" s="24">
        <f t="shared" si="1064"/>
        <v>-5031.5684615407481</v>
      </c>
      <c r="DE137" s="24">
        <f t="shared" si="1064"/>
        <v>-5041.9040058773662</v>
      </c>
      <c r="DF137" s="24">
        <f t="shared" si="1064"/>
        <v>-5052.2608377814222</v>
      </c>
      <c r="DG137" s="24">
        <f t="shared" si="1064"/>
        <v>-5062.6390011939866</v>
      </c>
      <c r="DH137" s="24">
        <f t="shared" si="1064"/>
        <v>-5073.0385401469939</v>
      </c>
      <c r="DI137" s="24">
        <f t="shared" si="1064"/>
        <v>-5083.4594987634327</v>
      </c>
      <c r="DJ137" s="24">
        <f t="shared" si="1064"/>
        <v>-5093.9019212575295</v>
      </c>
      <c r="DK137" s="24">
        <f t="shared" si="1064"/>
        <v>-5104.3658519349419</v>
      </c>
      <c r="DL137" s="24">
        <f t="shared" si="1064"/>
        <v>-5114.851335192946</v>
      </c>
      <c r="DM137" s="24">
        <f t="shared" si="1064"/>
        <v>-5125.3584155206263</v>
      </c>
      <c r="DN137" s="24">
        <f t="shared" si="1064"/>
        <v>-5135.8871374990649</v>
      </c>
      <c r="DO137" s="24">
        <f t="shared" si="1064"/>
        <v>-5146.4375458015375</v>
      </c>
      <c r="DP137" s="24">
        <f t="shared" si="1064"/>
        <v>-5157.0096851936942</v>
      </c>
      <c r="DQ137" s="24">
        <f t="shared" si="1064"/>
        <v>-5167.6036005337592</v>
      </c>
      <c r="DR137" s="24">
        <f t="shared" si="1064"/>
        <v>-5178.2193367727186</v>
      </c>
      <c r="DS137" s="24">
        <f t="shared" si="1064"/>
        <v>-5188.8569389545182</v>
      </c>
      <c r="DT137" s="24">
        <f t="shared" si="1064"/>
        <v>-5199.5164522162468</v>
      </c>
      <c r="DU137" s="24">
        <f t="shared" si="1064"/>
        <v>-5210.1979217883354</v>
      </c>
      <c r="DV137" s="24">
        <f t="shared" si="1064"/>
        <v>-5220.9013929947496</v>
      </c>
      <c r="DW137" s="24">
        <f t="shared" si="1064"/>
        <v>-5231.6269112531818</v>
      </c>
      <c r="DX137" s="24">
        <f t="shared" si="1064"/>
        <v>-5242.3745220752453</v>
      </c>
      <c r="DY137" s="24">
        <f t="shared" si="1064"/>
        <v>-5253.1442710666724</v>
      </c>
      <c r="DZ137" s="24">
        <f t="shared" si="1064"/>
        <v>-5263.9362039275065</v>
      </c>
      <c r="EA137" s="24">
        <f t="shared" si="1064"/>
        <v>-5274.750366452291</v>
      </c>
      <c r="EB137" s="24">
        <f t="shared" si="1064"/>
        <v>-5285.5868045302823</v>
      </c>
      <c r="EC137" s="24">
        <f t="shared" si="1064"/>
        <v>-5296.4455641456252</v>
      </c>
      <c r="ED137" s="24">
        <f t="shared" si="1064"/>
        <v>-5307.326691377566</v>
      </c>
      <c r="EE137" s="24">
        <f t="shared" si="1064"/>
        <v>-5318.2302324006396</v>
      </c>
      <c r="EF137" s="24">
        <f t="shared" si="1064"/>
        <v>-5329.1562334848704</v>
      </c>
      <c r="EG137" s="24">
        <f t="shared" si="1064"/>
        <v>-5340.1047409959747</v>
      </c>
      <c r="EH137" s="24">
        <f t="shared" si="1064"/>
        <v>-5351.0758013955437</v>
      </c>
      <c r="EI137" s="24">
        <f t="shared" si="1064"/>
        <v>-5362.0694612412608</v>
      </c>
      <c r="EJ137" s="24"/>
      <c r="EK137" s="24"/>
      <c r="EL137" s="24"/>
      <c r="EM137" s="1" t="s">
        <v>191</v>
      </c>
    </row>
    <row r="138" spans="3:143" x14ac:dyDescent="0.45">
      <c r="D138" s="1" t="s">
        <v>208</v>
      </c>
      <c r="E138" s="24"/>
      <c r="F138" s="24"/>
      <c r="G138" s="24"/>
      <c r="H138" s="24">
        <f t="shared" ref="H138:AM138" si="1065">H129</f>
        <v>0</v>
      </c>
      <c r="I138" s="24">
        <f t="shared" si="1065"/>
        <v>0</v>
      </c>
      <c r="J138" s="24">
        <f t="shared" si="1065"/>
        <v>0</v>
      </c>
      <c r="K138" s="24">
        <f t="shared" si="1065"/>
        <v>0</v>
      </c>
      <c r="L138" s="24">
        <f t="shared" si="1065"/>
        <v>0</v>
      </c>
      <c r="M138" s="24">
        <f t="shared" si="1065"/>
        <v>0</v>
      </c>
      <c r="N138" s="24">
        <f t="shared" si="1065"/>
        <v>0</v>
      </c>
      <c r="O138" s="24">
        <f t="shared" si="1065"/>
        <v>0</v>
      </c>
      <c r="P138" s="24">
        <f t="shared" si="1065"/>
        <v>0</v>
      </c>
      <c r="Q138" s="24">
        <f t="shared" si="1065"/>
        <v>0</v>
      </c>
      <c r="R138" s="24">
        <f t="shared" si="1065"/>
        <v>0</v>
      </c>
      <c r="S138" s="24">
        <f t="shared" si="1065"/>
        <v>0</v>
      </c>
      <c r="T138" s="24">
        <f t="shared" si="1065"/>
        <v>0</v>
      </c>
      <c r="U138" s="24">
        <f t="shared" si="1065"/>
        <v>0</v>
      </c>
      <c r="V138" s="24">
        <f t="shared" si="1065"/>
        <v>0</v>
      </c>
      <c r="W138" s="24">
        <f t="shared" si="1065"/>
        <v>0</v>
      </c>
      <c r="X138" s="24">
        <f t="shared" si="1065"/>
        <v>0</v>
      </c>
      <c r="Y138" s="24">
        <f t="shared" si="1065"/>
        <v>0</v>
      </c>
      <c r="Z138" s="24">
        <f t="shared" si="1065"/>
        <v>0</v>
      </c>
      <c r="AA138" s="24">
        <f t="shared" si="1065"/>
        <v>0</v>
      </c>
      <c r="AB138" s="24">
        <f t="shared" si="1065"/>
        <v>0</v>
      </c>
      <c r="AC138" s="24">
        <f t="shared" si="1065"/>
        <v>0</v>
      </c>
      <c r="AD138" s="24">
        <f t="shared" si="1065"/>
        <v>0</v>
      </c>
      <c r="AE138" s="24">
        <f t="shared" si="1065"/>
        <v>0</v>
      </c>
      <c r="AF138" s="24">
        <f t="shared" si="1065"/>
        <v>-22523.855515408057</v>
      </c>
      <c r="AG138" s="24">
        <f t="shared" si="1065"/>
        <v>-25353.182693594768</v>
      </c>
      <c r="AH138" s="24">
        <f t="shared" si="1065"/>
        <v>-28193.765577765211</v>
      </c>
      <c r="AI138" s="24">
        <f t="shared" si="1065"/>
        <v>-36016.839020373569</v>
      </c>
      <c r="AJ138" s="24">
        <f t="shared" si="1065"/>
        <v>-43871.720839711386</v>
      </c>
      <c r="AK138" s="24">
        <f t="shared" si="1065"/>
        <v>-51758.509269460686</v>
      </c>
      <c r="AL138" s="24">
        <f t="shared" si="1065"/>
        <v>-52088.362340348518</v>
      </c>
      <c r="AM138" s="24">
        <f t="shared" si="1065"/>
        <v>-52418.929841811558</v>
      </c>
      <c r="AN138" s="24">
        <f t="shared" ref="AN138:BS138" si="1066">AN129</f>
        <v>-9462512.4382197857</v>
      </c>
      <c r="AO138" s="24">
        <f t="shared" si="1066"/>
        <v>-25375.756998543977</v>
      </c>
      <c r="AP138" s="24">
        <f t="shared" si="1066"/>
        <v>-25708.477007572605</v>
      </c>
      <c r="AQ138" s="24">
        <f t="shared" si="1066"/>
        <v>-26041.917601996643</v>
      </c>
      <c r="AR138" s="24">
        <f t="shared" si="1066"/>
        <v>-26376.080328733373</v>
      </c>
      <c r="AS138" s="24">
        <f t="shared" si="1066"/>
        <v>-26710.96673799913</v>
      </c>
      <c r="AT138" s="24">
        <f t="shared" si="1066"/>
        <v>-27046.578383316111</v>
      </c>
      <c r="AU138" s="24">
        <f t="shared" si="1066"/>
        <v>-27382.916821519502</v>
      </c>
      <c r="AV138" s="24">
        <f t="shared" si="1066"/>
        <v>-27719.983612764492</v>
      </c>
      <c r="AW138" s="24">
        <f t="shared" si="1066"/>
        <v>-28057.780320533111</v>
      </c>
      <c r="AX138" s="24">
        <f t="shared" si="1066"/>
        <v>-28396.308511641524</v>
      </c>
      <c r="AY138" s="24">
        <f t="shared" si="1066"/>
        <v>-28735.569756247067</v>
      </c>
      <c r="AZ138" s="24">
        <f t="shared" si="1066"/>
        <v>-29075.565627855285</v>
      </c>
      <c r="BA138" s="24">
        <f t="shared" si="1066"/>
        <v>-29416.297703326771</v>
      </c>
      <c r="BB138" s="24">
        <f t="shared" si="1066"/>
        <v>-29757.767562885077</v>
      </c>
      <c r="BC138" s="24">
        <f t="shared" si="1066"/>
        <v>-30099.976790122921</v>
      </c>
      <c r="BD138" s="24">
        <f t="shared" si="1066"/>
        <v>-30442.926972009918</v>
      </c>
      <c r="BE138" s="24">
        <f t="shared" si="1066"/>
        <v>-30786.619698899398</v>
      </c>
      <c r="BF138" s="24">
        <f t="shared" si="1066"/>
        <v>-31131.056564535909</v>
      </c>
      <c r="BG138" s="24">
        <f t="shared" si="1066"/>
        <v>-31476.239166062322</v>
      </c>
      <c r="BH138" s="24">
        <f t="shared" si="1066"/>
        <v>-31822.169104026831</v>
      </c>
      <c r="BI138" s="24">
        <f t="shared" si="1066"/>
        <v>-32168.84798239042</v>
      </c>
      <c r="BJ138" s="24">
        <f t="shared" si="1066"/>
        <v>-32516.277408533879</v>
      </c>
      <c r="BK138" s="24">
        <f t="shared" si="1066"/>
        <v>-32864.458993265362</v>
      </c>
      <c r="BL138" s="24">
        <f t="shared" si="1066"/>
        <v>-33213.39435082733</v>
      </c>
      <c r="BM138" s="24">
        <f t="shared" si="1066"/>
        <v>-33563.08509890415</v>
      </c>
      <c r="BN138" s="24">
        <f t="shared" si="1066"/>
        <v>-33913.532858629107</v>
      </c>
      <c r="BO138" s="24">
        <f t="shared" si="1066"/>
        <v>-693464.83385316748</v>
      </c>
      <c r="BP138" s="24">
        <f t="shared" si="1066"/>
        <v>0</v>
      </c>
      <c r="BQ138" s="24">
        <f t="shared" si="1066"/>
        <v>0</v>
      </c>
      <c r="BR138" s="24">
        <f t="shared" si="1066"/>
        <v>0</v>
      </c>
      <c r="BS138" s="24">
        <f t="shared" si="1066"/>
        <v>0</v>
      </c>
      <c r="BT138" s="24">
        <f t="shared" ref="BT138:CY138" si="1067">BT129</f>
        <v>0</v>
      </c>
      <c r="BU138" s="24">
        <f t="shared" si="1067"/>
        <v>0</v>
      </c>
      <c r="BV138" s="24">
        <f t="shared" si="1067"/>
        <v>0</v>
      </c>
      <c r="BW138" s="24">
        <f t="shared" si="1067"/>
        <v>0</v>
      </c>
      <c r="BX138" s="24">
        <f t="shared" si="1067"/>
        <v>0</v>
      </c>
      <c r="BY138" s="24">
        <f t="shared" si="1067"/>
        <v>0</v>
      </c>
      <c r="BZ138" s="24">
        <f t="shared" si="1067"/>
        <v>0</v>
      </c>
      <c r="CA138" s="24">
        <f t="shared" si="1067"/>
        <v>0</v>
      </c>
      <c r="CB138" s="24">
        <f t="shared" si="1067"/>
        <v>0</v>
      </c>
      <c r="CC138" s="24">
        <f t="shared" si="1067"/>
        <v>0</v>
      </c>
      <c r="CD138" s="24">
        <f t="shared" si="1067"/>
        <v>0</v>
      </c>
      <c r="CE138" s="24">
        <f t="shared" si="1067"/>
        <v>0</v>
      </c>
      <c r="CF138" s="24">
        <f t="shared" si="1067"/>
        <v>0</v>
      </c>
      <c r="CG138" s="24">
        <f t="shared" si="1067"/>
        <v>0</v>
      </c>
      <c r="CH138" s="24">
        <f t="shared" si="1067"/>
        <v>0</v>
      </c>
      <c r="CI138" s="24">
        <f t="shared" si="1067"/>
        <v>0</v>
      </c>
      <c r="CJ138" s="24">
        <f t="shared" si="1067"/>
        <v>0</v>
      </c>
      <c r="CK138" s="24">
        <f t="shared" si="1067"/>
        <v>0</v>
      </c>
      <c r="CL138" s="24">
        <f t="shared" si="1067"/>
        <v>0</v>
      </c>
      <c r="CM138" s="24">
        <f t="shared" si="1067"/>
        <v>0</v>
      </c>
      <c r="CN138" s="24">
        <f t="shared" si="1067"/>
        <v>0</v>
      </c>
      <c r="CO138" s="24">
        <f t="shared" si="1067"/>
        <v>0</v>
      </c>
      <c r="CP138" s="24">
        <f t="shared" si="1067"/>
        <v>0</v>
      </c>
      <c r="CQ138" s="24">
        <f t="shared" si="1067"/>
        <v>0</v>
      </c>
      <c r="CR138" s="24">
        <f t="shared" si="1067"/>
        <v>0</v>
      </c>
      <c r="CS138" s="24">
        <f t="shared" si="1067"/>
        <v>0</v>
      </c>
      <c r="CT138" s="24">
        <f t="shared" si="1067"/>
        <v>0</v>
      </c>
      <c r="CU138" s="24">
        <f t="shared" si="1067"/>
        <v>0</v>
      </c>
      <c r="CV138" s="24">
        <f t="shared" si="1067"/>
        <v>0</v>
      </c>
      <c r="CW138" s="24">
        <f t="shared" si="1067"/>
        <v>0</v>
      </c>
      <c r="CX138" s="24">
        <f t="shared" si="1067"/>
        <v>0</v>
      </c>
      <c r="CY138" s="24">
        <f t="shared" si="1067"/>
        <v>0</v>
      </c>
      <c r="CZ138" s="24">
        <f t="shared" ref="CZ138:EI138" si="1068">CZ129</f>
        <v>0</v>
      </c>
      <c r="DA138" s="24">
        <f t="shared" si="1068"/>
        <v>0</v>
      </c>
      <c r="DB138" s="24">
        <f t="shared" si="1068"/>
        <v>0</v>
      </c>
      <c r="DC138" s="24">
        <f t="shared" si="1068"/>
        <v>0</v>
      </c>
      <c r="DD138" s="24">
        <f t="shared" si="1068"/>
        <v>0</v>
      </c>
      <c r="DE138" s="24">
        <f t="shared" si="1068"/>
        <v>0</v>
      </c>
      <c r="DF138" s="24">
        <f t="shared" si="1068"/>
        <v>0</v>
      </c>
      <c r="DG138" s="24">
        <f t="shared" si="1068"/>
        <v>0</v>
      </c>
      <c r="DH138" s="24">
        <f t="shared" si="1068"/>
        <v>0</v>
      </c>
      <c r="DI138" s="24">
        <f t="shared" si="1068"/>
        <v>0</v>
      </c>
      <c r="DJ138" s="24">
        <f t="shared" si="1068"/>
        <v>0</v>
      </c>
      <c r="DK138" s="24">
        <f t="shared" si="1068"/>
        <v>0</v>
      </c>
      <c r="DL138" s="24">
        <f t="shared" si="1068"/>
        <v>0</v>
      </c>
      <c r="DM138" s="24">
        <f t="shared" si="1068"/>
        <v>0</v>
      </c>
      <c r="DN138" s="24">
        <f t="shared" si="1068"/>
        <v>0</v>
      </c>
      <c r="DO138" s="24">
        <f t="shared" si="1068"/>
        <v>0</v>
      </c>
      <c r="DP138" s="24">
        <f t="shared" si="1068"/>
        <v>0</v>
      </c>
      <c r="DQ138" s="24">
        <f t="shared" si="1068"/>
        <v>0</v>
      </c>
      <c r="DR138" s="24">
        <f t="shared" si="1068"/>
        <v>0</v>
      </c>
      <c r="DS138" s="24">
        <f t="shared" si="1068"/>
        <v>0</v>
      </c>
      <c r="DT138" s="24">
        <f t="shared" si="1068"/>
        <v>0</v>
      </c>
      <c r="DU138" s="24">
        <f t="shared" si="1068"/>
        <v>0</v>
      </c>
      <c r="DV138" s="24">
        <f t="shared" si="1068"/>
        <v>0</v>
      </c>
      <c r="DW138" s="24">
        <f t="shared" si="1068"/>
        <v>0</v>
      </c>
      <c r="DX138" s="24">
        <f t="shared" si="1068"/>
        <v>0</v>
      </c>
      <c r="DY138" s="24">
        <f t="shared" si="1068"/>
        <v>0</v>
      </c>
      <c r="DZ138" s="24">
        <f t="shared" si="1068"/>
        <v>0</v>
      </c>
      <c r="EA138" s="24">
        <f t="shared" si="1068"/>
        <v>0</v>
      </c>
      <c r="EB138" s="24">
        <f t="shared" si="1068"/>
        <v>0</v>
      </c>
      <c r="EC138" s="24">
        <f t="shared" si="1068"/>
        <v>0</v>
      </c>
      <c r="ED138" s="24">
        <f t="shared" si="1068"/>
        <v>0</v>
      </c>
      <c r="EE138" s="24">
        <f t="shared" si="1068"/>
        <v>0</v>
      </c>
      <c r="EF138" s="24">
        <f t="shared" si="1068"/>
        <v>0</v>
      </c>
      <c r="EG138" s="24">
        <f t="shared" si="1068"/>
        <v>0</v>
      </c>
      <c r="EH138" s="24">
        <f t="shared" si="1068"/>
        <v>0</v>
      </c>
      <c r="EI138" s="24">
        <f t="shared" si="1068"/>
        <v>0</v>
      </c>
      <c r="EJ138" s="24"/>
      <c r="EK138" s="24"/>
      <c r="EL138" s="24"/>
      <c r="EM138" s="1" t="s">
        <v>191</v>
      </c>
    </row>
    <row r="139" spans="3:143" x14ac:dyDescent="0.45">
      <c r="D139" s="1" t="s">
        <v>39</v>
      </c>
      <c r="E139" s="24"/>
      <c r="F139" s="24"/>
      <c r="G139" s="24"/>
      <c r="H139" s="24">
        <f t="shared" ref="H139:N139" si="1069">SUM(H135:H138)</f>
        <v>5695250.9987528827</v>
      </c>
      <c r="I139" s="24">
        <f t="shared" si="1069"/>
        <v>5637499.6590483868</v>
      </c>
      <c r="J139" s="24">
        <f t="shared" si="1069"/>
        <v>5574579.810247371</v>
      </c>
      <c r="K139" s="24">
        <f t="shared" si="1069"/>
        <v>5506412.0357408384</v>
      </c>
      <c r="L139" s="24">
        <f t="shared" si="1069"/>
        <v>5392544.0183049515</v>
      </c>
      <c r="M139" s="24">
        <f t="shared" si="1069"/>
        <v>5291424.9342948338</v>
      </c>
      <c r="N139" s="24">
        <f t="shared" si="1069"/>
        <v>5229243.1677561942</v>
      </c>
      <c r="O139" s="24">
        <f t="shared" ref="O139:BT139" si="1070">SUM(O135:O138)</f>
        <v>5168965.4820848675</v>
      </c>
      <c r="P139" s="24">
        <f t="shared" si="1070"/>
        <v>5110624.8322287584</v>
      </c>
      <c r="Q139" s="24">
        <f t="shared" si="1070"/>
        <v>5049254.5921331551</v>
      </c>
      <c r="R139" s="24">
        <f t="shared" si="1070"/>
        <v>4994829.9851556346</v>
      </c>
      <c r="S139" s="24">
        <f t="shared" si="1070"/>
        <v>4943443.1266817739</v>
      </c>
      <c r="T139" s="24">
        <f t="shared" si="1070"/>
        <v>4894140.3847601255</v>
      </c>
      <c r="U139" s="24">
        <f t="shared" si="1070"/>
        <v>4846956.9890184188</v>
      </c>
      <c r="V139" s="24">
        <f t="shared" si="1070"/>
        <v>4801928.6151867351</v>
      </c>
      <c r="W139" s="24">
        <f t="shared" si="1070"/>
        <v>4759091.39041573</v>
      </c>
      <c r="X139" s="24">
        <f t="shared" si="1070"/>
        <v>4718481.8986573964</v>
      </c>
      <c r="Y139" s="24">
        <f t="shared" si="1070"/>
        <v>4680137.1861091014</v>
      </c>
      <c r="Z139" s="24">
        <f t="shared" si="1070"/>
        <v>4644094.7667216444</v>
      </c>
      <c r="AA139" s="24">
        <f t="shared" si="1070"/>
        <v>4610392.6277720761</v>
      </c>
      <c r="AB139" s="24">
        <f t="shared" si="1070"/>
        <v>4579069.2355020475</v>
      </c>
      <c r="AC139" s="24">
        <f t="shared" si="1070"/>
        <v>4550163.5408224575</v>
      </c>
      <c r="AD139" s="24">
        <f t="shared" si="1070"/>
        <v>4523714.9850851623</v>
      </c>
      <c r="AE139" s="24">
        <f t="shared" si="1070"/>
        <v>4265463.505922555</v>
      </c>
      <c r="AF139" s="24">
        <f t="shared" si="1070"/>
        <v>4292909.2010036958</v>
      </c>
      <c r="AG139" s="24">
        <f t="shared" si="1070"/>
        <v>4314665.5252104728</v>
      </c>
      <c r="AH139" s="24">
        <f t="shared" si="1070"/>
        <v>4333782.766863985</v>
      </c>
      <c r="AI139" s="24">
        <f t="shared" si="1070"/>
        <v>4345247.3101524692</v>
      </c>
      <c r="AJ139" s="24">
        <f t="shared" si="1070"/>
        <v>4348841.2526644841</v>
      </c>
      <c r="AK139" s="24">
        <f t="shared" si="1070"/>
        <v>4344439.8820872484</v>
      </c>
      <c r="AL139" s="24">
        <f t="shared" si="1070"/>
        <v>4339505.8652370488</v>
      </c>
      <c r="AM139" s="24">
        <f t="shared" si="1070"/>
        <v>4334175.7990067247</v>
      </c>
      <c r="AN139" s="24">
        <f t="shared" si="1070"/>
        <v>-5081317.9129793504</v>
      </c>
      <c r="AO139" s="24">
        <f t="shared" si="1070"/>
        <v>-25375.756998543977</v>
      </c>
      <c r="AP139" s="24">
        <f t="shared" si="1070"/>
        <v>-25708.477007572605</v>
      </c>
      <c r="AQ139" s="24">
        <f t="shared" si="1070"/>
        <v>-26041.917601996643</v>
      </c>
      <c r="AR139" s="24">
        <f t="shared" si="1070"/>
        <v>-26376.080328733373</v>
      </c>
      <c r="AS139" s="24">
        <f t="shared" si="1070"/>
        <v>-26710.96673799913</v>
      </c>
      <c r="AT139" s="24">
        <f t="shared" si="1070"/>
        <v>-27046.578383316111</v>
      </c>
      <c r="AU139" s="24">
        <f t="shared" si="1070"/>
        <v>-27382.916821519502</v>
      </c>
      <c r="AV139" s="24">
        <f t="shared" si="1070"/>
        <v>-27719.983612764492</v>
      </c>
      <c r="AW139" s="24">
        <f t="shared" si="1070"/>
        <v>-28057.780320533111</v>
      </c>
      <c r="AX139" s="24">
        <f t="shared" si="1070"/>
        <v>-28396.308511641524</v>
      </c>
      <c r="AY139" s="24">
        <f t="shared" si="1070"/>
        <v>-28735.569756247067</v>
      </c>
      <c r="AZ139" s="24">
        <f t="shared" si="1070"/>
        <v>-29075.565627855285</v>
      </c>
      <c r="BA139" s="24">
        <f t="shared" si="1070"/>
        <v>-29416.297703326771</v>
      </c>
      <c r="BB139" s="24">
        <f t="shared" si="1070"/>
        <v>-29757.767562885077</v>
      </c>
      <c r="BC139" s="24">
        <f t="shared" si="1070"/>
        <v>-30099.976790122921</v>
      </c>
      <c r="BD139" s="24">
        <f t="shared" si="1070"/>
        <v>-30442.926972009918</v>
      </c>
      <c r="BE139" s="24">
        <f t="shared" si="1070"/>
        <v>-30786.619698899398</v>
      </c>
      <c r="BF139" s="24">
        <f t="shared" si="1070"/>
        <v>-31131.056564535909</v>
      </c>
      <c r="BG139" s="24">
        <f t="shared" si="1070"/>
        <v>-31476.239166062322</v>
      </c>
      <c r="BH139" s="24">
        <f t="shared" si="1070"/>
        <v>-31822.169104026831</v>
      </c>
      <c r="BI139" s="24">
        <f t="shared" si="1070"/>
        <v>-32168.84798239042</v>
      </c>
      <c r="BJ139" s="24">
        <f t="shared" si="1070"/>
        <v>-32516.277408533879</v>
      </c>
      <c r="BK139" s="24">
        <f t="shared" si="1070"/>
        <v>-32864.458993265362</v>
      </c>
      <c r="BL139" s="24">
        <f t="shared" si="1070"/>
        <v>-33213.39435082733</v>
      </c>
      <c r="BM139" s="24">
        <f t="shared" si="1070"/>
        <v>-33563.08509890415</v>
      </c>
      <c r="BN139" s="24">
        <f t="shared" si="1070"/>
        <v>-33913.532858629107</v>
      </c>
      <c r="BO139" s="24">
        <f t="shared" si="1070"/>
        <v>-693464.83385316748</v>
      </c>
      <c r="BP139" s="24">
        <f t="shared" si="1070"/>
        <v>-4635.109062170488</v>
      </c>
      <c r="BQ139" s="24">
        <f t="shared" si="1070"/>
        <v>-9334.0370949236421</v>
      </c>
      <c r="BR139" s="24">
        <f t="shared" si="1070"/>
        <v>-9353.206318168588</v>
      </c>
      <c r="BS139" s="24">
        <f t="shared" si="1070"/>
        <v>-9372.4150161496782</v>
      </c>
      <c r="BT139" s="24">
        <f t="shared" si="1070"/>
        <v>-9391.6632703373707</v>
      </c>
      <c r="BU139" s="24">
        <f t="shared" ref="BU139:CV139" si="1071">SUM(BU135:BU138)</f>
        <v>-9410.951162370573</v>
      </c>
      <c r="BV139" s="24">
        <f t="shared" si="1071"/>
        <v>-9430.2787740569875</v>
      </c>
      <c r="BW139" s="24">
        <f t="shared" si="1071"/>
        <v>-9449.6461873734679</v>
      </c>
      <c r="BX139" s="24">
        <f t="shared" si="1071"/>
        <v>-9469.0534844663671</v>
      </c>
      <c r="BY139" s="24">
        <f t="shared" si="1071"/>
        <v>-9488.5007476518767</v>
      </c>
      <c r="BZ139" s="24">
        <f t="shared" si="1071"/>
        <v>-9507.9880594164006</v>
      </c>
      <c r="CA139" s="24">
        <f t="shared" si="1071"/>
        <v>-9527.5155024168926</v>
      </c>
      <c r="CB139" s="24">
        <f t="shared" si="1071"/>
        <v>-9547.0831594812062</v>
      </c>
      <c r="CC139" s="24">
        <f t="shared" si="1071"/>
        <v>-9566.69111360846</v>
      </c>
      <c r="CD139" s="24">
        <f t="shared" si="1071"/>
        <v>-9586.339447969387</v>
      </c>
      <c r="CE139" s="24">
        <f t="shared" si="1071"/>
        <v>-9606.0282459066912</v>
      </c>
      <c r="CF139" s="24">
        <f t="shared" si="1071"/>
        <v>-9625.7575909353982</v>
      </c>
      <c r="CG139" s="24">
        <f t="shared" si="1071"/>
        <v>-9645.5275667432215</v>
      </c>
      <c r="CH139" s="24">
        <f t="shared" si="1071"/>
        <v>-9665.3382571909115</v>
      </c>
      <c r="CI139" s="24">
        <f>SUM(CI135:CI138)</f>
        <v>-9685.189746312617</v>
      </c>
      <c r="CJ139" s="24">
        <f t="shared" si="1071"/>
        <v>-9705.0821183162479</v>
      </c>
      <c r="CK139" s="24">
        <f t="shared" si="1071"/>
        <v>-9725.0154575838278</v>
      </c>
      <c r="CL139" s="24">
        <f t="shared" si="1071"/>
        <v>-9744.9898486718612</v>
      </c>
      <c r="CM139" s="24">
        <f t="shared" si="1071"/>
        <v>-9765.0053763116921</v>
      </c>
      <c r="CN139" s="24">
        <f t="shared" si="1071"/>
        <v>-9785.0621254098623</v>
      </c>
      <c r="CO139" s="24">
        <f t="shared" si="1071"/>
        <v>-9805.1601810484844</v>
      </c>
      <c r="CP139" s="24">
        <f t="shared" si="1071"/>
        <v>-9825.2996284855944</v>
      </c>
      <c r="CQ139" s="24">
        <f t="shared" si="1071"/>
        <v>-9845.4805531555212</v>
      </c>
      <c r="CR139" s="24">
        <f t="shared" si="1071"/>
        <v>-9865.7030406692502</v>
      </c>
      <c r="CS139" s="24">
        <f t="shared" si="1071"/>
        <v>-9885.9671768147891</v>
      </c>
      <c r="CT139" s="24">
        <f t="shared" si="1071"/>
        <v>-9906.2730475575372</v>
      </c>
      <c r="CU139" s="24">
        <f t="shared" si="1071"/>
        <v>-9926.6207390406526</v>
      </c>
      <c r="CV139" s="24">
        <f t="shared" si="1071"/>
        <v>-9947.010337585416</v>
      </c>
      <c r="CW139" s="24">
        <f t="shared" ref="CW139:EI139" si="1072">SUM(CW135:CW138)</f>
        <v>-9967.4419296915985</v>
      </c>
      <c r="CX139" s="24">
        <f t="shared" si="1072"/>
        <v>-9987.9156020378396</v>
      </c>
      <c r="CY139" s="24">
        <f t="shared" si="1072"/>
        <v>-10008.431441482013</v>
      </c>
      <c r="CZ139" s="24">
        <f t="shared" si="1072"/>
        <v>-10028.989535061595</v>
      </c>
      <c r="DA139" s="24">
        <f t="shared" si="1072"/>
        <v>-10049.58996999404</v>
      </c>
      <c r="DB139" s="24">
        <f t="shared" si="1072"/>
        <v>-10070.232833677152</v>
      </c>
      <c r="DC139" s="24">
        <f t="shared" si="1072"/>
        <v>-10090.918213689456</v>
      </c>
      <c r="DD139" s="24">
        <f t="shared" si="1072"/>
        <v>-10111.64619779058</v>
      </c>
      <c r="DE139" s="24">
        <f t="shared" si="1072"/>
        <v>-10132.416873921618</v>
      </c>
      <c r="DF139" s="24">
        <f t="shared" si="1072"/>
        <v>-10153.230330205519</v>
      </c>
      <c r="DG139" s="24">
        <f t="shared" si="1072"/>
        <v>-10174.086654947449</v>
      </c>
      <c r="DH139" s="24">
        <f t="shared" si="1072"/>
        <v>-10194.985936635177</v>
      </c>
      <c r="DI139" s="24">
        <f t="shared" si="1072"/>
        <v>-10215.928263939462</v>
      </c>
      <c r="DJ139" s="24">
        <f t="shared" si="1072"/>
        <v>-10236.913725714416</v>
      </c>
      <c r="DK139" s="24">
        <f t="shared" si="1072"/>
        <v>-10257.942410997885</v>
      </c>
      <c r="DL139" s="24">
        <f t="shared" si="1072"/>
        <v>-10279.014409011841</v>
      </c>
      <c r="DM139" s="24">
        <f t="shared" si="1072"/>
        <v>-10300.129809162758</v>
      </c>
      <c r="DN139" s="24">
        <f t="shared" si="1072"/>
        <v>-10321.288701041987</v>
      </c>
      <c r="DO139" s="24">
        <f t="shared" si="1072"/>
        <v>-10342.491174426148</v>
      </c>
      <c r="DP139" s="24">
        <f t="shared" si="1072"/>
        <v>-10363.73731927751</v>
      </c>
      <c r="DQ139" s="24">
        <f t="shared" si="1072"/>
        <v>-10385.027225744376</v>
      </c>
      <c r="DR139" s="24">
        <f t="shared" si="1072"/>
        <v>-10406.360984161465</v>
      </c>
      <c r="DS139" s="24">
        <f t="shared" si="1072"/>
        <v>-10427.738685050306</v>
      </c>
      <c r="DT139" s="24">
        <f t="shared" si="1072"/>
        <v>-10449.16041911962</v>
      </c>
      <c r="DU139" s="24">
        <f t="shared" si="1072"/>
        <v>-10470.626277265706</v>
      </c>
      <c r="DV139" s="24">
        <f t="shared" si="1072"/>
        <v>-10492.13635057283</v>
      </c>
      <c r="DW139" s="24">
        <f t="shared" si="1072"/>
        <v>-10513.690730313612</v>
      </c>
      <c r="DX139" s="24">
        <f t="shared" si="1072"/>
        <v>-10535.289507949426</v>
      </c>
      <c r="DY139" s="24">
        <f t="shared" si="1072"/>
        <v>-10556.932775130785</v>
      </c>
      <c r="DZ139" s="24">
        <f t="shared" si="1072"/>
        <v>-10578.620623697729</v>
      </c>
      <c r="EA139" s="24">
        <f t="shared" si="1072"/>
        <v>-10600.353145680216</v>
      </c>
      <c r="EB139" s="24">
        <f t="shared" si="1072"/>
        <v>-10622.130433298527</v>
      </c>
      <c r="EC139" s="24">
        <f t="shared" si="1072"/>
        <v>-10643.952578963654</v>
      </c>
      <c r="ED139" s="24">
        <f t="shared" si="1072"/>
        <v>-10665.819675277684</v>
      </c>
      <c r="EE139" s="24">
        <f t="shared" si="1072"/>
        <v>-10687.731815034214</v>
      </c>
      <c r="EF139" s="24">
        <f t="shared" si="1072"/>
        <v>-10709.689091218737</v>
      </c>
      <c r="EG139" s="24">
        <f t="shared" si="1072"/>
        <v>-10731.691597009041</v>
      </c>
      <c r="EH139" s="24">
        <f t="shared" si="1072"/>
        <v>-10753.739425775602</v>
      </c>
      <c r="EI139" s="24">
        <f t="shared" si="1072"/>
        <v>-10775.832671081991</v>
      </c>
      <c r="EJ139" s="24"/>
      <c r="EK139" s="24"/>
      <c r="EL139" s="24"/>
      <c r="EM139" s="1" t="s">
        <v>191</v>
      </c>
    </row>
    <row r="140" spans="3:143" x14ac:dyDescent="0.45">
      <c r="D140" s="1" t="str">
        <f>H90&amp;" Distributions to LP"</f>
        <v>Hurdle 1 Distributions to LP</v>
      </c>
      <c r="E140" s="24"/>
      <c r="F140" s="24"/>
      <c r="G140" s="24"/>
      <c r="H140" s="24">
        <f t="shared" ref="H140:AM140" si="1073">-MIN(SUM(H135:H136,H138),MAX($J$90*H130,0))</f>
        <v>0</v>
      </c>
      <c r="I140" s="24">
        <f t="shared" si="1073"/>
        <v>0</v>
      </c>
      <c r="J140" s="24">
        <f t="shared" si="1073"/>
        <v>0</v>
      </c>
      <c r="K140" s="24">
        <f t="shared" si="1073"/>
        <v>0</v>
      </c>
      <c r="L140" s="24">
        <f t="shared" si="1073"/>
        <v>0</v>
      </c>
      <c r="M140" s="24">
        <f t="shared" si="1073"/>
        <v>0</v>
      </c>
      <c r="N140" s="24">
        <f t="shared" si="1073"/>
        <v>0</v>
      </c>
      <c r="O140" s="24">
        <f t="shared" si="1073"/>
        <v>0</v>
      </c>
      <c r="P140" s="24">
        <f t="shared" si="1073"/>
        <v>0</v>
      </c>
      <c r="Q140" s="24">
        <f t="shared" si="1073"/>
        <v>0</v>
      </c>
      <c r="R140" s="24">
        <f t="shared" si="1073"/>
        <v>0</v>
      </c>
      <c r="S140" s="24">
        <f t="shared" si="1073"/>
        <v>0</v>
      </c>
      <c r="T140" s="24">
        <f t="shared" si="1073"/>
        <v>0</v>
      </c>
      <c r="U140" s="24">
        <f t="shared" si="1073"/>
        <v>0</v>
      </c>
      <c r="V140" s="24">
        <f t="shared" si="1073"/>
        <v>0</v>
      </c>
      <c r="W140" s="24">
        <f t="shared" si="1073"/>
        <v>0</v>
      </c>
      <c r="X140" s="24">
        <f t="shared" si="1073"/>
        <v>0</v>
      </c>
      <c r="Y140" s="24">
        <f t="shared" si="1073"/>
        <v>0</v>
      </c>
      <c r="Z140" s="24">
        <f t="shared" si="1073"/>
        <v>0</v>
      </c>
      <c r="AA140" s="24">
        <f t="shared" si="1073"/>
        <v>0</v>
      </c>
      <c r="AB140" s="24">
        <f t="shared" si="1073"/>
        <v>0</v>
      </c>
      <c r="AC140" s="24">
        <f t="shared" si="1073"/>
        <v>0</v>
      </c>
      <c r="AD140" s="24">
        <f t="shared" si="1073"/>
        <v>0</v>
      </c>
      <c r="AE140" s="24">
        <f t="shared" si="1073"/>
        <v>0</v>
      </c>
      <c r="AF140" s="24">
        <f t="shared" si="1073"/>
        <v>-3144.7275123181657</v>
      </c>
      <c r="AG140" s="24">
        <f t="shared" si="1073"/>
        <v>-3197.4826894591706</v>
      </c>
      <c r="AH140" s="24">
        <f t="shared" si="1073"/>
        <v>-3250.4440713971899</v>
      </c>
      <c r="AI140" s="24">
        <f t="shared" si="1073"/>
        <v>-3398.7320196821024</v>
      </c>
      <c r="AJ140" s="24">
        <f t="shared" si="1073"/>
        <v>-3547.6152623087241</v>
      </c>
      <c r="AK140" s="24">
        <f t="shared" si="1073"/>
        <v>-3697.0956237239957</v>
      </c>
      <c r="AL140" s="24">
        <f t="shared" si="1073"/>
        <v>-3704.686972879992</v>
      </c>
      <c r="AM140" s="24">
        <f t="shared" si="1073"/>
        <v>-3712.2939524577382</v>
      </c>
      <c r="AN140" s="24">
        <f t="shared" ref="AN140:BS140" si="1074">-MIN(SUM(AN135:AN136,AN138),MAX($J$90*AN130,0))</f>
        <v>5081317.9129793504</v>
      </c>
      <c r="AO140" s="24">
        <f t="shared" si="1074"/>
        <v>25375.756998543977</v>
      </c>
      <c r="AP140" s="24">
        <f t="shared" si="1074"/>
        <v>25708.477007572605</v>
      </c>
      <c r="AQ140" s="24">
        <f t="shared" si="1074"/>
        <v>26041.917601996643</v>
      </c>
      <c r="AR140" s="24">
        <f t="shared" si="1074"/>
        <v>26376.080328733373</v>
      </c>
      <c r="AS140" s="24">
        <f t="shared" si="1074"/>
        <v>26710.96673799913</v>
      </c>
      <c r="AT140" s="24">
        <f t="shared" si="1074"/>
        <v>27046.578383316111</v>
      </c>
      <c r="AU140" s="24">
        <f t="shared" si="1074"/>
        <v>27382.916821519502</v>
      </c>
      <c r="AV140" s="24">
        <f t="shared" si="1074"/>
        <v>27719.983612764492</v>
      </c>
      <c r="AW140" s="24">
        <f t="shared" si="1074"/>
        <v>28057.780320533111</v>
      </c>
      <c r="AX140" s="24">
        <f t="shared" si="1074"/>
        <v>28396.308511641524</v>
      </c>
      <c r="AY140" s="24">
        <f t="shared" si="1074"/>
        <v>28735.569756247067</v>
      </c>
      <c r="AZ140" s="24">
        <f t="shared" si="1074"/>
        <v>29075.565627855285</v>
      </c>
      <c r="BA140" s="24">
        <f t="shared" si="1074"/>
        <v>29416.297703326771</v>
      </c>
      <c r="BB140" s="24">
        <f t="shared" si="1074"/>
        <v>29757.767562885077</v>
      </c>
      <c r="BC140" s="24">
        <f t="shared" si="1074"/>
        <v>30099.976790122921</v>
      </c>
      <c r="BD140" s="24">
        <f t="shared" si="1074"/>
        <v>30442.926972009918</v>
      </c>
      <c r="BE140" s="24">
        <f t="shared" si="1074"/>
        <v>30786.619698899398</v>
      </c>
      <c r="BF140" s="24">
        <f t="shared" si="1074"/>
        <v>31131.056564535909</v>
      </c>
      <c r="BG140" s="24">
        <f t="shared" si="1074"/>
        <v>31476.239166062322</v>
      </c>
      <c r="BH140" s="24">
        <f t="shared" si="1074"/>
        <v>31822.169104026831</v>
      </c>
      <c r="BI140" s="24">
        <f t="shared" si="1074"/>
        <v>32168.84798239042</v>
      </c>
      <c r="BJ140" s="24">
        <f t="shared" si="1074"/>
        <v>32516.277408533879</v>
      </c>
      <c r="BK140" s="24">
        <f t="shared" si="1074"/>
        <v>32864.458993265362</v>
      </c>
      <c r="BL140" s="24">
        <f t="shared" si="1074"/>
        <v>33213.39435082733</v>
      </c>
      <c r="BM140" s="24">
        <f t="shared" si="1074"/>
        <v>33563.08509890415</v>
      </c>
      <c r="BN140" s="24">
        <f t="shared" si="1074"/>
        <v>33913.532858629107</v>
      </c>
      <c r="BO140" s="24">
        <f t="shared" si="1074"/>
        <v>693464.83385316748</v>
      </c>
      <c r="BP140" s="24">
        <f t="shared" si="1074"/>
        <v>0</v>
      </c>
      <c r="BQ140" s="24">
        <f t="shared" si="1074"/>
        <v>4689.4089797482748</v>
      </c>
      <c r="BR140" s="24">
        <f t="shared" si="1074"/>
        <v>4699.0395476682625</v>
      </c>
      <c r="BS140" s="24">
        <f t="shared" si="1074"/>
        <v>4708.6899475478795</v>
      </c>
      <c r="BT140" s="24">
        <f t="shared" ref="BT140:CY140" si="1075">-MIN(SUM(BT135:BT136,BT138),MAX($J$90*BT130,0))</f>
        <v>4718.360220317506</v>
      </c>
      <c r="BU140" s="24">
        <f t="shared" si="1075"/>
        <v>4728.0504069921444</v>
      </c>
      <c r="BV140" s="24">
        <f t="shared" si="1075"/>
        <v>4737.7605486716056</v>
      </c>
      <c r="BW140" s="24">
        <f t="shared" si="1075"/>
        <v>4747.4906865406692</v>
      </c>
      <c r="BX140" s="24">
        <f t="shared" si="1075"/>
        <v>4757.2408618692862</v>
      </c>
      <c r="BY140" s="24">
        <f t="shared" si="1075"/>
        <v>4767.0111160127226</v>
      </c>
      <c r="BZ140" s="24">
        <f t="shared" si="1075"/>
        <v>4776.8014904117563</v>
      </c>
      <c r="CA140" s="24">
        <f t="shared" si="1075"/>
        <v>4786.6120265928603</v>
      </c>
      <c r="CB140" s="24">
        <f t="shared" si="1075"/>
        <v>4796.4427661683549</v>
      </c>
      <c r="CC140" s="24">
        <f t="shared" si="1075"/>
        <v>4806.2937508366113</v>
      </c>
      <c r="CD140" s="24">
        <f t="shared" si="1075"/>
        <v>4816.1650223822098</v>
      </c>
      <c r="CE140" s="24">
        <f t="shared" si="1075"/>
        <v>4826.0566226761403</v>
      </c>
      <c r="CF140" s="24">
        <f t="shared" si="1075"/>
        <v>4835.9685936759533</v>
      </c>
      <c r="CG140" s="24">
        <f t="shared" si="1075"/>
        <v>4845.9009774259666</v>
      </c>
      <c r="CH140" s="24">
        <f t="shared" si="1075"/>
        <v>4855.8538160574262</v>
      </c>
      <c r="CI140" s="24">
        <f t="shared" si="1075"/>
        <v>4865.8271517886915</v>
      </c>
      <c r="CJ140" s="24">
        <f t="shared" si="1075"/>
        <v>4875.8210269254223</v>
      </c>
      <c r="CK140" s="24">
        <f t="shared" si="1075"/>
        <v>4885.8354838607493</v>
      </c>
      <c r="CL140" s="24">
        <f t="shared" si="1075"/>
        <v>4895.8705650754628</v>
      </c>
      <c r="CM140" s="24">
        <f t="shared" si="1075"/>
        <v>4905.9263131381895</v>
      </c>
      <c r="CN140" s="24">
        <f t="shared" si="1075"/>
        <v>4916.0027707055788</v>
      </c>
      <c r="CO140" s="24">
        <f t="shared" si="1075"/>
        <v>4926.0999805224792</v>
      </c>
      <c r="CP140" s="24">
        <f t="shared" si="1075"/>
        <v>4936.2179854221304</v>
      </c>
      <c r="CQ140" s="24">
        <f t="shared" si="1075"/>
        <v>4946.356828326333</v>
      </c>
      <c r="CR140" s="24">
        <f t="shared" si="1075"/>
        <v>4956.5165522456446</v>
      </c>
      <c r="CS140" s="24">
        <f t="shared" si="1075"/>
        <v>4966.6972002795546</v>
      </c>
      <c r="CT140" s="24">
        <f t="shared" si="1075"/>
        <v>4976.8988156166743</v>
      </c>
      <c r="CU140" s="24">
        <f t="shared" si="1075"/>
        <v>4987.1214415349159</v>
      </c>
      <c r="CV140" s="24">
        <f t="shared" si="1075"/>
        <v>4997.3651214016909</v>
      </c>
      <c r="CW140" s="24">
        <f t="shared" si="1075"/>
        <v>5007.6298986740676</v>
      </c>
      <c r="CX140" s="24">
        <f t="shared" si="1075"/>
        <v>5017.9158168989907</v>
      </c>
      <c r="CY140" s="24">
        <f t="shared" si="1075"/>
        <v>5028.2229197134393</v>
      </c>
      <c r="CZ140" s="24">
        <f t="shared" ref="CZ140:EI140" si="1076">-MIN(SUM(CZ135:CZ136,CZ138),MAX($J$90*CZ130,0))</f>
        <v>5038.5512508446382</v>
      </c>
      <c r="DA140" s="24">
        <f t="shared" si="1076"/>
        <v>5048.9008541102148</v>
      </c>
      <c r="DB140" s="24">
        <f t="shared" si="1076"/>
        <v>5059.2717734184189</v>
      </c>
      <c r="DC140" s="24">
        <f t="shared" si="1076"/>
        <v>5069.6640527682839</v>
      </c>
      <c r="DD140" s="24">
        <f t="shared" si="1076"/>
        <v>5080.077736249832</v>
      </c>
      <c r="DE140" s="24">
        <f t="shared" si="1076"/>
        <v>5090.5128680442522</v>
      </c>
      <c r="DF140" s="24">
        <f t="shared" si="1076"/>
        <v>5100.9694924240957</v>
      </c>
      <c r="DG140" s="24">
        <f t="shared" si="1076"/>
        <v>5111.4476537534611</v>
      </c>
      <c r="DH140" s="24">
        <f t="shared" si="1076"/>
        <v>5121.9473964881845</v>
      </c>
      <c r="DI140" s="24">
        <f t="shared" si="1076"/>
        <v>5132.4687651760296</v>
      </c>
      <c r="DJ140" s="24">
        <f t="shared" si="1076"/>
        <v>5143.0118044568862</v>
      </c>
      <c r="DK140" s="24">
        <f t="shared" si="1076"/>
        <v>5153.5765590629426</v>
      </c>
      <c r="DL140" s="24">
        <f t="shared" si="1076"/>
        <v>5164.163073818896</v>
      </c>
      <c r="DM140" s="24">
        <f t="shared" si="1076"/>
        <v>5174.7713936421314</v>
      </c>
      <c r="DN140" s="24">
        <f t="shared" si="1076"/>
        <v>5185.4015635429214</v>
      </c>
      <c r="DO140" s="24">
        <f t="shared" si="1076"/>
        <v>5196.0536286246106</v>
      </c>
      <c r="DP140" s="24">
        <f t="shared" si="1076"/>
        <v>5206.7276340838162</v>
      </c>
      <c r="DQ140" s="24">
        <f t="shared" si="1076"/>
        <v>5217.4236252106175</v>
      </c>
      <c r="DR140" s="24">
        <f t="shared" si="1076"/>
        <v>5228.1416473887466</v>
      </c>
      <c r="DS140" s="24">
        <f t="shared" si="1076"/>
        <v>5238.8817460957889</v>
      </c>
      <c r="DT140" s="24">
        <f t="shared" si="1076"/>
        <v>5249.6439669033743</v>
      </c>
      <c r="DU140" s="24">
        <f t="shared" si="1076"/>
        <v>5260.4283554773701</v>
      </c>
      <c r="DV140" s="24">
        <f t="shared" si="1076"/>
        <v>5271.234957578079</v>
      </c>
      <c r="DW140" s="24">
        <f t="shared" si="1076"/>
        <v>5282.0638190604304</v>
      </c>
      <c r="DX140" s="24">
        <f t="shared" si="1076"/>
        <v>5292.9149858741821</v>
      </c>
      <c r="DY140" s="24">
        <f t="shared" si="1076"/>
        <v>5303.7885040641122</v>
      </c>
      <c r="DZ140" s="24">
        <f t="shared" si="1076"/>
        <v>5314.6844197702221</v>
      </c>
      <c r="EA140" s="24">
        <f t="shared" si="1076"/>
        <v>5325.6027792279256</v>
      </c>
      <c r="EB140" s="24">
        <f t="shared" si="1076"/>
        <v>5336.5436287682451</v>
      </c>
      <c r="EC140" s="24">
        <f t="shared" si="1076"/>
        <v>5347.5070148180275</v>
      </c>
      <c r="ED140" s="24">
        <f t="shared" si="1076"/>
        <v>5358.4929839001179</v>
      </c>
      <c r="EE140" s="24">
        <f t="shared" si="1076"/>
        <v>5369.5015826335748</v>
      </c>
      <c r="EF140" s="24">
        <f t="shared" si="1076"/>
        <v>5380.532857733866</v>
      </c>
      <c r="EG140" s="24">
        <f t="shared" si="1076"/>
        <v>5391.5868560130657</v>
      </c>
      <c r="EH140" s="24">
        <f t="shared" si="1076"/>
        <v>5402.6636243800585</v>
      </c>
      <c r="EI140" s="24">
        <f t="shared" si="1076"/>
        <v>5413.7632098407303</v>
      </c>
      <c r="EJ140" s="24"/>
      <c r="EK140" s="24"/>
      <c r="EL140" s="24"/>
      <c r="EM140" s="1" t="s">
        <v>191</v>
      </c>
    </row>
    <row r="141" spans="3:143" x14ac:dyDescent="0.45">
      <c r="D141" s="1" t="s">
        <v>209</v>
      </c>
      <c r="E141" s="24"/>
      <c r="F141" s="24"/>
      <c r="G141" s="24">
        <f>-G137</f>
        <v>5651390.8349986859</v>
      </c>
      <c r="H141" s="24">
        <f>SUM(H139:H140)</f>
        <v>5695250.9987528827</v>
      </c>
      <c r="I141" s="24">
        <f t="shared" ref="I141:BT141" si="1077">SUM(I139:I140)</f>
        <v>5637499.6590483868</v>
      </c>
      <c r="J141" s="24">
        <f t="shared" si="1077"/>
        <v>5574579.810247371</v>
      </c>
      <c r="K141" s="24">
        <f t="shared" si="1077"/>
        <v>5506412.0357408384</v>
      </c>
      <c r="L141" s="24">
        <f t="shared" si="1077"/>
        <v>5392544.0183049515</v>
      </c>
      <c r="M141" s="24">
        <f t="shared" si="1077"/>
        <v>5291424.9342948338</v>
      </c>
      <c r="N141" s="24">
        <f t="shared" si="1077"/>
        <v>5229243.1677561942</v>
      </c>
      <c r="O141" s="24">
        <f t="shared" si="1077"/>
        <v>5168965.4820848675</v>
      </c>
      <c r="P141" s="24">
        <f t="shared" si="1077"/>
        <v>5110624.8322287584</v>
      </c>
      <c r="Q141" s="24">
        <f t="shared" si="1077"/>
        <v>5049254.5921331551</v>
      </c>
      <c r="R141" s="24">
        <f t="shared" si="1077"/>
        <v>4994829.9851556346</v>
      </c>
      <c r="S141" s="24">
        <f t="shared" si="1077"/>
        <v>4943443.1266817739</v>
      </c>
      <c r="T141" s="24">
        <f t="shared" si="1077"/>
        <v>4894140.3847601255</v>
      </c>
      <c r="U141" s="24">
        <f t="shared" si="1077"/>
        <v>4846956.9890184188</v>
      </c>
      <c r="V141" s="24">
        <f t="shared" si="1077"/>
        <v>4801928.6151867351</v>
      </c>
      <c r="W141" s="24">
        <f t="shared" si="1077"/>
        <v>4759091.39041573</v>
      </c>
      <c r="X141" s="24">
        <f t="shared" si="1077"/>
        <v>4718481.8986573964</v>
      </c>
      <c r="Y141" s="24">
        <f t="shared" si="1077"/>
        <v>4680137.1861091014</v>
      </c>
      <c r="Z141" s="24">
        <f t="shared" si="1077"/>
        <v>4644094.7667216444</v>
      </c>
      <c r="AA141" s="24">
        <f t="shared" si="1077"/>
        <v>4610392.6277720761</v>
      </c>
      <c r="AB141" s="24">
        <f t="shared" si="1077"/>
        <v>4579069.2355020475</v>
      </c>
      <c r="AC141" s="24">
        <f t="shared" si="1077"/>
        <v>4550163.5408224575</v>
      </c>
      <c r="AD141" s="24">
        <f t="shared" si="1077"/>
        <v>4523714.9850851623</v>
      </c>
      <c r="AE141" s="24">
        <f t="shared" si="1077"/>
        <v>4265463.505922555</v>
      </c>
      <c r="AF141" s="24">
        <f t="shared" si="1077"/>
        <v>4289764.4734913781</v>
      </c>
      <c r="AG141" s="24">
        <f t="shared" si="1077"/>
        <v>4311468.0425210139</v>
      </c>
      <c r="AH141" s="24">
        <f t="shared" si="1077"/>
        <v>4330532.3227925878</v>
      </c>
      <c r="AI141" s="24">
        <f t="shared" si="1077"/>
        <v>4341848.5781327868</v>
      </c>
      <c r="AJ141" s="24">
        <f t="shared" si="1077"/>
        <v>4345293.637402175</v>
      </c>
      <c r="AK141" s="24">
        <f t="shared" si="1077"/>
        <v>4340742.7864635242</v>
      </c>
      <c r="AL141" s="24">
        <f t="shared" si="1077"/>
        <v>4335801.178264169</v>
      </c>
      <c r="AM141" s="24">
        <f t="shared" si="1077"/>
        <v>4330463.5050542671</v>
      </c>
      <c r="AN141" s="24">
        <f t="shared" si="1077"/>
        <v>0</v>
      </c>
      <c r="AO141" s="24">
        <f t="shared" si="1077"/>
        <v>0</v>
      </c>
      <c r="AP141" s="24">
        <f t="shared" si="1077"/>
        <v>0</v>
      </c>
      <c r="AQ141" s="24">
        <f t="shared" si="1077"/>
        <v>0</v>
      </c>
      <c r="AR141" s="24">
        <f t="shared" si="1077"/>
        <v>0</v>
      </c>
      <c r="AS141" s="24">
        <f t="shared" si="1077"/>
        <v>0</v>
      </c>
      <c r="AT141" s="24">
        <f t="shared" si="1077"/>
        <v>0</v>
      </c>
      <c r="AU141" s="24">
        <f t="shared" si="1077"/>
        <v>0</v>
      </c>
      <c r="AV141" s="24">
        <f t="shared" si="1077"/>
        <v>0</v>
      </c>
      <c r="AW141" s="24">
        <f t="shared" si="1077"/>
        <v>0</v>
      </c>
      <c r="AX141" s="24">
        <f t="shared" si="1077"/>
        <v>0</v>
      </c>
      <c r="AY141" s="24">
        <f t="shared" si="1077"/>
        <v>0</v>
      </c>
      <c r="AZ141" s="24">
        <f t="shared" si="1077"/>
        <v>0</v>
      </c>
      <c r="BA141" s="24">
        <f t="shared" si="1077"/>
        <v>0</v>
      </c>
      <c r="BB141" s="24">
        <f t="shared" si="1077"/>
        <v>0</v>
      </c>
      <c r="BC141" s="24">
        <f t="shared" si="1077"/>
        <v>0</v>
      </c>
      <c r="BD141" s="24">
        <f t="shared" si="1077"/>
        <v>0</v>
      </c>
      <c r="BE141" s="24">
        <f t="shared" si="1077"/>
        <v>0</v>
      </c>
      <c r="BF141" s="24">
        <f t="shared" si="1077"/>
        <v>0</v>
      </c>
      <c r="BG141" s="24">
        <f t="shared" si="1077"/>
        <v>0</v>
      </c>
      <c r="BH141" s="24">
        <f t="shared" si="1077"/>
        <v>0</v>
      </c>
      <c r="BI141" s="24">
        <f t="shared" si="1077"/>
        <v>0</v>
      </c>
      <c r="BJ141" s="24">
        <f t="shared" si="1077"/>
        <v>0</v>
      </c>
      <c r="BK141" s="24">
        <f t="shared" si="1077"/>
        <v>0</v>
      </c>
      <c r="BL141" s="24">
        <f t="shared" si="1077"/>
        <v>0</v>
      </c>
      <c r="BM141" s="24">
        <f t="shared" si="1077"/>
        <v>0</v>
      </c>
      <c r="BN141" s="24">
        <f t="shared" si="1077"/>
        <v>0</v>
      </c>
      <c r="BO141" s="24">
        <f t="shared" si="1077"/>
        <v>0</v>
      </c>
      <c r="BP141" s="24">
        <f t="shared" si="1077"/>
        <v>-4635.109062170488</v>
      </c>
      <c r="BQ141" s="24">
        <f t="shared" si="1077"/>
        <v>-4644.6281151753674</v>
      </c>
      <c r="BR141" s="24">
        <f t="shared" si="1077"/>
        <v>-4654.1667705003256</v>
      </c>
      <c r="BS141" s="24">
        <f t="shared" si="1077"/>
        <v>-4663.7250686017987</v>
      </c>
      <c r="BT141" s="24">
        <f t="shared" si="1077"/>
        <v>-4673.3030500198647</v>
      </c>
      <c r="BU141" s="24">
        <f t="shared" ref="BU141:CV141" si="1078">SUM(BU139:BU140)</f>
        <v>-4682.9007553784286</v>
      </c>
      <c r="BV141" s="24">
        <f t="shared" si="1078"/>
        <v>-4692.5182253853818</v>
      </c>
      <c r="BW141" s="24">
        <f t="shared" si="1078"/>
        <v>-4702.1555008327987</v>
      </c>
      <c r="BX141" s="24">
        <f t="shared" si="1078"/>
        <v>-4711.8126225970809</v>
      </c>
      <c r="BY141" s="24">
        <f t="shared" si="1078"/>
        <v>-4721.4896316391541</v>
      </c>
      <c r="BZ141" s="24">
        <f t="shared" si="1078"/>
        <v>-4731.1865690046443</v>
      </c>
      <c r="CA141" s="24">
        <f t="shared" si="1078"/>
        <v>-4740.9034758240323</v>
      </c>
      <c r="CB141" s="24">
        <f t="shared" si="1078"/>
        <v>-4750.6403933128513</v>
      </c>
      <c r="CC141" s="24">
        <f t="shared" si="1078"/>
        <v>-4760.3973627718487</v>
      </c>
      <c r="CD141" s="24">
        <f t="shared" si="1078"/>
        <v>-4770.1744255871772</v>
      </c>
      <c r="CE141" s="24">
        <f t="shared" si="1078"/>
        <v>-4779.9716232305509</v>
      </c>
      <c r="CF141" s="24">
        <f t="shared" si="1078"/>
        <v>-4789.7889972594448</v>
      </c>
      <c r="CG141" s="24">
        <f t="shared" si="1078"/>
        <v>-4799.6265893172549</v>
      </c>
      <c r="CH141" s="24">
        <f t="shared" si="1078"/>
        <v>-4809.4844411334852</v>
      </c>
      <c r="CI141" s="24">
        <f>SUM(CI139:CI140)</f>
        <v>-4819.3625945239255</v>
      </c>
      <c r="CJ141" s="24">
        <f t="shared" si="1078"/>
        <v>-4829.2610913908256</v>
      </c>
      <c r="CK141" s="24">
        <f t="shared" si="1078"/>
        <v>-4839.1799737230785</v>
      </c>
      <c r="CL141" s="24">
        <f t="shared" si="1078"/>
        <v>-4849.1192835963984</v>
      </c>
      <c r="CM141" s="24">
        <f t="shared" si="1078"/>
        <v>-4859.0790631735026</v>
      </c>
      <c r="CN141" s="24">
        <f t="shared" si="1078"/>
        <v>-4869.0593547042836</v>
      </c>
      <c r="CO141" s="24">
        <f t="shared" si="1078"/>
        <v>-4879.0602005260052</v>
      </c>
      <c r="CP141" s="24">
        <f t="shared" si="1078"/>
        <v>-4889.0816430634641</v>
      </c>
      <c r="CQ141" s="24">
        <f t="shared" si="1078"/>
        <v>-4899.1237248291882</v>
      </c>
      <c r="CR141" s="24">
        <f t="shared" si="1078"/>
        <v>-4909.1864884236056</v>
      </c>
      <c r="CS141" s="24">
        <f t="shared" si="1078"/>
        <v>-4919.2699765352345</v>
      </c>
      <c r="CT141" s="24">
        <f t="shared" si="1078"/>
        <v>-4929.374231940863</v>
      </c>
      <c r="CU141" s="24">
        <f t="shared" si="1078"/>
        <v>-4939.4992975057366</v>
      </c>
      <c r="CV141" s="24">
        <f t="shared" si="1078"/>
        <v>-4949.6452161837251</v>
      </c>
      <c r="CW141" s="24">
        <f t="shared" ref="CW141:EI141" si="1079">SUM(CW139:CW140)</f>
        <v>-4959.8120310175309</v>
      </c>
      <c r="CX141" s="24">
        <f t="shared" si="1079"/>
        <v>-4969.9997851388489</v>
      </c>
      <c r="CY141" s="24">
        <f t="shared" si="1079"/>
        <v>-4980.2085217685735</v>
      </c>
      <c r="CZ141" s="24">
        <f t="shared" si="1079"/>
        <v>-4990.4382842169571</v>
      </c>
      <c r="DA141" s="24">
        <f t="shared" si="1079"/>
        <v>-5000.6891158838253</v>
      </c>
      <c r="DB141" s="24">
        <f t="shared" si="1079"/>
        <v>-5010.9610602587327</v>
      </c>
      <c r="DC141" s="24">
        <f t="shared" si="1079"/>
        <v>-5021.2541609211721</v>
      </c>
      <c r="DD141" s="24">
        <f t="shared" si="1079"/>
        <v>-5031.5684615407481</v>
      </c>
      <c r="DE141" s="24">
        <f t="shared" si="1079"/>
        <v>-5041.9040058773662</v>
      </c>
      <c r="DF141" s="24">
        <f t="shared" si="1079"/>
        <v>-5052.2608377814231</v>
      </c>
      <c r="DG141" s="24">
        <f t="shared" si="1079"/>
        <v>-5062.6390011939875</v>
      </c>
      <c r="DH141" s="24">
        <f t="shared" si="1079"/>
        <v>-5073.038540146993</v>
      </c>
      <c r="DI141" s="24">
        <f t="shared" si="1079"/>
        <v>-5083.4594987634327</v>
      </c>
      <c r="DJ141" s="24">
        <f t="shared" si="1079"/>
        <v>-5093.9019212575295</v>
      </c>
      <c r="DK141" s="24">
        <f t="shared" si="1079"/>
        <v>-5104.3658519349419</v>
      </c>
      <c r="DL141" s="24">
        <f t="shared" si="1079"/>
        <v>-5114.851335192945</v>
      </c>
      <c r="DM141" s="24">
        <f t="shared" si="1079"/>
        <v>-5125.3584155206263</v>
      </c>
      <c r="DN141" s="24">
        <f t="shared" si="1079"/>
        <v>-5135.8871374990658</v>
      </c>
      <c r="DO141" s="24">
        <f t="shared" si="1079"/>
        <v>-5146.4375458015375</v>
      </c>
      <c r="DP141" s="24">
        <f t="shared" si="1079"/>
        <v>-5157.0096851936942</v>
      </c>
      <c r="DQ141" s="24">
        <f t="shared" si="1079"/>
        <v>-5167.6036005337583</v>
      </c>
      <c r="DR141" s="24">
        <f t="shared" si="1079"/>
        <v>-5178.2193367727186</v>
      </c>
      <c r="DS141" s="24">
        <f t="shared" si="1079"/>
        <v>-5188.8569389545173</v>
      </c>
      <c r="DT141" s="24">
        <f t="shared" si="1079"/>
        <v>-5199.5164522162459</v>
      </c>
      <c r="DU141" s="24">
        <f t="shared" si="1079"/>
        <v>-5210.1979217883363</v>
      </c>
      <c r="DV141" s="24">
        <f t="shared" si="1079"/>
        <v>-5220.9013929947505</v>
      </c>
      <c r="DW141" s="24">
        <f t="shared" si="1079"/>
        <v>-5231.6269112531818</v>
      </c>
      <c r="DX141" s="24">
        <f t="shared" si="1079"/>
        <v>-5242.3745220752444</v>
      </c>
      <c r="DY141" s="24">
        <f t="shared" si="1079"/>
        <v>-5253.1442710666724</v>
      </c>
      <c r="DZ141" s="24">
        <f t="shared" si="1079"/>
        <v>-5263.9362039275065</v>
      </c>
      <c r="EA141" s="24">
        <f t="shared" si="1079"/>
        <v>-5274.7503664522901</v>
      </c>
      <c r="EB141" s="24">
        <f t="shared" si="1079"/>
        <v>-5285.5868045302823</v>
      </c>
      <c r="EC141" s="24">
        <f t="shared" si="1079"/>
        <v>-5296.4455641456261</v>
      </c>
      <c r="ED141" s="24">
        <f t="shared" si="1079"/>
        <v>-5307.326691377566</v>
      </c>
      <c r="EE141" s="24">
        <f t="shared" si="1079"/>
        <v>-5318.2302324006396</v>
      </c>
      <c r="EF141" s="24">
        <f t="shared" si="1079"/>
        <v>-5329.1562334848713</v>
      </c>
      <c r="EG141" s="24">
        <f t="shared" si="1079"/>
        <v>-5340.1047409959756</v>
      </c>
      <c r="EH141" s="24">
        <f t="shared" si="1079"/>
        <v>-5351.0758013955437</v>
      </c>
      <c r="EI141" s="24">
        <f t="shared" si="1079"/>
        <v>-5362.0694612412608</v>
      </c>
      <c r="EJ141" s="24"/>
      <c r="EK141" s="24"/>
      <c r="EL141" s="24"/>
      <c r="EM141" s="1" t="s">
        <v>191</v>
      </c>
    </row>
    <row r="142" spans="3:143" x14ac:dyDescent="0.45"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  <c r="CD142" s="24"/>
      <c r="CE142" s="24"/>
      <c r="CF142" s="24"/>
      <c r="CG142" s="24"/>
      <c r="CH142" s="24"/>
      <c r="CI142" s="24"/>
      <c r="CJ142" s="24"/>
      <c r="CK142" s="24"/>
      <c r="CL142" s="24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C142" s="24"/>
      <c r="DD142" s="24"/>
      <c r="DE142" s="24"/>
      <c r="DF142" s="24"/>
      <c r="DG142" s="24"/>
      <c r="DH142" s="24"/>
      <c r="DI142" s="24"/>
      <c r="DJ142" s="24"/>
      <c r="DK142" s="24"/>
      <c r="DL142" s="24"/>
      <c r="DM142" s="24"/>
      <c r="DN142" s="24"/>
      <c r="DO142" s="24"/>
      <c r="DP142" s="24"/>
      <c r="DQ142" s="24"/>
      <c r="DR142" s="24"/>
      <c r="DS142" s="24"/>
      <c r="DT142" s="24"/>
      <c r="DU142" s="24"/>
      <c r="DV142" s="24"/>
      <c r="DW142" s="24"/>
      <c r="DX142" s="24"/>
      <c r="DY142" s="24"/>
      <c r="DZ142" s="24"/>
      <c r="EA142" s="24"/>
      <c r="EB142" s="24"/>
      <c r="EC142" s="24"/>
      <c r="ED142" s="24"/>
      <c r="EE142" s="24"/>
      <c r="EF142" s="24"/>
      <c r="EG142" s="24"/>
      <c r="EH142" s="24"/>
      <c r="EI142" s="24"/>
      <c r="EJ142" s="24"/>
      <c r="EK142" s="24"/>
      <c r="EL142" s="24"/>
      <c r="EM142" s="1" t="s">
        <v>191</v>
      </c>
    </row>
    <row r="143" spans="3:143" x14ac:dyDescent="0.45">
      <c r="D143" s="1" t="s">
        <v>195</v>
      </c>
      <c r="E143" s="163" t="e">
        <f>XIRR(G143:EI143,$G$2:$EI$2)</f>
        <v>#NUM!</v>
      </c>
      <c r="F143" s="24"/>
      <c r="G143" s="24">
        <f>+G137-G138-G140</f>
        <v>-5651390.8349986859</v>
      </c>
      <c r="H143" s="24">
        <f t="shared" ref="H143:BS143" si="1080">+H137-H138-H140</f>
        <v>-22345.410359434267</v>
      </c>
      <c r="I143" s="24">
        <f t="shared" si="1080"/>
        <v>-124470.73199259791</v>
      </c>
      <c r="J143" s="24">
        <f t="shared" si="1080"/>
        <v>-128962.68894246993</v>
      </c>
      <c r="K143" s="24">
        <f t="shared" si="1080"/>
        <v>-133473.51384667229</v>
      </c>
      <c r="L143" s="24">
        <f t="shared" si="1080"/>
        <v>-178375.17696107196</v>
      </c>
      <c r="M143" s="24">
        <f t="shared" si="1080"/>
        <v>-164292.28917121224</v>
      </c>
      <c r="N143" s="24">
        <f t="shared" si="1080"/>
        <v>-124170.37003154399</v>
      </c>
      <c r="O143" s="24">
        <f t="shared" si="1080"/>
        <v>-121537.83493530095</v>
      </c>
      <c r="P143" s="24">
        <f t="shared" si="1080"/>
        <v>-118894.65104032315</v>
      </c>
      <c r="Q143" s="24">
        <f t="shared" si="1080"/>
        <v>-121240.78541370273</v>
      </c>
      <c r="R143" s="24">
        <f t="shared" si="1080"/>
        <v>-113576.20503154901</v>
      </c>
      <c r="S143" s="24">
        <f t="shared" si="1080"/>
        <v>-109900.87677875203</v>
      </c>
      <c r="T143" s="24">
        <f t="shared" si="1080"/>
        <v>-107214.76744874577</v>
      </c>
      <c r="U143" s="24">
        <f t="shared" si="1080"/>
        <v>-104517.8437432709</v>
      </c>
      <c r="V143" s="24">
        <f t="shared" si="1080"/>
        <v>-101810.07227213717</v>
      </c>
      <c r="W143" s="24">
        <f t="shared" si="1080"/>
        <v>-99091.419552984415</v>
      </c>
      <c r="X143" s="24">
        <f t="shared" si="1080"/>
        <v>-96361.852011043797</v>
      </c>
      <c r="Y143" s="24">
        <f t="shared" si="1080"/>
        <v>-93621.335978898205</v>
      </c>
      <c r="Z143" s="24">
        <f t="shared" si="1080"/>
        <v>-90869.837696241666</v>
      </c>
      <c r="AA143" s="24">
        <f t="shared" si="1080"/>
        <v>-88107.323309638581</v>
      </c>
      <c r="AB143" s="24">
        <f t="shared" si="1080"/>
        <v>-85333.758872282473</v>
      </c>
      <c r="AC143" s="24">
        <f t="shared" si="1080"/>
        <v>-82549.110343753608</v>
      </c>
      <c r="AD143" s="24">
        <f t="shared" si="1080"/>
        <v>-79753.343589776443</v>
      </c>
      <c r="AE143" s="24">
        <f t="shared" si="1080"/>
        <v>-311246.42438197631</v>
      </c>
      <c r="AF143" s="24">
        <f t="shared" si="1080"/>
        <v>25668.583027726221</v>
      </c>
      <c r="AG143" s="24">
        <f t="shared" si="1080"/>
        <v>28550.66538305394</v>
      </c>
      <c r="AH143" s="24">
        <f t="shared" si="1080"/>
        <v>31444.2096491624</v>
      </c>
      <c r="AI143" s="24">
        <f t="shared" si="1080"/>
        <v>39415.571040055671</v>
      </c>
      <c r="AJ143" s="24">
        <f t="shared" si="1080"/>
        <v>47419.336102020112</v>
      </c>
      <c r="AK143" s="24">
        <f t="shared" si="1080"/>
        <v>55455.604893184682</v>
      </c>
      <c r="AL143" s="24">
        <f t="shared" si="1080"/>
        <v>55793.049313228512</v>
      </c>
      <c r="AM143" s="24">
        <f t="shared" si="1080"/>
        <v>56131.223794269295</v>
      </c>
      <c r="AN143" s="24">
        <f t="shared" si="1080"/>
        <v>4381194.5252404353</v>
      </c>
      <c r="AO143" s="24">
        <f t="shared" si="1080"/>
        <v>0</v>
      </c>
      <c r="AP143" s="24">
        <f t="shared" si="1080"/>
        <v>0</v>
      </c>
      <c r="AQ143" s="24">
        <f t="shared" si="1080"/>
        <v>0</v>
      </c>
      <c r="AR143" s="24">
        <f t="shared" si="1080"/>
        <v>0</v>
      </c>
      <c r="AS143" s="24">
        <f t="shared" si="1080"/>
        <v>0</v>
      </c>
      <c r="AT143" s="24">
        <f t="shared" si="1080"/>
        <v>0</v>
      </c>
      <c r="AU143" s="24">
        <f t="shared" si="1080"/>
        <v>0</v>
      </c>
      <c r="AV143" s="24">
        <f t="shared" si="1080"/>
        <v>0</v>
      </c>
      <c r="AW143" s="24">
        <f t="shared" si="1080"/>
        <v>0</v>
      </c>
      <c r="AX143" s="24">
        <f t="shared" si="1080"/>
        <v>0</v>
      </c>
      <c r="AY143" s="24">
        <f t="shared" si="1080"/>
        <v>0</v>
      </c>
      <c r="AZ143" s="24">
        <f t="shared" si="1080"/>
        <v>0</v>
      </c>
      <c r="BA143" s="24">
        <f t="shared" si="1080"/>
        <v>0</v>
      </c>
      <c r="BB143" s="24">
        <f t="shared" si="1080"/>
        <v>0</v>
      </c>
      <c r="BC143" s="24">
        <f t="shared" si="1080"/>
        <v>0</v>
      </c>
      <c r="BD143" s="24">
        <f t="shared" si="1080"/>
        <v>0</v>
      </c>
      <c r="BE143" s="24">
        <f t="shared" si="1080"/>
        <v>0</v>
      </c>
      <c r="BF143" s="24">
        <f t="shared" si="1080"/>
        <v>0</v>
      </c>
      <c r="BG143" s="24">
        <f t="shared" si="1080"/>
        <v>0</v>
      </c>
      <c r="BH143" s="24">
        <f t="shared" si="1080"/>
        <v>0</v>
      </c>
      <c r="BI143" s="24">
        <f t="shared" si="1080"/>
        <v>0</v>
      </c>
      <c r="BJ143" s="24">
        <f t="shared" si="1080"/>
        <v>0</v>
      </c>
      <c r="BK143" s="24">
        <f t="shared" si="1080"/>
        <v>0</v>
      </c>
      <c r="BL143" s="24">
        <f t="shared" si="1080"/>
        <v>0</v>
      </c>
      <c r="BM143" s="24">
        <f t="shared" si="1080"/>
        <v>0</v>
      </c>
      <c r="BN143" s="24">
        <f t="shared" si="1080"/>
        <v>0</v>
      </c>
      <c r="BO143" s="24">
        <f t="shared" si="1080"/>
        <v>0</v>
      </c>
      <c r="BP143" s="24">
        <f t="shared" si="1080"/>
        <v>-4635.109062170488</v>
      </c>
      <c r="BQ143" s="24">
        <f t="shared" si="1080"/>
        <v>-9334.0370949236421</v>
      </c>
      <c r="BR143" s="24">
        <f t="shared" si="1080"/>
        <v>-9353.206318168588</v>
      </c>
      <c r="BS143" s="24">
        <f t="shared" si="1080"/>
        <v>-9372.4150161496782</v>
      </c>
      <c r="BT143" s="24">
        <f t="shared" ref="BT143:CV143" si="1081">+BT137-BT138-BT140</f>
        <v>-9391.6632703373707</v>
      </c>
      <c r="BU143" s="24">
        <f t="shared" si="1081"/>
        <v>-9410.951162370573</v>
      </c>
      <c r="BV143" s="24">
        <f t="shared" si="1081"/>
        <v>-9430.2787740569875</v>
      </c>
      <c r="BW143" s="24">
        <f t="shared" si="1081"/>
        <v>-9449.6461873734679</v>
      </c>
      <c r="BX143" s="24">
        <f t="shared" si="1081"/>
        <v>-9469.0534844663671</v>
      </c>
      <c r="BY143" s="24">
        <f t="shared" si="1081"/>
        <v>-9488.5007476518767</v>
      </c>
      <c r="BZ143" s="24">
        <f t="shared" si="1081"/>
        <v>-9507.9880594164006</v>
      </c>
      <c r="CA143" s="24">
        <f t="shared" si="1081"/>
        <v>-9527.5155024168926</v>
      </c>
      <c r="CB143" s="24">
        <f t="shared" si="1081"/>
        <v>-9547.0831594812062</v>
      </c>
      <c r="CC143" s="24">
        <f t="shared" si="1081"/>
        <v>-9566.69111360846</v>
      </c>
      <c r="CD143" s="24">
        <f t="shared" si="1081"/>
        <v>-9586.339447969387</v>
      </c>
      <c r="CE143" s="24">
        <f t="shared" si="1081"/>
        <v>-9606.0282459066912</v>
      </c>
      <c r="CF143" s="24">
        <f t="shared" si="1081"/>
        <v>-9625.7575909353982</v>
      </c>
      <c r="CG143" s="24">
        <f t="shared" si="1081"/>
        <v>-9645.5275667432215</v>
      </c>
      <c r="CH143" s="24">
        <f t="shared" si="1081"/>
        <v>-9665.3382571909115</v>
      </c>
      <c r="CI143" s="24">
        <f t="shared" si="1081"/>
        <v>-9685.189746312617</v>
      </c>
      <c r="CJ143" s="24">
        <f t="shared" si="1081"/>
        <v>-9705.0821183162479</v>
      </c>
      <c r="CK143" s="24">
        <f t="shared" si="1081"/>
        <v>-9725.0154575838278</v>
      </c>
      <c r="CL143" s="24">
        <f t="shared" si="1081"/>
        <v>-9744.9898486718612</v>
      </c>
      <c r="CM143" s="24">
        <f t="shared" si="1081"/>
        <v>-9765.0053763116921</v>
      </c>
      <c r="CN143" s="24">
        <f t="shared" si="1081"/>
        <v>-9785.0621254098623</v>
      </c>
      <c r="CO143" s="24">
        <f t="shared" si="1081"/>
        <v>-9805.1601810484844</v>
      </c>
      <c r="CP143" s="24">
        <f t="shared" si="1081"/>
        <v>-9825.2996284855944</v>
      </c>
      <c r="CQ143" s="24">
        <f t="shared" si="1081"/>
        <v>-9845.4805531555212</v>
      </c>
      <c r="CR143" s="24">
        <f t="shared" si="1081"/>
        <v>-9865.7030406692502</v>
      </c>
      <c r="CS143" s="24">
        <f t="shared" si="1081"/>
        <v>-9885.9671768147891</v>
      </c>
      <c r="CT143" s="24">
        <f t="shared" si="1081"/>
        <v>-9906.2730475575372</v>
      </c>
      <c r="CU143" s="24">
        <f t="shared" si="1081"/>
        <v>-9926.6207390406526</v>
      </c>
      <c r="CV143" s="24">
        <f t="shared" si="1081"/>
        <v>-9947.010337585416</v>
      </c>
      <c r="CW143" s="24">
        <f t="shared" ref="CW143:EI143" si="1082">+CW137-CW138-CW140</f>
        <v>-9967.4419296915985</v>
      </c>
      <c r="CX143" s="24">
        <f t="shared" si="1082"/>
        <v>-9987.9156020378396</v>
      </c>
      <c r="CY143" s="24">
        <f t="shared" si="1082"/>
        <v>-10008.431441482013</v>
      </c>
      <c r="CZ143" s="24">
        <f t="shared" si="1082"/>
        <v>-10028.989535061595</v>
      </c>
      <c r="DA143" s="24">
        <f t="shared" si="1082"/>
        <v>-10049.58996999404</v>
      </c>
      <c r="DB143" s="24">
        <f t="shared" si="1082"/>
        <v>-10070.232833677152</v>
      </c>
      <c r="DC143" s="24">
        <f t="shared" si="1082"/>
        <v>-10090.918213689456</v>
      </c>
      <c r="DD143" s="24">
        <f t="shared" si="1082"/>
        <v>-10111.64619779058</v>
      </c>
      <c r="DE143" s="24">
        <f t="shared" si="1082"/>
        <v>-10132.416873921618</v>
      </c>
      <c r="DF143" s="24">
        <f t="shared" si="1082"/>
        <v>-10153.230330205519</v>
      </c>
      <c r="DG143" s="24">
        <f t="shared" si="1082"/>
        <v>-10174.086654947449</v>
      </c>
      <c r="DH143" s="24">
        <f t="shared" si="1082"/>
        <v>-10194.985936635177</v>
      </c>
      <c r="DI143" s="24">
        <f t="shared" si="1082"/>
        <v>-10215.928263939462</v>
      </c>
      <c r="DJ143" s="24">
        <f t="shared" si="1082"/>
        <v>-10236.913725714416</v>
      </c>
      <c r="DK143" s="24">
        <f t="shared" si="1082"/>
        <v>-10257.942410997885</v>
      </c>
      <c r="DL143" s="24">
        <f t="shared" si="1082"/>
        <v>-10279.014409011841</v>
      </c>
      <c r="DM143" s="24">
        <f t="shared" si="1082"/>
        <v>-10300.129809162758</v>
      </c>
      <c r="DN143" s="24">
        <f t="shared" si="1082"/>
        <v>-10321.288701041987</v>
      </c>
      <c r="DO143" s="24">
        <f t="shared" si="1082"/>
        <v>-10342.491174426148</v>
      </c>
      <c r="DP143" s="24">
        <f t="shared" si="1082"/>
        <v>-10363.73731927751</v>
      </c>
      <c r="DQ143" s="24">
        <f t="shared" si="1082"/>
        <v>-10385.027225744376</v>
      </c>
      <c r="DR143" s="24">
        <f t="shared" si="1082"/>
        <v>-10406.360984161465</v>
      </c>
      <c r="DS143" s="24">
        <f t="shared" si="1082"/>
        <v>-10427.738685050306</v>
      </c>
      <c r="DT143" s="24">
        <f t="shared" si="1082"/>
        <v>-10449.16041911962</v>
      </c>
      <c r="DU143" s="24">
        <f t="shared" si="1082"/>
        <v>-10470.626277265706</v>
      </c>
      <c r="DV143" s="24">
        <f t="shared" si="1082"/>
        <v>-10492.13635057283</v>
      </c>
      <c r="DW143" s="24">
        <f t="shared" si="1082"/>
        <v>-10513.690730313612</v>
      </c>
      <c r="DX143" s="24">
        <f t="shared" si="1082"/>
        <v>-10535.289507949426</v>
      </c>
      <c r="DY143" s="24">
        <f t="shared" si="1082"/>
        <v>-10556.932775130785</v>
      </c>
      <c r="DZ143" s="24">
        <f t="shared" si="1082"/>
        <v>-10578.620623697729</v>
      </c>
      <c r="EA143" s="24">
        <f t="shared" si="1082"/>
        <v>-10600.353145680216</v>
      </c>
      <c r="EB143" s="24">
        <f t="shared" si="1082"/>
        <v>-10622.130433298527</v>
      </c>
      <c r="EC143" s="24">
        <f t="shared" si="1082"/>
        <v>-10643.952578963654</v>
      </c>
      <c r="ED143" s="24">
        <f t="shared" si="1082"/>
        <v>-10665.819675277684</v>
      </c>
      <c r="EE143" s="24">
        <f t="shared" si="1082"/>
        <v>-10687.731815034214</v>
      </c>
      <c r="EF143" s="24">
        <f t="shared" si="1082"/>
        <v>-10709.689091218737</v>
      </c>
      <c r="EG143" s="24">
        <f t="shared" si="1082"/>
        <v>-10731.691597009041</v>
      </c>
      <c r="EH143" s="24">
        <f t="shared" si="1082"/>
        <v>-10753.739425775602</v>
      </c>
      <c r="EI143" s="24">
        <f t="shared" si="1082"/>
        <v>-10775.832671081991</v>
      </c>
      <c r="EJ143" s="24"/>
      <c r="EK143" s="24"/>
      <c r="EL143" s="24"/>
      <c r="EM143" s="1" t="s">
        <v>191</v>
      </c>
    </row>
    <row r="144" spans="3:143" x14ac:dyDescent="0.45"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36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4"/>
      <c r="CA144" s="24"/>
      <c r="CB144" s="24"/>
      <c r="CC144" s="24"/>
      <c r="CD144" s="24"/>
      <c r="CE144" s="24"/>
      <c r="CF144" s="24"/>
      <c r="CG144" s="24"/>
      <c r="CH144" s="24"/>
      <c r="CI144" s="24"/>
      <c r="CJ144" s="24"/>
      <c r="CK144" s="24"/>
      <c r="CL144" s="24"/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  <c r="DB144" s="24"/>
      <c r="DC144" s="24"/>
      <c r="DD144" s="24"/>
      <c r="DE144" s="24"/>
      <c r="DF144" s="24"/>
      <c r="DG144" s="24"/>
      <c r="DH144" s="24"/>
      <c r="DI144" s="24"/>
      <c r="DJ144" s="24"/>
      <c r="DK144" s="24"/>
      <c r="DL144" s="24"/>
      <c r="DM144" s="24"/>
      <c r="DN144" s="24"/>
      <c r="DO144" s="24"/>
      <c r="DP144" s="24"/>
      <c r="DQ144" s="24"/>
      <c r="DR144" s="24"/>
      <c r="DS144" s="24"/>
      <c r="DT144" s="24"/>
      <c r="DU144" s="24"/>
      <c r="DV144" s="24"/>
      <c r="DW144" s="24"/>
      <c r="DX144" s="24"/>
      <c r="DY144" s="24"/>
      <c r="DZ144" s="24"/>
      <c r="EA144" s="24"/>
      <c r="EB144" s="24"/>
      <c r="EC144" s="24"/>
      <c r="ED144" s="24"/>
      <c r="EE144" s="24"/>
      <c r="EF144" s="24"/>
      <c r="EG144" s="24"/>
      <c r="EH144" s="24"/>
      <c r="EI144" s="24"/>
      <c r="EJ144" s="24"/>
      <c r="EK144" s="24"/>
      <c r="EL144" s="24"/>
      <c r="EM144" s="1" t="s">
        <v>191</v>
      </c>
    </row>
    <row r="145" spans="3:143" x14ac:dyDescent="0.45">
      <c r="D145" s="1" t="s">
        <v>210</v>
      </c>
      <c r="E145" s="24"/>
      <c r="F145" s="24"/>
      <c r="G145" s="24">
        <f>-G140</f>
        <v>0</v>
      </c>
      <c r="H145" s="24">
        <f>-H140</f>
        <v>0</v>
      </c>
      <c r="I145" s="24">
        <f t="shared" ref="I145:BT145" si="1083">-I140</f>
        <v>0</v>
      </c>
      <c r="J145" s="24">
        <f t="shared" si="1083"/>
        <v>0</v>
      </c>
      <c r="K145" s="24">
        <f t="shared" si="1083"/>
        <v>0</v>
      </c>
      <c r="L145" s="24">
        <f t="shared" si="1083"/>
        <v>0</v>
      </c>
      <c r="M145" s="24">
        <f t="shared" si="1083"/>
        <v>0</v>
      </c>
      <c r="N145" s="24">
        <f t="shared" si="1083"/>
        <v>0</v>
      </c>
      <c r="O145" s="24">
        <f t="shared" si="1083"/>
        <v>0</v>
      </c>
      <c r="P145" s="24">
        <f t="shared" si="1083"/>
        <v>0</v>
      </c>
      <c r="Q145" s="24">
        <f t="shared" si="1083"/>
        <v>0</v>
      </c>
      <c r="R145" s="24">
        <f t="shared" si="1083"/>
        <v>0</v>
      </c>
      <c r="S145" s="24">
        <f t="shared" si="1083"/>
        <v>0</v>
      </c>
      <c r="T145" s="24">
        <f t="shared" si="1083"/>
        <v>0</v>
      </c>
      <c r="U145" s="24">
        <f t="shared" si="1083"/>
        <v>0</v>
      </c>
      <c r="V145" s="24">
        <f t="shared" si="1083"/>
        <v>0</v>
      </c>
      <c r="W145" s="24">
        <f t="shared" si="1083"/>
        <v>0</v>
      </c>
      <c r="X145" s="24">
        <f t="shared" si="1083"/>
        <v>0</v>
      </c>
      <c r="Y145" s="24">
        <f t="shared" si="1083"/>
        <v>0</v>
      </c>
      <c r="Z145" s="24">
        <f t="shared" si="1083"/>
        <v>0</v>
      </c>
      <c r="AA145" s="24">
        <f t="shared" si="1083"/>
        <v>0</v>
      </c>
      <c r="AB145" s="24">
        <f t="shared" si="1083"/>
        <v>0</v>
      </c>
      <c r="AC145" s="24">
        <f t="shared" si="1083"/>
        <v>0</v>
      </c>
      <c r="AD145" s="24">
        <f t="shared" si="1083"/>
        <v>0</v>
      </c>
      <c r="AE145" s="24">
        <f t="shared" si="1083"/>
        <v>0</v>
      </c>
      <c r="AF145" s="24">
        <f t="shared" si="1083"/>
        <v>3144.7275123181657</v>
      </c>
      <c r="AG145" s="24">
        <f t="shared" si="1083"/>
        <v>3197.4826894591706</v>
      </c>
      <c r="AH145" s="24">
        <f t="shared" si="1083"/>
        <v>3250.4440713971899</v>
      </c>
      <c r="AI145" s="24">
        <f t="shared" si="1083"/>
        <v>3398.7320196821024</v>
      </c>
      <c r="AJ145" s="24">
        <f t="shared" si="1083"/>
        <v>3547.6152623087241</v>
      </c>
      <c r="AK145" s="24">
        <f t="shared" si="1083"/>
        <v>3697.0956237239957</v>
      </c>
      <c r="AL145" s="24">
        <f t="shared" si="1083"/>
        <v>3704.686972879992</v>
      </c>
      <c r="AM145" s="24">
        <f t="shared" si="1083"/>
        <v>3712.2939524577382</v>
      </c>
      <c r="AN145" s="24">
        <f t="shared" si="1083"/>
        <v>-5081317.9129793504</v>
      </c>
      <c r="AO145" s="24">
        <f t="shared" si="1083"/>
        <v>-25375.756998543977</v>
      </c>
      <c r="AP145" s="24">
        <f t="shared" si="1083"/>
        <v>-25708.477007572605</v>
      </c>
      <c r="AQ145" s="24">
        <f t="shared" si="1083"/>
        <v>-26041.917601996643</v>
      </c>
      <c r="AR145" s="24">
        <f t="shared" si="1083"/>
        <v>-26376.080328733373</v>
      </c>
      <c r="AS145" s="24">
        <f t="shared" si="1083"/>
        <v>-26710.96673799913</v>
      </c>
      <c r="AT145" s="24">
        <f t="shared" si="1083"/>
        <v>-27046.578383316111</v>
      </c>
      <c r="AU145" s="24">
        <f t="shared" si="1083"/>
        <v>-27382.916821519502</v>
      </c>
      <c r="AV145" s="24">
        <f t="shared" si="1083"/>
        <v>-27719.983612764492</v>
      </c>
      <c r="AW145" s="24">
        <f t="shared" si="1083"/>
        <v>-28057.780320533111</v>
      </c>
      <c r="AX145" s="24">
        <f t="shared" si="1083"/>
        <v>-28396.308511641524</v>
      </c>
      <c r="AY145" s="24">
        <f t="shared" si="1083"/>
        <v>-28735.569756247067</v>
      </c>
      <c r="AZ145" s="24">
        <f t="shared" si="1083"/>
        <v>-29075.565627855285</v>
      </c>
      <c r="BA145" s="24">
        <f t="shared" si="1083"/>
        <v>-29416.297703326771</v>
      </c>
      <c r="BB145" s="24">
        <f t="shared" si="1083"/>
        <v>-29757.767562885077</v>
      </c>
      <c r="BC145" s="24">
        <f t="shared" si="1083"/>
        <v>-30099.976790122921</v>
      </c>
      <c r="BD145" s="24">
        <f t="shared" si="1083"/>
        <v>-30442.926972009918</v>
      </c>
      <c r="BE145" s="24">
        <f t="shared" si="1083"/>
        <v>-30786.619698899398</v>
      </c>
      <c r="BF145" s="24">
        <f t="shared" si="1083"/>
        <v>-31131.056564535909</v>
      </c>
      <c r="BG145" s="24">
        <f t="shared" si="1083"/>
        <v>-31476.239166062322</v>
      </c>
      <c r="BH145" s="24">
        <f t="shared" si="1083"/>
        <v>-31822.169104026831</v>
      </c>
      <c r="BI145" s="24">
        <f t="shared" si="1083"/>
        <v>-32168.84798239042</v>
      </c>
      <c r="BJ145" s="24">
        <f t="shared" si="1083"/>
        <v>-32516.277408533879</v>
      </c>
      <c r="BK145" s="24">
        <f t="shared" si="1083"/>
        <v>-32864.458993265362</v>
      </c>
      <c r="BL145" s="24">
        <f t="shared" si="1083"/>
        <v>-33213.39435082733</v>
      </c>
      <c r="BM145" s="24">
        <f t="shared" si="1083"/>
        <v>-33563.08509890415</v>
      </c>
      <c r="BN145" s="24">
        <f t="shared" si="1083"/>
        <v>-33913.532858629107</v>
      </c>
      <c r="BO145" s="24">
        <f t="shared" si="1083"/>
        <v>-693464.83385316748</v>
      </c>
      <c r="BP145" s="24">
        <f t="shared" si="1083"/>
        <v>0</v>
      </c>
      <c r="BQ145" s="24">
        <f t="shared" si="1083"/>
        <v>-4689.4089797482748</v>
      </c>
      <c r="BR145" s="24">
        <f t="shared" si="1083"/>
        <v>-4699.0395476682625</v>
      </c>
      <c r="BS145" s="24">
        <f t="shared" si="1083"/>
        <v>-4708.6899475478795</v>
      </c>
      <c r="BT145" s="24">
        <f t="shared" si="1083"/>
        <v>-4718.360220317506</v>
      </c>
      <c r="BU145" s="24">
        <f t="shared" ref="BU145:CV145" si="1084">-BU140</f>
        <v>-4728.0504069921444</v>
      </c>
      <c r="BV145" s="24">
        <f t="shared" si="1084"/>
        <v>-4737.7605486716056</v>
      </c>
      <c r="BW145" s="24">
        <f t="shared" si="1084"/>
        <v>-4747.4906865406692</v>
      </c>
      <c r="BX145" s="24">
        <f t="shared" si="1084"/>
        <v>-4757.2408618692862</v>
      </c>
      <c r="BY145" s="24">
        <f t="shared" si="1084"/>
        <v>-4767.0111160127226</v>
      </c>
      <c r="BZ145" s="24">
        <f t="shared" si="1084"/>
        <v>-4776.8014904117563</v>
      </c>
      <c r="CA145" s="24">
        <f t="shared" si="1084"/>
        <v>-4786.6120265928603</v>
      </c>
      <c r="CB145" s="24">
        <f t="shared" si="1084"/>
        <v>-4796.4427661683549</v>
      </c>
      <c r="CC145" s="24">
        <f t="shared" si="1084"/>
        <v>-4806.2937508366113</v>
      </c>
      <c r="CD145" s="24">
        <f t="shared" si="1084"/>
        <v>-4816.1650223822098</v>
      </c>
      <c r="CE145" s="24">
        <f t="shared" si="1084"/>
        <v>-4826.0566226761403</v>
      </c>
      <c r="CF145" s="24">
        <f t="shared" si="1084"/>
        <v>-4835.9685936759533</v>
      </c>
      <c r="CG145" s="24">
        <f t="shared" si="1084"/>
        <v>-4845.9009774259666</v>
      </c>
      <c r="CH145" s="24">
        <f t="shared" si="1084"/>
        <v>-4855.8538160574262</v>
      </c>
      <c r="CI145" s="24">
        <f t="shared" si="1084"/>
        <v>-4865.8271517886915</v>
      </c>
      <c r="CJ145" s="24">
        <f t="shared" si="1084"/>
        <v>-4875.8210269254223</v>
      </c>
      <c r="CK145" s="24">
        <f t="shared" si="1084"/>
        <v>-4885.8354838607493</v>
      </c>
      <c r="CL145" s="24">
        <f t="shared" si="1084"/>
        <v>-4895.8705650754628</v>
      </c>
      <c r="CM145" s="24">
        <f t="shared" si="1084"/>
        <v>-4905.9263131381895</v>
      </c>
      <c r="CN145" s="24">
        <f t="shared" si="1084"/>
        <v>-4916.0027707055788</v>
      </c>
      <c r="CO145" s="24">
        <f t="shared" si="1084"/>
        <v>-4926.0999805224792</v>
      </c>
      <c r="CP145" s="24">
        <f t="shared" si="1084"/>
        <v>-4936.2179854221304</v>
      </c>
      <c r="CQ145" s="24">
        <f t="shared" si="1084"/>
        <v>-4946.356828326333</v>
      </c>
      <c r="CR145" s="24">
        <f t="shared" si="1084"/>
        <v>-4956.5165522456446</v>
      </c>
      <c r="CS145" s="24">
        <f t="shared" si="1084"/>
        <v>-4966.6972002795546</v>
      </c>
      <c r="CT145" s="24">
        <f t="shared" si="1084"/>
        <v>-4976.8988156166743</v>
      </c>
      <c r="CU145" s="24">
        <f t="shared" si="1084"/>
        <v>-4987.1214415349159</v>
      </c>
      <c r="CV145" s="24">
        <f t="shared" si="1084"/>
        <v>-4997.3651214016909</v>
      </c>
      <c r="CW145" s="24">
        <f t="shared" ref="CW145:EI145" si="1085">-CW140</f>
        <v>-5007.6298986740676</v>
      </c>
      <c r="CX145" s="24">
        <f t="shared" si="1085"/>
        <v>-5017.9158168989907</v>
      </c>
      <c r="CY145" s="24">
        <f t="shared" si="1085"/>
        <v>-5028.2229197134393</v>
      </c>
      <c r="CZ145" s="24">
        <f t="shared" si="1085"/>
        <v>-5038.5512508446382</v>
      </c>
      <c r="DA145" s="24">
        <f t="shared" si="1085"/>
        <v>-5048.9008541102148</v>
      </c>
      <c r="DB145" s="24">
        <f t="shared" si="1085"/>
        <v>-5059.2717734184189</v>
      </c>
      <c r="DC145" s="24">
        <f t="shared" si="1085"/>
        <v>-5069.6640527682839</v>
      </c>
      <c r="DD145" s="24">
        <f t="shared" si="1085"/>
        <v>-5080.077736249832</v>
      </c>
      <c r="DE145" s="24">
        <f t="shared" si="1085"/>
        <v>-5090.5128680442522</v>
      </c>
      <c r="DF145" s="24">
        <f t="shared" si="1085"/>
        <v>-5100.9694924240957</v>
      </c>
      <c r="DG145" s="24">
        <f t="shared" si="1085"/>
        <v>-5111.4476537534611</v>
      </c>
      <c r="DH145" s="24">
        <f t="shared" si="1085"/>
        <v>-5121.9473964881845</v>
      </c>
      <c r="DI145" s="24">
        <f t="shared" si="1085"/>
        <v>-5132.4687651760296</v>
      </c>
      <c r="DJ145" s="24">
        <f t="shared" si="1085"/>
        <v>-5143.0118044568862</v>
      </c>
      <c r="DK145" s="24">
        <f t="shared" si="1085"/>
        <v>-5153.5765590629426</v>
      </c>
      <c r="DL145" s="24">
        <f t="shared" si="1085"/>
        <v>-5164.163073818896</v>
      </c>
      <c r="DM145" s="24">
        <f t="shared" si="1085"/>
        <v>-5174.7713936421314</v>
      </c>
      <c r="DN145" s="24">
        <f t="shared" si="1085"/>
        <v>-5185.4015635429214</v>
      </c>
      <c r="DO145" s="24">
        <f t="shared" si="1085"/>
        <v>-5196.0536286246106</v>
      </c>
      <c r="DP145" s="24">
        <f t="shared" si="1085"/>
        <v>-5206.7276340838162</v>
      </c>
      <c r="DQ145" s="24">
        <f t="shared" si="1085"/>
        <v>-5217.4236252106175</v>
      </c>
      <c r="DR145" s="24">
        <f t="shared" si="1085"/>
        <v>-5228.1416473887466</v>
      </c>
      <c r="DS145" s="24">
        <f t="shared" si="1085"/>
        <v>-5238.8817460957889</v>
      </c>
      <c r="DT145" s="24">
        <f t="shared" si="1085"/>
        <v>-5249.6439669033743</v>
      </c>
      <c r="DU145" s="24">
        <f t="shared" si="1085"/>
        <v>-5260.4283554773701</v>
      </c>
      <c r="DV145" s="24">
        <f t="shared" si="1085"/>
        <v>-5271.234957578079</v>
      </c>
      <c r="DW145" s="24">
        <f t="shared" si="1085"/>
        <v>-5282.0638190604304</v>
      </c>
      <c r="DX145" s="24">
        <f t="shared" si="1085"/>
        <v>-5292.9149858741821</v>
      </c>
      <c r="DY145" s="24">
        <f t="shared" si="1085"/>
        <v>-5303.7885040641122</v>
      </c>
      <c r="DZ145" s="24">
        <f t="shared" si="1085"/>
        <v>-5314.6844197702221</v>
      </c>
      <c r="EA145" s="24">
        <f t="shared" si="1085"/>
        <v>-5325.6027792279256</v>
      </c>
      <c r="EB145" s="24">
        <f t="shared" si="1085"/>
        <v>-5336.5436287682451</v>
      </c>
      <c r="EC145" s="24">
        <f t="shared" si="1085"/>
        <v>-5347.5070148180275</v>
      </c>
      <c r="ED145" s="24">
        <f t="shared" si="1085"/>
        <v>-5358.4929839001179</v>
      </c>
      <c r="EE145" s="24">
        <f t="shared" si="1085"/>
        <v>-5369.5015826335748</v>
      </c>
      <c r="EF145" s="24">
        <f t="shared" si="1085"/>
        <v>-5380.532857733866</v>
      </c>
      <c r="EG145" s="24">
        <f t="shared" si="1085"/>
        <v>-5391.5868560130657</v>
      </c>
      <c r="EH145" s="24">
        <f t="shared" si="1085"/>
        <v>-5402.6636243800585</v>
      </c>
      <c r="EI145" s="24">
        <f t="shared" si="1085"/>
        <v>-5413.7632098407303</v>
      </c>
      <c r="EJ145" s="24"/>
      <c r="EK145" s="24"/>
      <c r="EL145" s="24"/>
      <c r="EM145" s="1" t="s">
        <v>191</v>
      </c>
    </row>
    <row r="146" spans="3:143" x14ac:dyDescent="0.45">
      <c r="D146" s="1" t="s">
        <v>211</v>
      </c>
      <c r="E146" s="24"/>
      <c r="F146" s="24"/>
      <c r="G146" s="24">
        <f t="shared" ref="G146:AL146" si="1086">+(G145/$J$90)*$K$90</f>
        <v>0</v>
      </c>
      <c r="H146" s="24">
        <f t="shared" si="1086"/>
        <v>0</v>
      </c>
      <c r="I146" s="24">
        <f t="shared" si="1086"/>
        <v>0</v>
      </c>
      <c r="J146" s="24">
        <f t="shared" si="1086"/>
        <v>0</v>
      </c>
      <c r="K146" s="24">
        <f t="shared" si="1086"/>
        <v>0</v>
      </c>
      <c r="L146" s="24">
        <f t="shared" si="1086"/>
        <v>0</v>
      </c>
      <c r="M146" s="24">
        <f t="shared" si="1086"/>
        <v>0</v>
      </c>
      <c r="N146" s="24">
        <f t="shared" si="1086"/>
        <v>0</v>
      </c>
      <c r="O146" s="24">
        <f t="shared" si="1086"/>
        <v>0</v>
      </c>
      <c r="P146" s="24">
        <f t="shared" si="1086"/>
        <v>0</v>
      </c>
      <c r="Q146" s="24">
        <f t="shared" si="1086"/>
        <v>0</v>
      </c>
      <c r="R146" s="24">
        <f t="shared" si="1086"/>
        <v>0</v>
      </c>
      <c r="S146" s="24">
        <f t="shared" si="1086"/>
        <v>0</v>
      </c>
      <c r="T146" s="24">
        <f t="shared" si="1086"/>
        <v>0</v>
      </c>
      <c r="U146" s="24">
        <f t="shared" si="1086"/>
        <v>0</v>
      </c>
      <c r="V146" s="24">
        <f t="shared" si="1086"/>
        <v>0</v>
      </c>
      <c r="W146" s="24">
        <f t="shared" si="1086"/>
        <v>0</v>
      </c>
      <c r="X146" s="24">
        <f t="shared" si="1086"/>
        <v>0</v>
      </c>
      <c r="Y146" s="24">
        <f t="shared" si="1086"/>
        <v>0</v>
      </c>
      <c r="Z146" s="24">
        <f t="shared" si="1086"/>
        <v>0</v>
      </c>
      <c r="AA146" s="24">
        <f t="shared" si="1086"/>
        <v>0</v>
      </c>
      <c r="AB146" s="24">
        <f t="shared" si="1086"/>
        <v>0</v>
      </c>
      <c r="AC146" s="24">
        <f t="shared" si="1086"/>
        <v>0</v>
      </c>
      <c r="AD146" s="24">
        <f t="shared" si="1086"/>
        <v>0</v>
      </c>
      <c r="AE146" s="24">
        <f t="shared" si="1086"/>
        <v>0</v>
      </c>
      <c r="AF146" s="24">
        <f t="shared" si="1086"/>
        <v>554.95191393849984</v>
      </c>
      <c r="AG146" s="24">
        <f t="shared" si="1086"/>
        <v>564.2616510810301</v>
      </c>
      <c r="AH146" s="24">
        <f t="shared" si="1086"/>
        <v>573.60777730538643</v>
      </c>
      <c r="AI146" s="24">
        <f t="shared" si="1086"/>
        <v>599.77623876742985</v>
      </c>
      <c r="AJ146" s="24">
        <f t="shared" si="1086"/>
        <v>626.0497521721278</v>
      </c>
      <c r="AK146" s="24">
        <f t="shared" si="1086"/>
        <v>652.4286394807051</v>
      </c>
      <c r="AL146" s="24">
        <f t="shared" si="1086"/>
        <v>653.7682893317633</v>
      </c>
      <c r="AM146" s="24">
        <f t="shared" ref="AM146:BR146" si="1087">+(AM145/$J$90)*$K$90</f>
        <v>655.11069749254204</v>
      </c>
      <c r="AN146" s="24">
        <f t="shared" si="1087"/>
        <v>-896703.16111400304</v>
      </c>
      <c r="AO146" s="24">
        <f t="shared" si="1087"/>
        <v>-4478.0747644489375</v>
      </c>
      <c r="AP146" s="24">
        <f t="shared" si="1087"/>
        <v>-4536.7900601598712</v>
      </c>
      <c r="AQ146" s="24">
        <f t="shared" si="1087"/>
        <v>-4595.6325179994074</v>
      </c>
      <c r="AR146" s="24">
        <f t="shared" si="1087"/>
        <v>-4654.602410952948</v>
      </c>
      <c r="AS146" s="24">
        <f t="shared" si="1087"/>
        <v>-4713.7000125880822</v>
      </c>
      <c r="AT146" s="24">
        <f t="shared" si="1087"/>
        <v>-4772.9255970557842</v>
      </c>
      <c r="AU146" s="24">
        <f t="shared" si="1087"/>
        <v>-4832.279439091677</v>
      </c>
      <c r="AV146" s="24">
        <f t="shared" si="1087"/>
        <v>-4891.7618140172635</v>
      </c>
      <c r="AW146" s="24">
        <f t="shared" si="1087"/>
        <v>-4951.3729977411376</v>
      </c>
      <c r="AX146" s="24">
        <f t="shared" si="1087"/>
        <v>-5011.1132667602697</v>
      </c>
      <c r="AY146" s="24">
        <f t="shared" si="1087"/>
        <v>-5070.9828981612463</v>
      </c>
      <c r="AZ146" s="24">
        <f t="shared" si="1087"/>
        <v>-5130.9821696215213</v>
      </c>
      <c r="BA146" s="24">
        <f t="shared" si="1087"/>
        <v>-5191.1113594106073</v>
      </c>
      <c r="BB146" s="24">
        <f t="shared" si="1087"/>
        <v>-5251.3707463914843</v>
      </c>
      <c r="BC146" s="24">
        <f t="shared" si="1087"/>
        <v>-5311.7606100216917</v>
      </c>
      <c r="BD146" s="24">
        <f t="shared" si="1087"/>
        <v>-5372.2812303546907</v>
      </c>
      <c r="BE146" s="24">
        <f t="shared" si="1087"/>
        <v>-5432.9328880410694</v>
      </c>
      <c r="BF146" s="24">
        <f t="shared" si="1087"/>
        <v>-5493.7158643298662</v>
      </c>
      <c r="BG146" s="24">
        <f t="shared" si="1087"/>
        <v>-5554.6304410698222</v>
      </c>
      <c r="BH146" s="24">
        <f t="shared" si="1087"/>
        <v>-5615.6769007106168</v>
      </c>
      <c r="BI146" s="24">
        <f t="shared" si="1087"/>
        <v>-5676.8555263041917</v>
      </c>
      <c r="BJ146" s="24">
        <f t="shared" si="1087"/>
        <v>-5738.1666015059782</v>
      </c>
      <c r="BK146" s="24">
        <f t="shared" si="1087"/>
        <v>-5799.6104105762406</v>
      </c>
      <c r="BL146" s="24">
        <f t="shared" si="1087"/>
        <v>-5861.1872383812934</v>
      </c>
      <c r="BM146" s="24">
        <f t="shared" si="1087"/>
        <v>-5922.8973703948495</v>
      </c>
      <c r="BN146" s="24">
        <f t="shared" si="1087"/>
        <v>-5984.7410926992534</v>
      </c>
      <c r="BO146" s="24">
        <f t="shared" si="1087"/>
        <v>-122376.14715055897</v>
      </c>
      <c r="BP146" s="24">
        <f t="shared" si="1087"/>
        <v>0</v>
      </c>
      <c r="BQ146" s="24">
        <f t="shared" si="1087"/>
        <v>-827.54276113204844</v>
      </c>
      <c r="BR146" s="24">
        <f t="shared" si="1087"/>
        <v>-829.24227311792868</v>
      </c>
      <c r="BS146" s="24">
        <f t="shared" ref="BS146:CX146" si="1088">+(BS145/$J$90)*$K$90</f>
        <v>-830.94528486139052</v>
      </c>
      <c r="BT146" s="24">
        <f t="shared" si="1088"/>
        <v>-832.65180358544228</v>
      </c>
      <c r="BU146" s="24">
        <f t="shared" si="1088"/>
        <v>-834.36183652802549</v>
      </c>
      <c r="BV146" s="24">
        <f t="shared" si="1088"/>
        <v>-836.0753909420481</v>
      </c>
      <c r="BW146" s="24">
        <f t="shared" si="1088"/>
        <v>-837.79247409541222</v>
      </c>
      <c r="BX146" s="24">
        <f t="shared" si="1088"/>
        <v>-839.51309327105048</v>
      </c>
      <c r="BY146" s="24">
        <f t="shared" si="1088"/>
        <v>-841.23725576695108</v>
      </c>
      <c r="BZ146" s="24">
        <f t="shared" si="1088"/>
        <v>-842.96496889619232</v>
      </c>
      <c r="CA146" s="24">
        <f t="shared" si="1088"/>
        <v>-844.69623998697534</v>
      </c>
      <c r="CB146" s="24">
        <f t="shared" si="1088"/>
        <v>-846.43107638265076</v>
      </c>
      <c r="CC146" s="24">
        <f t="shared" si="1088"/>
        <v>-848.16948544175489</v>
      </c>
      <c r="CD146" s="24">
        <f t="shared" si="1088"/>
        <v>-849.91147453803706</v>
      </c>
      <c r="CE146" s="24">
        <f t="shared" si="1088"/>
        <v>-851.65705106049529</v>
      </c>
      <c r="CF146" s="24">
        <f t="shared" si="1088"/>
        <v>-853.40622241340361</v>
      </c>
      <c r="CG146" s="24">
        <f t="shared" si="1088"/>
        <v>-855.15899601634703</v>
      </c>
      <c r="CH146" s="24">
        <f t="shared" si="1088"/>
        <v>-856.91537930425159</v>
      </c>
      <c r="CI146" s="24">
        <f t="shared" si="1088"/>
        <v>-858.67537972741604</v>
      </c>
      <c r="CJ146" s="24">
        <f t="shared" si="1088"/>
        <v>-860.4390047515451</v>
      </c>
      <c r="CK146" s="24">
        <f t="shared" si="1088"/>
        <v>-862.20626185777928</v>
      </c>
      <c r="CL146" s="24">
        <f t="shared" si="1088"/>
        <v>-863.97715854272872</v>
      </c>
      <c r="CM146" s="24">
        <f t="shared" si="1088"/>
        <v>-865.75170231850404</v>
      </c>
      <c r="CN146" s="24">
        <f t="shared" si="1088"/>
        <v>-867.52990071274928</v>
      </c>
      <c r="CO146" s="24">
        <f t="shared" si="1088"/>
        <v>-869.31176126867274</v>
      </c>
      <c r="CP146" s="24">
        <f t="shared" si="1088"/>
        <v>-871.09729154508182</v>
      </c>
      <c r="CQ146" s="24">
        <f t="shared" si="1088"/>
        <v>-872.88649911641176</v>
      </c>
      <c r="CR146" s="24">
        <f t="shared" si="1088"/>
        <v>-874.67939157276089</v>
      </c>
      <c r="CS146" s="24">
        <f t="shared" si="1088"/>
        <v>-876.47597651992135</v>
      </c>
      <c r="CT146" s="24">
        <f t="shared" si="1088"/>
        <v>-878.27626157941313</v>
      </c>
      <c r="CU146" s="24">
        <f t="shared" si="1088"/>
        <v>-880.08025438851462</v>
      </c>
      <c r="CV146" s="24">
        <f t="shared" si="1088"/>
        <v>-881.88796260029835</v>
      </c>
      <c r="CW146" s="24">
        <f t="shared" si="1088"/>
        <v>-883.69939388365901</v>
      </c>
      <c r="CX146" s="24">
        <f t="shared" si="1088"/>
        <v>-885.51455592335128</v>
      </c>
      <c r="CY146" s="24">
        <f t="shared" ref="CY146:ED146" si="1089">+(CY145/$J$90)*$K$90</f>
        <v>-887.33345642001871</v>
      </c>
      <c r="CZ146" s="24">
        <f t="shared" si="1089"/>
        <v>-889.1561030902302</v>
      </c>
      <c r="DA146" s="24">
        <f t="shared" si="1089"/>
        <v>-890.98250366650848</v>
      </c>
      <c r="DB146" s="24">
        <f t="shared" si="1089"/>
        <v>-892.81266589736799</v>
      </c>
      <c r="DC146" s="24">
        <f t="shared" si="1089"/>
        <v>-894.6465975473443</v>
      </c>
      <c r="DD146" s="24">
        <f t="shared" si="1089"/>
        <v>-896.48430639702917</v>
      </c>
      <c r="DE146" s="24">
        <f t="shared" si="1089"/>
        <v>-898.32580024310334</v>
      </c>
      <c r="DF146" s="24">
        <f t="shared" si="1089"/>
        <v>-900.17108689836982</v>
      </c>
      <c r="DG146" s="24">
        <f t="shared" si="1089"/>
        <v>-902.02017419178719</v>
      </c>
      <c r="DH146" s="24">
        <f t="shared" si="1089"/>
        <v>-903.87306996850305</v>
      </c>
      <c r="DI146" s="24">
        <f t="shared" si="1089"/>
        <v>-905.72978208988752</v>
      </c>
      <c r="DJ146" s="24">
        <f t="shared" si="1089"/>
        <v>-907.5903184335682</v>
      </c>
      <c r="DK146" s="24">
        <f t="shared" si="1089"/>
        <v>-909.45468689346046</v>
      </c>
      <c r="DL146" s="24">
        <f t="shared" si="1089"/>
        <v>-911.32289537980512</v>
      </c>
      <c r="DM146" s="24">
        <f t="shared" si="1089"/>
        <v>-913.19495181919967</v>
      </c>
      <c r="DN146" s="24">
        <f t="shared" si="1089"/>
        <v>-915.07086415463323</v>
      </c>
      <c r="DO146" s="24">
        <f t="shared" si="1089"/>
        <v>-916.95064034551956</v>
      </c>
      <c r="DP146" s="24">
        <f t="shared" si="1089"/>
        <v>-918.83428836773226</v>
      </c>
      <c r="DQ146" s="24">
        <f t="shared" si="1089"/>
        <v>-920.72181621363836</v>
      </c>
      <c r="DR146" s="24">
        <f t="shared" si="1089"/>
        <v>-922.61323189213169</v>
      </c>
      <c r="DS146" s="24">
        <f t="shared" si="1089"/>
        <v>-924.50854342866853</v>
      </c>
      <c r="DT146" s="24">
        <f t="shared" si="1089"/>
        <v>-926.40775886530139</v>
      </c>
      <c r="DU146" s="24">
        <f t="shared" si="1089"/>
        <v>-928.31088626071232</v>
      </c>
      <c r="DV146" s="24">
        <f t="shared" si="1089"/>
        <v>-930.2179336902492</v>
      </c>
      <c r="DW146" s="24">
        <f t="shared" si="1089"/>
        <v>-932.12890924595831</v>
      </c>
      <c r="DX146" s="24">
        <f t="shared" si="1089"/>
        <v>-934.04382103662033</v>
      </c>
      <c r="DY146" s="24">
        <f t="shared" si="1089"/>
        <v>-935.96267718778449</v>
      </c>
      <c r="DZ146" s="24">
        <f t="shared" si="1089"/>
        <v>-937.88548584180398</v>
      </c>
      <c r="EA146" s="24">
        <f t="shared" si="1089"/>
        <v>-939.81225515786912</v>
      </c>
      <c r="EB146" s="24">
        <f t="shared" si="1089"/>
        <v>-941.74299331204327</v>
      </c>
      <c r="EC146" s="24">
        <f t="shared" si="1089"/>
        <v>-943.67770849729891</v>
      </c>
      <c r="ED146" s="24">
        <f t="shared" si="1089"/>
        <v>-945.61640892355024</v>
      </c>
      <c r="EE146" s="24">
        <f t="shared" ref="EE146:EI146" si="1090">+(EE145/$J$90)*$K$90</f>
        <v>-947.55910281768956</v>
      </c>
      <c r="EF146" s="24">
        <f t="shared" si="1090"/>
        <v>-949.50579842362345</v>
      </c>
      <c r="EG146" s="24">
        <f t="shared" si="1090"/>
        <v>-951.45650400230579</v>
      </c>
      <c r="EH146" s="24">
        <f t="shared" si="1090"/>
        <v>-953.41122783177502</v>
      </c>
      <c r="EI146" s="24">
        <f t="shared" si="1090"/>
        <v>-955.36997820718773</v>
      </c>
      <c r="EJ146" s="24"/>
      <c r="EK146" s="24"/>
      <c r="EL146" s="24"/>
      <c r="EM146" s="1" t="s">
        <v>191</v>
      </c>
    </row>
    <row r="147" spans="3:143" x14ac:dyDescent="0.45">
      <c r="D147" s="1" t="s">
        <v>212</v>
      </c>
      <c r="E147" s="24"/>
      <c r="F147" s="24"/>
      <c r="G147" s="24">
        <f>SUM(G145:G146)</f>
        <v>0</v>
      </c>
      <c r="H147" s="24">
        <f>SUM(H145:H146)</f>
        <v>0</v>
      </c>
      <c r="I147" s="24">
        <f t="shared" ref="I147:BT147" si="1091">SUM(I145:I146)</f>
        <v>0</v>
      </c>
      <c r="J147" s="24">
        <f t="shared" si="1091"/>
        <v>0</v>
      </c>
      <c r="K147" s="24">
        <f t="shared" si="1091"/>
        <v>0</v>
      </c>
      <c r="L147" s="24">
        <f t="shared" si="1091"/>
        <v>0</v>
      </c>
      <c r="M147" s="24">
        <f t="shared" si="1091"/>
        <v>0</v>
      </c>
      <c r="N147" s="24">
        <f t="shared" si="1091"/>
        <v>0</v>
      </c>
      <c r="O147" s="24">
        <f t="shared" si="1091"/>
        <v>0</v>
      </c>
      <c r="P147" s="24">
        <f t="shared" si="1091"/>
        <v>0</v>
      </c>
      <c r="Q147" s="24">
        <f t="shared" si="1091"/>
        <v>0</v>
      </c>
      <c r="R147" s="24">
        <f t="shared" si="1091"/>
        <v>0</v>
      </c>
      <c r="S147" s="24">
        <f t="shared" si="1091"/>
        <v>0</v>
      </c>
      <c r="T147" s="24">
        <f t="shared" si="1091"/>
        <v>0</v>
      </c>
      <c r="U147" s="24">
        <f t="shared" si="1091"/>
        <v>0</v>
      </c>
      <c r="V147" s="24">
        <f t="shared" si="1091"/>
        <v>0</v>
      </c>
      <c r="W147" s="24">
        <f t="shared" si="1091"/>
        <v>0</v>
      </c>
      <c r="X147" s="24">
        <f t="shared" si="1091"/>
        <v>0</v>
      </c>
      <c r="Y147" s="24">
        <f t="shared" si="1091"/>
        <v>0</v>
      </c>
      <c r="Z147" s="24">
        <f t="shared" si="1091"/>
        <v>0</v>
      </c>
      <c r="AA147" s="24">
        <f t="shared" si="1091"/>
        <v>0</v>
      </c>
      <c r="AB147" s="24">
        <f t="shared" si="1091"/>
        <v>0</v>
      </c>
      <c r="AC147" s="24">
        <f t="shared" si="1091"/>
        <v>0</v>
      </c>
      <c r="AD147" s="24">
        <f t="shared" si="1091"/>
        <v>0</v>
      </c>
      <c r="AE147" s="24">
        <f t="shared" si="1091"/>
        <v>0</v>
      </c>
      <c r="AF147" s="24">
        <f t="shared" si="1091"/>
        <v>3699.6794262566655</v>
      </c>
      <c r="AG147" s="24">
        <f t="shared" si="1091"/>
        <v>3761.7443405402009</v>
      </c>
      <c r="AH147" s="24">
        <f t="shared" si="1091"/>
        <v>3824.0518487025765</v>
      </c>
      <c r="AI147" s="24">
        <f t="shared" si="1091"/>
        <v>3998.5082584495321</v>
      </c>
      <c r="AJ147" s="24">
        <f t="shared" si="1091"/>
        <v>4173.6650144808518</v>
      </c>
      <c r="AK147" s="24">
        <f t="shared" si="1091"/>
        <v>4349.5242632047011</v>
      </c>
      <c r="AL147" s="24">
        <f t="shared" si="1091"/>
        <v>4358.4552622117553</v>
      </c>
      <c r="AM147" s="24">
        <f t="shared" si="1091"/>
        <v>4367.4046499502801</v>
      </c>
      <c r="AN147" s="24">
        <f t="shared" si="1091"/>
        <v>-5978021.074093353</v>
      </c>
      <c r="AO147" s="24">
        <f t="shared" si="1091"/>
        <v>-29853.831762992915</v>
      </c>
      <c r="AP147" s="24">
        <f t="shared" si="1091"/>
        <v>-30245.267067732475</v>
      </c>
      <c r="AQ147" s="24">
        <f t="shared" si="1091"/>
        <v>-30637.550119996049</v>
      </c>
      <c r="AR147" s="24">
        <f t="shared" si="1091"/>
        <v>-31030.682739686323</v>
      </c>
      <c r="AS147" s="24">
        <f t="shared" si="1091"/>
        <v>-31424.66675058721</v>
      </c>
      <c r="AT147" s="24">
        <f t="shared" si="1091"/>
        <v>-31819.503980371897</v>
      </c>
      <c r="AU147" s="24">
        <f t="shared" si="1091"/>
        <v>-32215.196260611177</v>
      </c>
      <c r="AV147" s="24">
        <f t="shared" si="1091"/>
        <v>-32611.745426781756</v>
      </c>
      <c r="AW147" s="24">
        <f t="shared" si="1091"/>
        <v>-33009.15331827425</v>
      </c>
      <c r="AX147" s="24">
        <f t="shared" si="1091"/>
        <v>-33407.421778401796</v>
      </c>
      <c r="AY147" s="24">
        <f t="shared" si="1091"/>
        <v>-33806.552654408311</v>
      </c>
      <c r="AZ147" s="24">
        <f t="shared" si="1091"/>
        <v>-34206.547797476807</v>
      </c>
      <c r="BA147" s="24">
        <f t="shared" si="1091"/>
        <v>-34607.409062737381</v>
      </c>
      <c r="BB147" s="24">
        <f t="shared" si="1091"/>
        <v>-35009.138309276561</v>
      </c>
      <c r="BC147" s="24">
        <f t="shared" si="1091"/>
        <v>-35411.737400144615</v>
      </c>
      <c r="BD147" s="24">
        <f t="shared" si="1091"/>
        <v>-35815.208202364607</v>
      </c>
      <c r="BE147" s="24">
        <f t="shared" si="1091"/>
        <v>-36219.552586940466</v>
      </c>
      <c r="BF147" s="24">
        <f t="shared" si="1091"/>
        <v>-36624.772428865777</v>
      </c>
      <c r="BG147" s="24">
        <f t="shared" si="1091"/>
        <v>-37030.869607132146</v>
      </c>
      <c r="BH147" s="24">
        <f t="shared" si="1091"/>
        <v>-37437.846004737446</v>
      </c>
      <c r="BI147" s="24">
        <f t="shared" si="1091"/>
        <v>-37845.703508694613</v>
      </c>
      <c r="BJ147" s="24">
        <f t="shared" si="1091"/>
        <v>-38254.444010039857</v>
      </c>
      <c r="BK147" s="24">
        <f t="shared" si="1091"/>
        <v>-38664.069403841604</v>
      </c>
      <c r="BL147" s="24">
        <f t="shared" si="1091"/>
        <v>-39074.581589208625</v>
      </c>
      <c r="BM147" s="24">
        <f t="shared" si="1091"/>
        <v>-39485.982469299001</v>
      </c>
      <c r="BN147" s="24">
        <f t="shared" si="1091"/>
        <v>-39898.27395132836</v>
      </c>
      <c r="BO147" s="24">
        <f t="shared" si="1091"/>
        <v>-815840.98100372648</v>
      </c>
      <c r="BP147" s="24">
        <f t="shared" si="1091"/>
        <v>0</v>
      </c>
      <c r="BQ147" s="24">
        <f t="shared" si="1091"/>
        <v>-5516.9517408803231</v>
      </c>
      <c r="BR147" s="24">
        <f t="shared" si="1091"/>
        <v>-5528.281820786191</v>
      </c>
      <c r="BS147" s="24">
        <f t="shared" si="1091"/>
        <v>-5539.6352324092695</v>
      </c>
      <c r="BT147" s="24">
        <f t="shared" si="1091"/>
        <v>-5551.0120239029484</v>
      </c>
      <c r="BU147" s="24">
        <f t="shared" ref="BU147:CV147" si="1092">SUM(BU145:BU146)</f>
        <v>-5562.4122435201698</v>
      </c>
      <c r="BV147" s="24">
        <f t="shared" si="1092"/>
        <v>-5573.8359396136539</v>
      </c>
      <c r="BW147" s="24">
        <f t="shared" si="1092"/>
        <v>-5585.2831606360814</v>
      </c>
      <c r="BX147" s="24">
        <f t="shared" si="1092"/>
        <v>-5596.753955140337</v>
      </c>
      <c r="BY147" s="24">
        <f t="shared" si="1092"/>
        <v>-5608.248371779674</v>
      </c>
      <c r="BZ147" s="24">
        <f t="shared" si="1092"/>
        <v>-5619.7664593079489</v>
      </c>
      <c r="CA147" s="24">
        <f t="shared" si="1092"/>
        <v>-5631.3082665798356</v>
      </c>
      <c r="CB147" s="24">
        <f t="shared" si="1092"/>
        <v>-5642.8738425510055</v>
      </c>
      <c r="CC147" s="24">
        <f t="shared" si="1092"/>
        <v>-5654.4632362783659</v>
      </c>
      <c r="CD147" s="24">
        <f t="shared" si="1092"/>
        <v>-5666.0764969202464</v>
      </c>
      <c r="CE147" s="24">
        <f t="shared" si="1092"/>
        <v>-5677.7136737366354</v>
      </c>
      <c r="CF147" s="24">
        <f t="shared" si="1092"/>
        <v>-5689.3748160893574</v>
      </c>
      <c r="CG147" s="24">
        <f t="shared" si="1092"/>
        <v>-5701.059973442314</v>
      </c>
      <c r="CH147" s="24">
        <f t="shared" si="1092"/>
        <v>-5712.7691953616777</v>
      </c>
      <c r="CI147" s="24">
        <f t="shared" si="1092"/>
        <v>-5724.5025315161074</v>
      </c>
      <c r="CJ147" s="24">
        <f t="shared" si="1092"/>
        <v>-5736.2600316769676</v>
      </c>
      <c r="CK147" s="24">
        <f t="shared" si="1092"/>
        <v>-5748.0417457185285</v>
      </c>
      <c r="CL147" s="24">
        <f t="shared" si="1092"/>
        <v>-5759.8477236181916</v>
      </c>
      <c r="CM147" s="24">
        <f t="shared" si="1092"/>
        <v>-5771.6780154566932</v>
      </c>
      <c r="CN147" s="24">
        <f t="shared" si="1092"/>
        <v>-5783.5326714183284</v>
      </c>
      <c r="CO147" s="24">
        <f t="shared" si="1092"/>
        <v>-5795.4117417911521</v>
      </c>
      <c r="CP147" s="24">
        <f t="shared" si="1092"/>
        <v>-5807.3152769672124</v>
      </c>
      <c r="CQ147" s="24">
        <f t="shared" si="1092"/>
        <v>-5819.2433274427449</v>
      </c>
      <c r="CR147" s="24">
        <f t="shared" si="1092"/>
        <v>-5831.1959438184058</v>
      </c>
      <c r="CS147" s="24">
        <f t="shared" si="1092"/>
        <v>-5843.1731767994761</v>
      </c>
      <c r="CT147" s="24">
        <f t="shared" si="1092"/>
        <v>-5855.1750771960869</v>
      </c>
      <c r="CU147" s="24">
        <f t="shared" si="1092"/>
        <v>-5867.2016959234306</v>
      </c>
      <c r="CV147" s="24">
        <f t="shared" si="1092"/>
        <v>-5879.253084001989</v>
      </c>
      <c r="CW147" s="24">
        <f t="shared" ref="CW147:EI147" si="1093">SUM(CW145:CW146)</f>
        <v>-5891.3292925577261</v>
      </c>
      <c r="CX147" s="24">
        <f t="shared" si="1093"/>
        <v>-5903.4303728223422</v>
      </c>
      <c r="CY147" s="24">
        <f t="shared" si="1093"/>
        <v>-5915.5563761334579</v>
      </c>
      <c r="CZ147" s="24">
        <f t="shared" si="1093"/>
        <v>-5927.7073539348685</v>
      </c>
      <c r="DA147" s="24">
        <f t="shared" si="1093"/>
        <v>-5939.8833577767236</v>
      </c>
      <c r="DB147" s="24">
        <f t="shared" si="1093"/>
        <v>-5952.0844393157868</v>
      </c>
      <c r="DC147" s="24">
        <f t="shared" si="1093"/>
        <v>-5964.3106503156287</v>
      </c>
      <c r="DD147" s="24">
        <f t="shared" si="1093"/>
        <v>-5976.5620426468613</v>
      </c>
      <c r="DE147" s="24">
        <f t="shared" si="1093"/>
        <v>-5988.8386682873552</v>
      </c>
      <c r="DF147" s="24">
        <f t="shared" si="1093"/>
        <v>-6001.1405793224658</v>
      </c>
      <c r="DG147" s="24">
        <f t="shared" si="1093"/>
        <v>-6013.4678279452482</v>
      </c>
      <c r="DH147" s="24">
        <f t="shared" si="1093"/>
        <v>-6025.8204664566874</v>
      </c>
      <c r="DI147" s="24">
        <f t="shared" si="1093"/>
        <v>-6038.1985472659171</v>
      </c>
      <c r="DJ147" s="24">
        <f t="shared" si="1093"/>
        <v>-6050.6021228904547</v>
      </c>
      <c r="DK147" s="24">
        <f t="shared" si="1093"/>
        <v>-6063.0312459564029</v>
      </c>
      <c r="DL147" s="24">
        <f t="shared" si="1093"/>
        <v>-6075.4859691987012</v>
      </c>
      <c r="DM147" s="24">
        <f t="shared" si="1093"/>
        <v>-6087.966345461331</v>
      </c>
      <c r="DN147" s="24">
        <f t="shared" si="1093"/>
        <v>-6100.4724276975548</v>
      </c>
      <c r="DO147" s="24">
        <f t="shared" si="1093"/>
        <v>-6113.0042689701304</v>
      </c>
      <c r="DP147" s="24">
        <f t="shared" si="1093"/>
        <v>-6125.5619224515485</v>
      </c>
      <c r="DQ147" s="24">
        <f t="shared" si="1093"/>
        <v>-6138.1454414242562</v>
      </c>
      <c r="DR147" s="24">
        <f t="shared" si="1093"/>
        <v>-6150.7548792808784</v>
      </c>
      <c r="DS147" s="24">
        <f t="shared" si="1093"/>
        <v>-6163.3902895244573</v>
      </c>
      <c r="DT147" s="24">
        <f t="shared" si="1093"/>
        <v>-6176.0517257686761</v>
      </c>
      <c r="DU147" s="24">
        <f t="shared" si="1093"/>
        <v>-6188.7392417380825</v>
      </c>
      <c r="DV147" s="24">
        <f t="shared" si="1093"/>
        <v>-6201.4528912683281</v>
      </c>
      <c r="DW147" s="24">
        <f t="shared" si="1093"/>
        <v>-6214.1927283063887</v>
      </c>
      <c r="DX147" s="24">
        <f t="shared" si="1093"/>
        <v>-6226.9588069108022</v>
      </c>
      <c r="DY147" s="24">
        <f t="shared" si="1093"/>
        <v>-6239.7511812518969</v>
      </c>
      <c r="DZ147" s="24">
        <f t="shared" si="1093"/>
        <v>-6252.5699056120266</v>
      </c>
      <c r="EA147" s="24">
        <f t="shared" si="1093"/>
        <v>-6265.4150343857946</v>
      </c>
      <c r="EB147" s="24">
        <f t="shared" si="1093"/>
        <v>-6278.286622080288</v>
      </c>
      <c r="EC147" s="24">
        <f t="shared" si="1093"/>
        <v>-6291.1847233153267</v>
      </c>
      <c r="ED147" s="24">
        <f t="shared" si="1093"/>
        <v>-6304.1093928236678</v>
      </c>
      <c r="EE147" s="24">
        <f t="shared" si="1093"/>
        <v>-6317.0606854512644</v>
      </c>
      <c r="EF147" s="24">
        <f t="shared" si="1093"/>
        <v>-6330.0386561574896</v>
      </c>
      <c r="EG147" s="24">
        <f t="shared" si="1093"/>
        <v>-6343.0433600153719</v>
      </c>
      <c r="EH147" s="24">
        <f t="shared" si="1093"/>
        <v>-6356.0748522118338</v>
      </c>
      <c r="EI147" s="24">
        <f t="shared" si="1093"/>
        <v>-6369.1331880479183</v>
      </c>
      <c r="EJ147" s="24"/>
      <c r="EK147" s="24"/>
      <c r="EL147" s="24"/>
      <c r="EM147" s="1" t="s">
        <v>191</v>
      </c>
    </row>
    <row r="148" spans="3:143" x14ac:dyDescent="0.45">
      <c r="D148" s="2" t="s">
        <v>204</v>
      </c>
      <c r="E148" s="176"/>
      <c r="F148" s="176"/>
      <c r="G148" s="176">
        <f t="shared" ref="G148:AL148" si="1094">+G130-G147</f>
        <v>0</v>
      </c>
      <c r="H148" s="176">
        <f t="shared" si="1094"/>
        <v>0</v>
      </c>
      <c r="I148" s="176">
        <f t="shared" si="1094"/>
        <v>0</v>
      </c>
      <c r="J148" s="176">
        <f t="shared" si="1094"/>
        <v>0</v>
      </c>
      <c r="K148" s="176">
        <f t="shared" si="1094"/>
        <v>0</v>
      </c>
      <c r="L148" s="176">
        <f t="shared" si="1094"/>
        <v>0</v>
      </c>
      <c r="M148" s="176">
        <f t="shared" si="1094"/>
        <v>0</v>
      </c>
      <c r="N148" s="176">
        <f t="shared" si="1094"/>
        <v>0</v>
      </c>
      <c r="O148" s="176">
        <f t="shared" si="1094"/>
        <v>0</v>
      </c>
      <c r="P148" s="176">
        <f t="shared" si="1094"/>
        <v>0</v>
      </c>
      <c r="Q148" s="176">
        <f t="shared" si="1094"/>
        <v>0</v>
      </c>
      <c r="R148" s="176">
        <f t="shared" si="1094"/>
        <v>0</v>
      </c>
      <c r="S148" s="176">
        <f t="shared" si="1094"/>
        <v>0</v>
      </c>
      <c r="T148" s="176">
        <f t="shared" si="1094"/>
        <v>0</v>
      </c>
      <c r="U148" s="176">
        <f t="shared" si="1094"/>
        <v>0</v>
      </c>
      <c r="V148" s="176">
        <f t="shared" si="1094"/>
        <v>0</v>
      </c>
      <c r="W148" s="176">
        <f t="shared" si="1094"/>
        <v>0</v>
      </c>
      <c r="X148" s="176">
        <f t="shared" si="1094"/>
        <v>0</v>
      </c>
      <c r="Y148" s="176">
        <f t="shared" si="1094"/>
        <v>0</v>
      </c>
      <c r="Z148" s="176">
        <f t="shared" si="1094"/>
        <v>0</v>
      </c>
      <c r="AA148" s="176">
        <f t="shared" si="1094"/>
        <v>0</v>
      </c>
      <c r="AB148" s="176">
        <f t="shared" si="1094"/>
        <v>0</v>
      </c>
      <c r="AC148" s="176">
        <f t="shared" si="1094"/>
        <v>0</v>
      </c>
      <c r="AD148" s="176">
        <f t="shared" si="1094"/>
        <v>0</v>
      </c>
      <c r="AE148" s="176">
        <f t="shared" si="1094"/>
        <v>0</v>
      </c>
      <c r="AF148" s="176">
        <f t="shared" si="1094"/>
        <v>0</v>
      </c>
      <c r="AG148" s="176">
        <f t="shared" si="1094"/>
        <v>0</v>
      </c>
      <c r="AH148" s="176">
        <f t="shared" si="1094"/>
        <v>0</v>
      </c>
      <c r="AI148" s="176">
        <f t="shared" si="1094"/>
        <v>0</v>
      </c>
      <c r="AJ148" s="176">
        <f t="shared" si="1094"/>
        <v>0</v>
      </c>
      <c r="AK148" s="176">
        <f t="shared" si="1094"/>
        <v>0</v>
      </c>
      <c r="AL148" s="176">
        <f t="shared" si="1094"/>
        <v>0</v>
      </c>
      <c r="AM148" s="176">
        <f t="shared" ref="AM148:BR148" si="1095">+AM130-AM147</f>
        <v>0</v>
      </c>
      <c r="AN148" s="176">
        <f t="shared" si="1095"/>
        <v>5982397.4465577211</v>
      </c>
      <c r="AO148" s="176">
        <f t="shared" si="1095"/>
        <v>34239.190506482439</v>
      </c>
      <c r="AP148" s="176">
        <f t="shared" si="1095"/>
        <v>34639.630593152891</v>
      </c>
      <c r="AQ148" s="176">
        <f t="shared" si="1095"/>
        <v>35040.936968339527</v>
      </c>
      <c r="AR148" s="176">
        <f t="shared" si="1095"/>
        <v>35443.111490207135</v>
      </c>
      <c r="AS148" s="176">
        <f t="shared" si="1095"/>
        <v>35846.156020880851</v>
      </c>
      <c r="AT148" s="176">
        <f t="shared" si="1095"/>
        <v>36250.072426454361</v>
      </c>
      <c r="AU148" s="176">
        <f t="shared" si="1095"/>
        <v>36654.862576998363</v>
      </c>
      <c r="AV148" s="176">
        <f t="shared" si="1095"/>
        <v>37060.528346569095</v>
      </c>
      <c r="AW148" s="176">
        <f t="shared" si="1095"/>
        <v>37467.071613216453</v>
      </c>
      <c r="AX148" s="176">
        <f t="shared" si="1095"/>
        <v>37874.494258992774</v>
      </c>
      <c r="AY148" s="176">
        <f t="shared" si="1095"/>
        <v>38282.798169961279</v>
      </c>
      <c r="AZ148" s="176">
        <f t="shared" si="1095"/>
        <v>38691.985236204535</v>
      </c>
      <c r="BA148" s="176">
        <f t="shared" si="1095"/>
        <v>39102.057351832627</v>
      </c>
      <c r="BB148" s="176">
        <f t="shared" si="1095"/>
        <v>39513.01641499265</v>
      </c>
      <c r="BC148" s="176">
        <f t="shared" si="1095"/>
        <v>39924.864327876203</v>
      </c>
      <c r="BD148" s="176">
        <f t="shared" si="1095"/>
        <v>40337.602996728609</v>
      </c>
      <c r="BE148" s="176">
        <f t="shared" si="1095"/>
        <v>40751.234331857144</v>
      </c>
      <c r="BF148" s="176">
        <f t="shared" si="1095"/>
        <v>41165.760247639999</v>
      </c>
      <c r="BG148" s="176">
        <f t="shared" si="1095"/>
        <v>41581.182662534819</v>
      </c>
      <c r="BH148" s="176">
        <f t="shared" si="1095"/>
        <v>41997.503499087121</v>
      </c>
      <c r="BI148" s="176">
        <f t="shared" si="1095"/>
        <v>42414.724683939217</v>
      </c>
      <c r="BJ148" s="176">
        <f t="shared" si="1095"/>
        <v>42832.848147838682</v>
      </c>
      <c r="BK148" s="176">
        <f t="shared" si="1095"/>
        <v>43251.875825647359</v>
      </c>
      <c r="BL148" s="176">
        <f t="shared" si="1095"/>
        <v>43671.809656349753</v>
      </c>
      <c r="BM148" s="176">
        <f t="shared" si="1095"/>
        <v>44092.651583062099</v>
      </c>
      <c r="BN148" s="176">
        <f t="shared" si="1095"/>
        <v>44514.4035530408</v>
      </c>
      <c r="BO148" s="176">
        <f t="shared" si="1095"/>
        <v>13054972.986111911</v>
      </c>
      <c r="BP148" s="176">
        <f t="shared" si="1095"/>
        <v>0</v>
      </c>
      <c r="BQ148" s="176">
        <f t="shared" si="1095"/>
        <v>5516.9517408803231</v>
      </c>
      <c r="BR148" s="176">
        <f t="shared" si="1095"/>
        <v>5528.281820786191</v>
      </c>
      <c r="BS148" s="176">
        <f t="shared" ref="BS148:CX148" si="1096">+BS130-BS147</f>
        <v>5539.6352324092695</v>
      </c>
      <c r="BT148" s="176">
        <f t="shared" si="1096"/>
        <v>5551.0120239029484</v>
      </c>
      <c r="BU148" s="176">
        <f t="shared" si="1096"/>
        <v>5562.4122435201698</v>
      </c>
      <c r="BV148" s="176">
        <f t="shared" si="1096"/>
        <v>5573.8359396136539</v>
      </c>
      <c r="BW148" s="176">
        <f t="shared" si="1096"/>
        <v>5585.2831606360814</v>
      </c>
      <c r="BX148" s="176">
        <f t="shared" si="1096"/>
        <v>5596.753955140337</v>
      </c>
      <c r="BY148" s="176">
        <f t="shared" si="1096"/>
        <v>5608.248371779674</v>
      </c>
      <c r="BZ148" s="176">
        <f t="shared" si="1096"/>
        <v>5619.7664593079489</v>
      </c>
      <c r="CA148" s="176">
        <f t="shared" si="1096"/>
        <v>5631.3082665798356</v>
      </c>
      <c r="CB148" s="176">
        <f t="shared" si="1096"/>
        <v>5642.8738425510055</v>
      </c>
      <c r="CC148" s="176">
        <f t="shared" si="1096"/>
        <v>5654.4632362783659</v>
      </c>
      <c r="CD148" s="176">
        <f t="shared" si="1096"/>
        <v>5666.0764969202464</v>
      </c>
      <c r="CE148" s="176">
        <f t="shared" si="1096"/>
        <v>5677.7136737366354</v>
      </c>
      <c r="CF148" s="176">
        <f t="shared" si="1096"/>
        <v>5689.3748160893574</v>
      </c>
      <c r="CG148" s="176">
        <f t="shared" si="1096"/>
        <v>5701.059973442314</v>
      </c>
      <c r="CH148" s="176">
        <f t="shared" si="1096"/>
        <v>5712.7691953616777</v>
      </c>
      <c r="CI148" s="176">
        <f t="shared" si="1096"/>
        <v>5724.5025315161074</v>
      </c>
      <c r="CJ148" s="176">
        <f t="shared" si="1096"/>
        <v>5736.2600316769676</v>
      </c>
      <c r="CK148" s="176">
        <f t="shared" si="1096"/>
        <v>5748.0417457185285</v>
      </c>
      <c r="CL148" s="176">
        <f t="shared" si="1096"/>
        <v>5759.8477236181916</v>
      </c>
      <c r="CM148" s="176">
        <f t="shared" si="1096"/>
        <v>5771.6780154566932</v>
      </c>
      <c r="CN148" s="176">
        <f t="shared" si="1096"/>
        <v>5783.5326714183284</v>
      </c>
      <c r="CO148" s="176">
        <f t="shared" si="1096"/>
        <v>5795.4117417911521</v>
      </c>
      <c r="CP148" s="176">
        <f t="shared" si="1096"/>
        <v>5807.3152769672124</v>
      </c>
      <c r="CQ148" s="176">
        <f t="shared" si="1096"/>
        <v>5819.2433274427449</v>
      </c>
      <c r="CR148" s="176">
        <f t="shared" si="1096"/>
        <v>5831.1959438184058</v>
      </c>
      <c r="CS148" s="176">
        <f t="shared" si="1096"/>
        <v>5843.1731767994761</v>
      </c>
      <c r="CT148" s="176">
        <f t="shared" si="1096"/>
        <v>5855.1750771960869</v>
      </c>
      <c r="CU148" s="176">
        <f t="shared" si="1096"/>
        <v>5867.2016959234306</v>
      </c>
      <c r="CV148" s="176">
        <f t="shared" si="1096"/>
        <v>5879.253084001989</v>
      </c>
      <c r="CW148" s="176">
        <f t="shared" si="1096"/>
        <v>5891.3292925577261</v>
      </c>
      <c r="CX148" s="176">
        <f t="shared" si="1096"/>
        <v>5903.4303728223422</v>
      </c>
      <c r="CY148" s="176">
        <f t="shared" ref="CY148:ED148" si="1097">+CY130-CY147</f>
        <v>5915.5563761334579</v>
      </c>
      <c r="CZ148" s="176">
        <f t="shared" si="1097"/>
        <v>5927.7073539348685</v>
      </c>
      <c r="DA148" s="176">
        <f t="shared" si="1097"/>
        <v>5939.8833577767236</v>
      </c>
      <c r="DB148" s="176">
        <f t="shared" si="1097"/>
        <v>5952.0844393157868</v>
      </c>
      <c r="DC148" s="176">
        <f t="shared" si="1097"/>
        <v>5964.3106503156287</v>
      </c>
      <c r="DD148" s="176">
        <f t="shared" si="1097"/>
        <v>5976.5620426468613</v>
      </c>
      <c r="DE148" s="176">
        <f t="shared" si="1097"/>
        <v>5988.8386682873552</v>
      </c>
      <c r="DF148" s="176">
        <f t="shared" si="1097"/>
        <v>6001.1405793224658</v>
      </c>
      <c r="DG148" s="176">
        <f t="shared" si="1097"/>
        <v>6013.4678279452482</v>
      </c>
      <c r="DH148" s="176">
        <f t="shared" si="1097"/>
        <v>6025.8204664566874</v>
      </c>
      <c r="DI148" s="176">
        <f t="shared" si="1097"/>
        <v>6038.1985472659171</v>
      </c>
      <c r="DJ148" s="176">
        <f t="shared" si="1097"/>
        <v>6050.6021228904547</v>
      </c>
      <c r="DK148" s="176">
        <f t="shared" si="1097"/>
        <v>6063.0312459564029</v>
      </c>
      <c r="DL148" s="176">
        <f t="shared" si="1097"/>
        <v>6075.4859691987012</v>
      </c>
      <c r="DM148" s="176">
        <f t="shared" si="1097"/>
        <v>6087.966345461331</v>
      </c>
      <c r="DN148" s="176">
        <f t="shared" si="1097"/>
        <v>6100.4724276975548</v>
      </c>
      <c r="DO148" s="176">
        <f t="shared" si="1097"/>
        <v>6113.0042689701304</v>
      </c>
      <c r="DP148" s="176">
        <f t="shared" si="1097"/>
        <v>6125.5619224515485</v>
      </c>
      <c r="DQ148" s="176">
        <f t="shared" si="1097"/>
        <v>6138.1454414242562</v>
      </c>
      <c r="DR148" s="176">
        <f t="shared" si="1097"/>
        <v>6150.7548792808784</v>
      </c>
      <c r="DS148" s="176">
        <f t="shared" si="1097"/>
        <v>6163.3902895244573</v>
      </c>
      <c r="DT148" s="176">
        <f t="shared" si="1097"/>
        <v>6176.0517257686761</v>
      </c>
      <c r="DU148" s="176">
        <f t="shared" si="1097"/>
        <v>6188.7392417380825</v>
      </c>
      <c r="DV148" s="176">
        <f t="shared" si="1097"/>
        <v>6201.4528912683281</v>
      </c>
      <c r="DW148" s="176">
        <f t="shared" si="1097"/>
        <v>6214.1927283063887</v>
      </c>
      <c r="DX148" s="176">
        <f t="shared" si="1097"/>
        <v>6226.9588069108022</v>
      </c>
      <c r="DY148" s="176">
        <f t="shared" si="1097"/>
        <v>6239.7511812518969</v>
      </c>
      <c r="DZ148" s="176">
        <f t="shared" si="1097"/>
        <v>6252.5699056120266</v>
      </c>
      <c r="EA148" s="176">
        <f t="shared" si="1097"/>
        <v>6265.4150343857946</v>
      </c>
      <c r="EB148" s="176">
        <f t="shared" si="1097"/>
        <v>6278.286622080288</v>
      </c>
      <c r="EC148" s="176">
        <f t="shared" si="1097"/>
        <v>6291.1847233153267</v>
      </c>
      <c r="ED148" s="176">
        <f t="shared" si="1097"/>
        <v>6304.1093928236678</v>
      </c>
      <c r="EE148" s="176">
        <f t="shared" ref="EE148:EI148" si="1098">+EE130-EE147</f>
        <v>6317.0606854512644</v>
      </c>
      <c r="EF148" s="176">
        <f t="shared" si="1098"/>
        <v>6330.0386561574896</v>
      </c>
      <c r="EG148" s="176">
        <f t="shared" si="1098"/>
        <v>6343.0433600153719</v>
      </c>
      <c r="EH148" s="176">
        <f t="shared" si="1098"/>
        <v>6356.0748522118338</v>
      </c>
      <c r="EI148" s="176">
        <f t="shared" si="1098"/>
        <v>6369.1331880479183</v>
      </c>
      <c r="EJ148" s="24"/>
      <c r="EK148" s="24"/>
      <c r="EL148" s="24"/>
      <c r="EM148" s="1" t="s">
        <v>191</v>
      </c>
    </row>
    <row r="149" spans="3:143" x14ac:dyDescent="0.45"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4"/>
      <c r="CF149" s="24"/>
      <c r="CG149" s="24"/>
      <c r="CH149" s="24"/>
      <c r="CI149" s="24"/>
      <c r="CJ149" s="24"/>
      <c r="CK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C149" s="24"/>
      <c r="DD149" s="24"/>
      <c r="DE149" s="24"/>
      <c r="DF149" s="24"/>
      <c r="DG149" s="24"/>
      <c r="DH149" s="24"/>
      <c r="DI149" s="24"/>
      <c r="DJ149" s="24"/>
      <c r="DK149" s="24"/>
      <c r="DL149" s="24"/>
      <c r="DM149" s="24"/>
      <c r="DN149" s="24"/>
      <c r="DO149" s="24"/>
      <c r="DP149" s="24"/>
      <c r="DQ149" s="24"/>
      <c r="DR149" s="24"/>
      <c r="DS149" s="24"/>
      <c r="DT149" s="24"/>
      <c r="DU149" s="24"/>
      <c r="DV149" s="24"/>
      <c r="DW149" s="24"/>
      <c r="DX149" s="24"/>
      <c r="DY149" s="24"/>
      <c r="DZ149" s="24"/>
      <c r="EA149" s="24"/>
      <c r="EB149" s="24"/>
      <c r="EC149" s="24"/>
      <c r="ED149" s="24"/>
      <c r="EE149" s="24"/>
      <c r="EF149" s="24"/>
      <c r="EG149" s="24"/>
      <c r="EH149" s="24"/>
      <c r="EI149" s="24"/>
      <c r="EJ149" s="24"/>
      <c r="EK149" s="24"/>
      <c r="EL149" s="24"/>
      <c r="EM149" s="1" t="s">
        <v>191</v>
      </c>
    </row>
    <row r="150" spans="3:143" x14ac:dyDescent="0.45">
      <c r="D150" s="79" t="str">
        <f>H$91&amp;" up to "&amp;TEXT(L$91,"0.0%")</f>
        <v>Hurdle 2 up to 20.0%</v>
      </c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  <c r="AA150" s="176"/>
      <c r="AB150" s="176"/>
      <c r="AC150" s="176"/>
      <c r="AD150" s="176"/>
      <c r="AE150" s="176"/>
      <c r="AF150" s="176"/>
      <c r="AG150" s="176"/>
      <c r="AH150" s="176"/>
      <c r="AI150" s="176"/>
      <c r="AJ150" s="176"/>
      <c r="AK150" s="176"/>
      <c r="AL150" s="176"/>
      <c r="AM150" s="176"/>
      <c r="AN150" s="176"/>
      <c r="AO150" s="176"/>
      <c r="AP150" s="176"/>
      <c r="AQ150" s="176"/>
      <c r="AR150" s="176"/>
      <c r="AS150" s="176"/>
      <c r="AT150" s="176"/>
      <c r="AU150" s="176"/>
      <c r="AV150" s="176"/>
      <c r="AW150" s="176"/>
      <c r="AX150" s="176"/>
      <c r="AY150" s="176"/>
      <c r="AZ150" s="176"/>
      <c r="BA150" s="176"/>
      <c r="BB150" s="176"/>
      <c r="BC150" s="176"/>
      <c r="BD150" s="176"/>
      <c r="BE150" s="176"/>
      <c r="BF150" s="176"/>
      <c r="BG150" s="176"/>
      <c r="BH150" s="176"/>
      <c r="BI150" s="176"/>
      <c r="BJ150" s="176"/>
      <c r="BK150" s="176"/>
      <c r="BL150" s="176"/>
      <c r="BM150" s="176"/>
      <c r="BN150" s="176"/>
      <c r="BO150" s="176"/>
      <c r="BP150" s="176"/>
      <c r="BQ150" s="176"/>
      <c r="BR150" s="176"/>
      <c r="BS150" s="176"/>
      <c r="BT150" s="176"/>
      <c r="BU150" s="176"/>
      <c r="BV150" s="176"/>
      <c r="BW150" s="176"/>
      <c r="BX150" s="176"/>
      <c r="BY150" s="176"/>
      <c r="BZ150" s="176"/>
      <c r="CA150" s="176"/>
      <c r="CB150" s="176"/>
      <c r="CC150" s="176"/>
      <c r="CD150" s="176"/>
      <c r="CE150" s="176"/>
      <c r="CF150" s="176"/>
      <c r="CG150" s="176"/>
      <c r="CH150" s="176"/>
      <c r="CI150" s="176"/>
      <c r="CJ150" s="176"/>
      <c r="CK150" s="176"/>
      <c r="CL150" s="176"/>
      <c r="CM150" s="176"/>
      <c r="CN150" s="176"/>
      <c r="CO150" s="176"/>
      <c r="CP150" s="176"/>
      <c r="CQ150" s="176"/>
      <c r="CR150" s="176"/>
      <c r="CS150" s="176"/>
      <c r="CT150" s="176"/>
      <c r="CU150" s="176"/>
      <c r="CV150" s="176"/>
      <c r="CW150" s="176"/>
      <c r="CX150" s="176"/>
      <c r="CY150" s="176"/>
      <c r="CZ150" s="176"/>
      <c r="DA150" s="176"/>
      <c r="DB150" s="176"/>
      <c r="DC150" s="176"/>
      <c r="DD150" s="176"/>
      <c r="DE150" s="176"/>
      <c r="DF150" s="176"/>
      <c r="DG150" s="176"/>
      <c r="DH150" s="176"/>
      <c r="DI150" s="176"/>
      <c r="DJ150" s="176"/>
      <c r="DK150" s="176"/>
      <c r="DL150" s="176"/>
      <c r="DM150" s="176"/>
      <c r="DN150" s="176"/>
      <c r="DO150" s="176"/>
      <c r="DP150" s="176"/>
      <c r="DQ150" s="176"/>
      <c r="DR150" s="176"/>
      <c r="DS150" s="176"/>
      <c r="DT150" s="176"/>
      <c r="DU150" s="176"/>
      <c r="DV150" s="176"/>
      <c r="DW150" s="176"/>
      <c r="DX150" s="176"/>
      <c r="DY150" s="176"/>
      <c r="DZ150" s="176"/>
      <c r="EA150" s="176"/>
      <c r="EB150" s="176"/>
      <c r="EC150" s="176"/>
      <c r="ED150" s="176"/>
      <c r="EE150" s="176"/>
      <c r="EF150" s="176"/>
      <c r="EG150" s="176"/>
      <c r="EH150" s="176"/>
      <c r="EI150" s="176"/>
      <c r="EJ150" s="24"/>
      <c r="EK150" s="24"/>
      <c r="EL150" s="24"/>
      <c r="EM150" s="1" t="s">
        <v>191</v>
      </c>
    </row>
    <row r="151" spans="3:143" x14ac:dyDescent="0.45">
      <c r="D151" s="1" t="s">
        <v>205</v>
      </c>
      <c r="E151" s="163">
        <f>+$K$91</f>
        <v>0.2</v>
      </c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4"/>
      <c r="CA151" s="24"/>
      <c r="CB151" s="24"/>
      <c r="CC151" s="24"/>
      <c r="CD151" s="24"/>
      <c r="CE151" s="24"/>
      <c r="CF151" s="24"/>
      <c r="CG151" s="24"/>
      <c r="CH151" s="24"/>
      <c r="CI151" s="24"/>
      <c r="CJ151" s="24"/>
      <c r="CK151" s="24"/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C151" s="24"/>
      <c r="DD151" s="24"/>
      <c r="DE151" s="24"/>
      <c r="DF151" s="24"/>
      <c r="DG151" s="24"/>
      <c r="DH151" s="24"/>
      <c r="DI151" s="24"/>
      <c r="DJ151" s="24"/>
      <c r="DK151" s="24"/>
      <c r="DL151" s="24"/>
      <c r="DM151" s="24"/>
      <c r="DN151" s="24"/>
      <c r="DO151" s="24"/>
      <c r="DP151" s="24"/>
      <c r="DQ151" s="24"/>
      <c r="DR151" s="24"/>
      <c r="DS151" s="24"/>
      <c r="DT151" s="24"/>
      <c r="DU151" s="24"/>
      <c r="DV151" s="24"/>
      <c r="DW151" s="24"/>
      <c r="DX151" s="24"/>
      <c r="DY151" s="24"/>
      <c r="DZ151" s="24"/>
      <c r="EA151" s="24"/>
      <c r="EB151" s="24"/>
      <c r="EC151" s="24"/>
      <c r="ED151" s="24"/>
      <c r="EE151" s="24"/>
      <c r="EF151" s="24"/>
      <c r="EG151" s="24"/>
      <c r="EH151" s="24"/>
      <c r="EI151" s="24"/>
      <c r="EJ151" s="24"/>
      <c r="EK151" s="24"/>
      <c r="EL151" s="24"/>
      <c r="EM151" s="1" t="s">
        <v>191</v>
      </c>
    </row>
    <row r="152" spans="3:143" x14ac:dyDescent="0.45"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4"/>
      <c r="CA152" s="24"/>
      <c r="CB152" s="24"/>
      <c r="CC152" s="24"/>
      <c r="CD152" s="24"/>
      <c r="CE152" s="24"/>
      <c r="CF152" s="24"/>
      <c r="CG152" s="24"/>
      <c r="CH152" s="24"/>
      <c r="CI152" s="24"/>
      <c r="CJ152" s="24"/>
      <c r="CK152" s="24"/>
      <c r="CL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C152" s="24"/>
      <c r="DD152" s="24"/>
      <c r="DE152" s="24"/>
      <c r="DF152" s="24"/>
      <c r="DG152" s="24"/>
      <c r="DH152" s="24"/>
      <c r="DI152" s="24"/>
      <c r="DJ152" s="24"/>
      <c r="DK152" s="24"/>
      <c r="DL152" s="24"/>
      <c r="DM152" s="24"/>
      <c r="DN152" s="24"/>
      <c r="DO152" s="24"/>
      <c r="DP152" s="24"/>
      <c r="DQ152" s="24"/>
      <c r="DR152" s="24"/>
      <c r="DS152" s="24"/>
      <c r="DT152" s="24"/>
      <c r="DU152" s="24"/>
      <c r="DV152" s="24"/>
      <c r="DW152" s="24"/>
      <c r="DX152" s="24"/>
      <c r="DY152" s="24"/>
      <c r="DZ152" s="24"/>
      <c r="EA152" s="24"/>
      <c r="EB152" s="24"/>
      <c r="EC152" s="24"/>
      <c r="ED152" s="24"/>
      <c r="EE152" s="24"/>
      <c r="EF152" s="24"/>
      <c r="EG152" s="24"/>
      <c r="EH152" s="24"/>
      <c r="EI152" s="24"/>
      <c r="EJ152" s="24"/>
      <c r="EK152" s="24"/>
      <c r="EL152" s="24"/>
      <c r="EM152" s="1" t="s">
        <v>191</v>
      </c>
    </row>
    <row r="153" spans="3:143" x14ac:dyDescent="0.45">
      <c r="D153" s="1" t="s">
        <v>206</v>
      </c>
      <c r="E153" s="24"/>
      <c r="F153" s="24"/>
      <c r="G153" s="24"/>
      <c r="H153" s="24">
        <f t="shared" ref="H153" si="1099">+G159</f>
        <v>5651390.8349986859</v>
      </c>
      <c r="I153" s="24">
        <f t="shared" ref="I153" si="1100">+H159</f>
        <v>5715565.225910116</v>
      </c>
      <c r="J153" s="24">
        <f t="shared" ref="J153" si="1101">+I159</f>
        <v>5678596.771132879</v>
      </c>
      <c r="K153" s="24">
        <f t="shared" ref="K153" si="1102">+J159</f>
        <v>5636570.3919379367</v>
      </c>
      <c r="L153" s="24">
        <f t="shared" ref="L153" si="1103">+K159</f>
        <v>5589389.7862262968</v>
      </c>
      <c r="M153" s="24">
        <f t="shared" ref="M153" si="1104">+L159</f>
        <v>5496585.2073089555</v>
      </c>
      <c r="N153" s="24">
        <f t="shared" ref="N153" si="1105">+M159</f>
        <v>5416442.7272182982</v>
      </c>
      <c r="O153" s="24">
        <f t="shared" ref="O153" si="1106">+N159</f>
        <v>5375195.2273325864</v>
      </c>
      <c r="P153" s="24">
        <f t="shared" ref="P153" si="1107">+O159</f>
        <v>5335948.7851604298</v>
      </c>
      <c r="Q153" s="24">
        <f t="shared" ref="Q153" si="1108">+P159</f>
        <v>5298744.684634597</v>
      </c>
      <c r="R153" s="24">
        <f t="shared" ref="R153" si="1109">+Q159</f>
        <v>5258624.8746559145</v>
      </c>
      <c r="S153" s="24">
        <f t="shared" ref="S153" si="1110">+R159</f>
        <v>5225555.4320120635</v>
      </c>
      <c r="T153" s="24">
        <f t="shared" ref="T153" si="1111">+S159</f>
        <v>5195655.0419644108</v>
      </c>
      <c r="U153" s="24">
        <f t="shared" ref="U153" si="1112">+T159</f>
        <v>5167983.0021073986</v>
      </c>
      <c r="V153" s="24">
        <f t="shared" ref="V153" si="1113">+U159</f>
        <v>5142584.2416780032</v>
      </c>
      <c r="W153" s="24">
        <f t="shared" ref="W153" si="1114">+V159</f>
        <v>5119504.411146218</v>
      </c>
      <c r="X153" s="24">
        <f t="shared" ref="X153" si="1115">+W159</f>
        <v>5098789.8933489202</v>
      </c>
      <c r="Y153" s="24">
        <f t="shared" ref="Y153" si="1116">+X159</f>
        <v>5080487.8147944296</v>
      </c>
      <c r="Z153" s="24">
        <f t="shared" ref="Z153" si="1117">+Y159</f>
        <v>5064646.0571403708</v>
      </c>
      <c r="AA153" s="24">
        <f t="shared" ref="AA153" si="1118">+Z159</f>
        <v>5051313.2688475</v>
      </c>
      <c r="AB153" s="24">
        <f t="shared" ref="AB153" si="1119">+AA159</f>
        <v>5040538.877012183</v>
      </c>
      <c r="AC153" s="24">
        <f t="shared" ref="AC153" si="1120">+AB159</f>
        <v>5032373.0993802669</v>
      </c>
      <c r="AD153" s="24">
        <f t="shared" ref="AD153" si="1121">+AC159</f>
        <v>5026866.9565451164</v>
      </c>
      <c r="AE153" s="24">
        <f t="shared" ref="AE153" si="1122">+AD159</f>
        <v>5024072.2843326414</v>
      </c>
      <c r="AF153" s="24">
        <f t="shared" ref="AF153" si="1123">+AE159</f>
        <v>4789741.7463761726</v>
      </c>
      <c r="AG153" s="24">
        <f t="shared" ref="AG153" si="1124">+AF159</f>
        <v>4837401.573315924</v>
      </c>
      <c r="AH153" s="24">
        <f t="shared" ref="AH153" si="1125">+AG159</f>
        <v>4882908.9646149036</v>
      </c>
      <c r="AI153" s="24">
        <f t="shared" ref="AI153" si="1126">+AH159</f>
        <v>4926219.5057123862</v>
      </c>
      <c r="AJ153" s="24">
        <f t="shared" ref="AJ153" si="1127">+AI159</f>
        <v>4962221.7468702346</v>
      </c>
      <c r="AK153" s="24">
        <f t="shared" ref="AK153" si="1128">+AJ159</f>
        <v>4990771.3982150489</v>
      </c>
      <c r="AL153" s="24">
        <f t="shared" ref="AL153" si="1129">+AK159</f>
        <v>5011721.8608137397</v>
      </c>
      <c r="AM153" s="24">
        <f t="shared" ref="AM153" si="1130">+AL159</f>
        <v>5032655.6194814974</v>
      </c>
      <c r="AN153" s="24">
        <f t="shared" ref="AN153" si="1131">+AM159</f>
        <v>5053571.6884289868</v>
      </c>
      <c r="AO153" s="24">
        <f t="shared" ref="AO153" si="1132">+AN159</f>
        <v>0</v>
      </c>
      <c r="AP153" s="24">
        <f t="shared" ref="AP153" si="1133">+AO159</f>
        <v>0</v>
      </c>
      <c r="AQ153" s="24">
        <f t="shared" ref="AQ153" si="1134">+AP159</f>
        <v>0</v>
      </c>
      <c r="AR153" s="24">
        <f t="shared" ref="AR153" si="1135">+AQ159</f>
        <v>0</v>
      </c>
      <c r="AS153" s="24">
        <f t="shared" ref="AS153" si="1136">+AR159</f>
        <v>0</v>
      </c>
      <c r="AT153" s="24">
        <f t="shared" ref="AT153" si="1137">+AS159</f>
        <v>0</v>
      </c>
      <c r="AU153" s="24">
        <f t="shared" ref="AU153" si="1138">+AT159</f>
        <v>0</v>
      </c>
      <c r="AV153" s="24">
        <f t="shared" ref="AV153" si="1139">+AU159</f>
        <v>0</v>
      </c>
      <c r="AW153" s="24">
        <f t="shared" ref="AW153" si="1140">+AV159</f>
        <v>0</v>
      </c>
      <c r="AX153" s="24">
        <f t="shared" ref="AX153" si="1141">+AW159</f>
        <v>0</v>
      </c>
      <c r="AY153" s="24">
        <f t="shared" ref="AY153" si="1142">+AX159</f>
        <v>0</v>
      </c>
      <c r="AZ153" s="24">
        <f t="shared" ref="AZ153" si="1143">+AY159</f>
        <v>0</v>
      </c>
      <c r="BA153" s="24">
        <f t="shared" ref="BA153" si="1144">+AZ159</f>
        <v>0</v>
      </c>
      <c r="BB153" s="24">
        <f t="shared" ref="BB153" si="1145">+BA159</f>
        <v>0</v>
      </c>
      <c r="BC153" s="24">
        <f t="shared" ref="BC153" si="1146">+BB159</f>
        <v>0</v>
      </c>
      <c r="BD153" s="24">
        <f t="shared" ref="BD153" si="1147">+BC159</f>
        <v>0</v>
      </c>
      <c r="BE153" s="24">
        <f t="shared" ref="BE153" si="1148">+BD159</f>
        <v>0</v>
      </c>
      <c r="BF153" s="24">
        <f t="shared" ref="BF153" si="1149">+BE159</f>
        <v>0</v>
      </c>
      <c r="BG153" s="24">
        <f t="shared" ref="BG153" si="1150">+BF159</f>
        <v>0</v>
      </c>
      <c r="BH153" s="24">
        <f t="shared" ref="BH153" si="1151">+BG159</f>
        <v>0</v>
      </c>
      <c r="BI153" s="24">
        <f t="shared" ref="BI153" si="1152">+BH159</f>
        <v>0</v>
      </c>
      <c r="BJ153" s="24">
        <f t="shared" ref="BJ153" si="1153">+BI159</f>
        <v>0</v>
      </c>
      <c r="BK153" s="24">
        <f t="shared" ref="BK153" si="1154">+BJ159</f>
        <v>0</v>
      </c>
      <c r="BL153" s="24">
        <f t="shared" ref="BL153" si="1155">+BK159</f>
        <v>0</v>
      </c>
      <c r="BM153" s="24">
        <f t="shared" ref="BM153" si="1156">+BL159</f>
        <v>0</v>
      </c>
      <c r="BN153" s="24">
        <f t="shared" ref="BN153" si="1157">+BM159</f>
        <v>0</v>
      </c>
      <c r="BO153" s="24">
        <f t="shared" ref="BO153" si="1158">+BN159</f>
        <v>0</v>
      </c>
      <c r="BP153" s="24">
        <f t="shared" ref="BP153" si="1159">+BO159</f>
        <v>0</v>
      </c>
      <c r="BQ153" s="24">
        <f t="shared" ref="BQ153" si="1160">+BP159</f>
        <v>-4635.109062170488</v>
      </c>
      <c r="BR153" s="24">
        <f t="shared" ref="BR153" si="1161">+BQ159</f>
        <v>-4644.6281151753683</v>
      </c>
      <c r="BS153" s="24">
        <f t="shared" ref="BS153" si="1162">+BR159</f>
        <v>-4654.1667705003256</v>
      </c>
      <c r="BT153" s="24">
        <f t="shared" ref="BT153" si="1163">+BS159</f>
        <v>-4663.7250686017987</v>
      </c>
      <c r="BU153" s="24">
        <f t="shared" ref="BU153" si="1164">+BT159</f>
        <v>-4673.3030500198647</v>
      </c>
      <c r="BV153" s="24">
        <f t="shared" ref="BV153" si="1165">+BU159</f>
        <v>-4682.9007553784268</v>
      </c>
      <c r="BW153" s="24">
        <f t="shared" ref="BW153" si="1166">+BV159</f>
        <v>-4692.5182253853827</v>
      </c>
      <c r="BX153" s="24">
        <f t="shared" ref="BX153" si="1167">+BW159</f>
        <v>-4702.1555008327987</v>
      </c>
      <c r="BY153" s="24">
        <f t="shared" ref="BY153" si="1168">+BX159</f>
        <v>-4711.8126225970809</v>
      </c>
      <c r="BZ153" s="24">
        <f t="shared" ref="BZ153" si="1169">+BY159</f>
        <v>-4721.489631639155</v>
      </c>
      <c r="CA153" s="24">
        <f t="shared" ref="CA153" si="1170">+BZ159</f>
        <v>-4731.1865690046443</v>
      </c>
      <c r="CB153" s="24">
        <f t="shared" ref="CB153" si="1171">+CA159</f>
        <v>-4740.9034758240332</v>
      </c>
      <c r="CC153" s="24">
        <f t="shared" ref="CC153" si="1172">+CB159</f>
        <v>-4750.6403933128513</v>
      </c>
      <c r="CD153" s="24">
        <f t="shared" ref="CD153" si="1173">+CC159</f>
        <v>-4760.3973627718497</v>
      </c>
      <c r="CE153" s="24">
        <f t="shared" ref="CE153" si="1174">+CD159</f>
        <v>-4770.1744255871772</v>
      </c>
      <c r="CF153" s="24">
        <f t="shared" ref="CF153" si="1175">+CE159</f>
        <v>-4779.9716232305509</v>
      </c>
      <c r="CG153" s="24">
        <f t="shared" ref="CG153" si="1176">+CF159</f>
        <v>-4789.7889972594448</v>
      </c>
      <c r="CH153" s="24">
        <f t="shared" ref="CH153" si="1177">+CG159</f>
        <v>-4799.6265893172567</v>
      </c>
      <c r="CI153" s="24">
        <f t="shared" ref="CI153" si="1178">+CH159</f>
        <v>-4809.4844411334861</v>
      </c>
      <c r="CJ153" s="24">
        <f t="shared" ref="CJ153" si="1179">+CI159</f>
        <v>-4819.3625945239246</v>
      </c>
      <c r="CK153" s="24">
        <f t="shared" ref="CK153" si="1180">+CJ159</f>
        <v>-4829.2610913908247</v>
      </c>
      <c r="CL153" s="24">
        <f t="shared" ref="CL153" si="1181">+CK159</f>
        <v>-4839.1799737230785</v>
      </c>
      <c r="CM153" s="24">
        <f t="shared" ref="CM153" si="1182">+CL159</f>
        <v>-4849.1192835963975</v>
      </c>
      <c r="CN153" s="24">
        <f t="shared" ref="CN153" si="1183">+CM159</f>
        <v>-4859.0790631735026</v>
      </c>
      <c r="CO153" s="24">
        <f t="shared" ref="CO153" si="1184">+CN159</f>
        <v>-4869.0593547042854</v>
      </c>
      <c r="CP153" s="24">
        <f t="shared" ref="CP153" si="1185">+CO159</f>
        <v>-4879.0602005260043</v>
      </c>
      <c r="CQ153" s="24">
        <f t="shared" ref="CQ153" si="1186">+CP159</f>
        <v>-4889.081643063465</v>
      </c>
      <c r="CR153" s="24">
        <f t="shared" ref="CR153" si="1187">+CQ159</f>
        <v>-4899.1237248291873</v>
      </c>
      <c r="CS153" s="24">
        <f t="shared" ref="CS153" si="1188">+CR159</f>
        <v>-4909.1864884236047</v>
      </c>
      <c r="CT153" s="24">
        <f t="shared" ref="CT153" si="1189">+CS159</f>
        <v>-4919.2699765352345</v>
      </c>
      <c r="CU153" s="24">
        <f t="shared" ref="CU153" si="1190">+CT159</f>
        <v>-4929.3742319408639</v>
      </c>
      <c r="CV153" s="24">
        <f t="shared" ref="CV153" si="1191">+CU159</f>
        <v>-4939.4992975057348</v>
      </c>
      <c r="CW153" s="24">
        <f t="shared" ref="CW153" si="1192">+CV159</f>
        <v>-4949.6452161837269</v>
      </c>
      <c r="CX153" s="24">
        <f t="shared" ref="CX153" si="1193">+CW159</f>
        <v>-4959.81203101753</v>
      </c>
      <c r="CY153" s="24">
        <f t="shared" ref="CY153" si="1194">+CX159</f>
        <v>-4969.9997851388507</v>
      </c>
      <c r="CZ153" s="24">
        <f t="shared" ref="CZ153" si="1195">+CY159</f>
        <v>-4980.2085217685735</v>
      </c>
      <c r="DA153" s="24">
        <f t="shared" ref="DA153" si="1196">+CZ159</f>
        <v>-4990.4382842169571</v>
      </c>
      <c r="DB153" s="24">
        <f t="shared" ref="DB153" si="1197">+DA159</f>
        <v>-5000.6891158838253</v>
      </c>
      <c r="DC153" s="24">
        <f t="shared" ref="DC153" si="1198">+DB159</f>
        <v>-5010.9610602587336</v>
      </c>
      <c r="DD153" s="24">
        <f t="shared" ref="DD153" si="1199">+DC159</f>
        <v>-5021.254160921173</v>
      </c>
      <c r="DE153" s="24">
        <f t="shared" ref="DE153" si="1200">+DD159</f>
        <v>-5031.5684615407481</v>
      </c>
      <c r="DF153" s="24">
        <f t="shared" ref="DF153" si="1201">+DE159</f>
        <v>-5041.9040058773662</v>
      </c>
      <c r="DG153" s="24">
        <f t="shared" ref="DG153" si="1202">+DF159</f>
        <v>-5052.2608377814222</v>
      </c>
      <c r="DH153" s="24">
        <f t="shared" ref="DH153" si="1203">+DG159</f>
        <v>-5062.6390011939866</v>
      </c>
      <c r="DI153" s="24">
        <f t="shared" ref="DI153" si="1204">+DH159</f>
        <v>-5073.0385401469939</v>
      </c>
      <c r="DJ153" s="24">
        <f t="shared" ref="DJ153" si="1205">+DI159</f>
        <v>-5083.4594987634327</v>
      </c>
      <c r="DK153" s="24">
        <f t="shared" ref="DK153" si="1206">+DJ159</f>
        <v>-5093.9019212575295</v>
      </c>
      <c r="DL153" s="24">
        <f t="shared" ref="DL153" si="1207">+DK159</f>
        <v>-5104.3658519349419</v>
      </c>
      <c r="DM153" s="24">
        <f t="shared" ref="DM153" si="1208">+DL159</f>
        <v>-5114.8513351929469</v>
      </c>
      <c r="DN153" s="24">
        <f t="shared" ref="DN153" si="1209">+DM159</f>
        <v>-5125.3584155206263</v>
      </c>
      <c r="DO153" s="24">
        <f t="shared" ref="DO153" si="1210">+DN159</f>
        <v>-5135.8871374990658</v>
      </c>
      <c r="DP153" s="24">
        <f t="shared" ref="DP153" si="1211">+DO159</f>
        <v>-5146.4375458015365</v>
      </c>
      <c r="DQ153" s="24">
        <f t="shared" ref="DQ153" si="1212">+DP159</f>
        <v>-5157.0096851936942</v>
      </c>
      <c r="DR153" s="24">
        <f t="shared" ref="DR153" si="1213">+DQ159</f>
        <v>-5167.6036005337592</v>
      </c>
      <c r="DS153" s="24">
        <f t="shared" ref="DS153" si="1214">+DR159</f>
        <v>-5178.2193367727195</v>
      </c>
      <c r="DT153" s="24">
        <f t="shared" ref="DT153" si="1215">+DS159</f>
        <v>-5188.8569389545182</v>
      </c>
      <c r="DU153" s="24">
        <f t="shared" ref="DU153" si="1216">+DT159</f>
        <v>-5199.5164522162468</v>
      </c>
      <c r="DV153" s="24">
        <f t="shared" ref="DV153" si="1217">+DU159</f>
        <v>-5210.1979217883345</v>
      </c>
      <c r="DW153" s="24">
        <f t="shared" ref="DW153" si="1218">+DV159</f>
        <v>-5220.9013929947496</v>
      </c>
      <c r="DX153" s="24">
        <f t="shared" ref="DX153" si="1219">+DW159</f>
        <v>-5231.6269112531818</v>
      </c>
      <c r="DY153" s="24">
        <f t="shared" ref="DY153" si="1220">+DX159</f>
        <v>-5242.3745220752453</v>
      </c>
      <c r="DZ153" s="24">
        <f t="shared" ref="DZ153" si="1221">+DY159</f>
        <v>-5253.1442710666724</v>
      </c>
      <c r="EA153" s="24">
        <f t="shared" ref="EA153" si="1222">+DZ159</f>
        <v>-5263.9362039275065</v>
      </c>
      <c r="EB153" s="24">
        <f t="shared" ref="EB153" si="1223">+EA159</f>
        <v>-5274.750366452291</v>
      </c>
      <c r="EC153" s="24">
        <f t="shared" ref="EC153" si="1224">+EB159</f>
        <v>-5285.5868045302814</v>
      </c>
      <c r="ED153" s="24">
        <f t="shared" ref="ED153" si="1225">+EC159</f>
        <v>-5296.4455641456243</v>
      </c>
      <c r="EE153" s="24">
        <f t="shared" ref="EE153" si="1226">+ED159</f>
        <v>-5307.326691377566</v>
      </c>
      <c r="EF153" s="24">
        <f t="shared" ref="EF153" si="1227">+EE159</f>
        <v>-5318.2302324006396</v>
      </c>
      <c r="EG153" s="24">
        <f t="shared" ref="EG153" si="1228">+EF159</f>
        <v>-5329.1562334848713</v>
      </c>
      <c r="EH153" s="24">
        <f t="shared" ref="EH153" si="1229">+EG159</f>
        <v>-5340.1047409959756</v>
      </c>
      <c r="EI153" s="24">
        <f t="shared" ref="EI153" si="1230">+EH159</f>
        <v>-5351.0758013955428</v>
      </c>
      <c r="EJ153" s="24"/>
      <c r="EK153" s="24"/>
      <c r="EL153" s="24"/>
      <c r="EM153" s="1" t="s">
        <v>191</v>
      </c>
    </row>
    <row r="154" spans="3:143" x14ac:dyDescent="0.45">
      <c r="D154" s="1" t="s">
        <v>207</v>
      </c>
      <c r="E154" s="163">
        <f>+L91</f>
        <v>0.2</v>
      </c>
      <c r="F154" s="186">
        <f>+(1+E154)^(1/12)-1</f>
        <v>1.5309470499731193E-2</v>
      </c>
      <c r="G154" s="24">
        <f t="shared" ref="G154" si="1231">+$F$154*G153</f>
        <v>0</v>
      </c>
      <c r="H154" s="24">
        <f t="shared" ref="H154" si="1232">+$F$154*H153</f>
        <v>86519.801270863609</v>
      </c>
      <c r="I154" s="24">
        <f t="shared" ref="I154" si="1233">+$F$154*I153</f>
        <v>87502.277215360373</v>
      </c>
      <c r="J154" s="24">
        <f t="shared" ref="J154" si="1234">+$F$154*J153</f>
        <v>86936.309747527615</v>
      </c>
      <c r="K154" s="24">
        <f t="shared" ref="K154" si="1235">+$F$154*K153</f>
        <v>86292.908135032121</v>
      </c>
      <c r="L154" s="24">
        <f t="shared" ref="L154" si="1236">+$F$154*L153</f>
        <v>85570.598043730322</v>
      </c>
      <c r="M154" s="24">
        <f t="shared" ref="M154" si="1237">+$F$154*M153</f>
        <v>84149.809080555322</v>
      </c>
      <c r="N154" s="24">
        <f t="shared" ref="N154" si="1238">+$F$154*N153</f>
        <v>82922.870145832101</v>
      </c>
      <c r="O154" s="24">
        <f t="shared" ref="O154" si="1239">+$F$154*O153</f>
        <v>82291.392763144133</v>
      </c>
      <c r="P154" s="24">
        <f t="shared" ref="P154" si="1240">+$F$154*P153</f>
        <v>81690.550514490096</v>
      </c>
      <c r="Q154" s="24">
        <f t="shared" ref="Q154" si="1241">+$F$154*Q153</f>
        <v>81120.975435020824</v>
      </c>
      <c r="R154" s="24">
        <f t="shared" ref="R154" si="1242">+$F$154*R153</f>
        <v>80506.762387697367</v>
      </c>
      <c r="S154" s="24">
        <f t="shared" ref="S154" si="1243">+$F$154*S153</f>
        <v>80000.486731098776</v>
      </c>
      <c r="T154" s="24">
        <f t="shared" ref="T154" si="1244">+$F$154*T153</f>
        <v>79542.727591733783</v>
      </c>
      <c r="U154" s="24">
        <f t="shared" ref="U154" si="1245">+$F$154*U153</f>
        <v>79119.083313875468</v>
      </c>
      <c r="V154" s="24">
        <f t="shared" ref="V154" si="1246">+$F$154*V153</f>
        <v>78730.241740351892</v>
      </c>
      <c r="W154" s="24">
        <f t="shared" ref="W154" si="1247">+$F$154*W153</f>
        <v>78376.901755686733</v>
      </c>
      <c r="X154" s="24">
        <f t="shared" ref="X154" si="1248">+$F$154*X153</f>
        <v>78059.773456552852</v>
      </c>
      <c r="Y154" s="24">
        <f t="shared" ref="Y154" si="1249">+$F$154*Y153</f>
        <v>77779.578324839109</v>
      </c>
      <c r="Z154" s="24">
        <f t="shared" ref="Z154" si="1250">+$F$154*Z153</f>
        <v>77537.049403370402</v>
      </c>
      <c r="AA154" s="24">
        <f t="shared" ref="AA154" si="1251">+$F$154*AA153</f>
        <v>77332.931474321536</v>
      </c>
      <c r="AB154" s="24">
        <f t="shared" ref="AB154" si="1252">+$F$154*AB153</f>
        <v>77167.981240366207</v>
      </c>
      <c r="AC154" s="24">
        <f t="shared" ref="AC154" si="1253">+$F$154*AC153</f>
        <v>77042.967508603018</v>
      </c>
      <c r="AD154" s="24">
        <f t="shared" ref="AD154" si="1254">+$F$154*AD153</f>
        <v>76958.671377300983</v>
      </c>
      <c r="AE154" s="24">
        <f t="shared" ref="AE154" si="1255">+$F$154*AE153</f>
        <v>76915.886425507677</v>
      </c>
      <c r="AF154" s="24">
        <f t="shared" ref="AF154" si="1256">+$F$154*AF153</f>
        <v>73328.409967476982</v>
      </c>
      <c r="AG154" s="24">
        <f t="shared" ref="AG154" si="1257">+$F$154*AG153</f>
        <v>74058.056682033392</v>
      </c>
      <c r="AH154" s="24">
        <f t="shared" ref="AH154" si="1258">+$F$154*AH153</f>
        <v>74754.750746644844</v>
      </c>
      <c r="AI154" s="24">
        <f t="shared" ref="AI154" si="1259">+$F$154*AI153</f>
        <v>75417.812197904161</v>
      </c>
      <c r="AJ154" s="24">
        <f t="shared" ref="AJ154" si="1260">+$F$154*AJ153</f>
        <v>75968.987446834435</v>
      </c>
      <c r="AK154" s="24">
        <f t="shared" ref="AK154" si="1261">+$F$154*AK153</f>
        <v>76406.067491875481</v>
      </c>
      <c r="AL154" s="24">
        <f t="shared" ref="AL154" si="1262">+$F$154*AL153</f>
        <v>76726.807980985861</v>
      </c>
      <c r="AM154" s="24">
        <f t="shared" ref="AM154" si="1263">+$F$154*AM153</f>
        <v>77047.2927417584</v>
      </c>
      <c r="AN154" s="24">
        <f t="shared" ref="AN154" si="1264">+$F$154*AN153</f>
        <v>77367.506682280335</v>
      </c>
      <c r="AO154" s="24">
        <f t="shared" ref="AO154" si="1265">+$F$154*AO153</f>
        <v>0</v>
      </c>
      <c r="AP154" s="24">
        <f t="shared" ref="AP154" si="1266">+$F$154*AP153</f>
        <v>0</v>
      </c>
      <c r="AQ154" s="24">
        <f t="shared" ref="AQ154" si="1267">+$F$154*AQ153</f>
        <v>0</v>
      </c>
      <c r="AR154" s="24">
        <f t="shared" ref="AR154" si="1268">+$F$154*AR153</f>
        <v>0</v>
      </c>
      <c r="AS154" s="24">
        <f t="shared" ref="AS154" si="1269">+$F$154*AS153</f>
        <v>0</v>
      </c>
      <c r="AT154" s="24">
        <f t="shared" ref="AT154" si="1270">+$F$154*AT153</f>
        <v>0</v>
      </c>
      <c r="AU154" s="24">
        <f t="shared" ref="AU154" si="1271">+$F$154*AU153</f>
        <v>0</v>
      </c>
      <c r="AV154" s="24">
        <f t="shared" ref="AV154" si="1272">+$F$154*AV153</f>
        <v>0</v>
      </c>
      <c r="AW154" s="24">
        <f t="shared" ref="AW154" si="1273">+$F$154*AW153</f>
        <v>0</v>
      </c>
      <c r="AX154" s="24">
        <f t="shared" ref="AX154" si="1274">+$F$154*AX153</f>
        <v>0</v>
      </c>
      <c r="AY154" s="24">
        <f t="shared" ref="AY154" si="1275">+$F$154*AY153</f>
        <v>0</v>
      </c>
      <c r="AZ154" s="24">
        <f t="shared" ref="AZ154" si="1276">+$F$154*AZ153</f>
        <v>0</v>
      </c>
      <c r="BA154" s="24">
        <f t="shared" ref="BA154" si="1277">+$F$154*BA153</f>
        <v>0</v>
      </c>
      <c r="BB154" s="24">
        <f t="shared" ref="BB154" si="1278">+$F$154*BB153</f>
        <v>0</v>
      </c>
      <c r="BC154" s="24">
        <f t="shared" ref="BC154" si="1279">+$F$154*BC153</f>
        <v>0</v>
      </c>
      <c r="BD154" s="24">
        <f t="shared" ref="BD154" si="1280">+$F$154*BD153</f>
        <v>0</v>
      </c>
      <c r="BE154" s="24">
        <f t="shared" ref="BE154" si="1281">+$F$154*BE153</f>
        <v>0</v>
      </c>
      <c r="BF154" s="24">
        <f t="shared" ref="BF154" si="1282">+$F$154*BF153</f>
        <v>0</v>
      </c>
      <c r="BG154" s="24">
        <f t="shared" ref="BG154" si="1283">+$F$154*BG153</f>
        <v>0</v>
      </c>
      <c r="BH154" s="24">
        <f t="shared" ref="BH154" si="1284">+$F$154*BH153</f>
        <v>0</v>
      </c>
      <c r="BI154" s="24">
        <f t="shared" ref="BI154" si="1285">+$F$154*BI153</f>
        <v>0</v>
      </c>
      <c r="BJ154" s="24">
        <f t="shared" ref="BJ154" si="1286">+$F$154*BJ153</f>
        <v>0</v>
      </c>
      <c r="BK154" s="24">
        <f t="shared" ref="BK154" si="1287">+$F$154*BK153</f>
        <v>0</v>
      </c>
      <c r="BL154" s="24">
        <f t="shared" ref="BL154" si="1288">+$F$154*BL153</f>
        <v>0</v>
      </c>
      <c r="BM154" s="24">
        <f t="shared" ref="BM154" si="1289">+$F$154*BM153</f>
        <v>0</v>
      </c>
      <c r="BN154" s="24">
        <f t="shared" ref="BN154" si="1290">+$F$154*BN153</f>
        <v>0</v>
      </c>
      <c r="BO154" s="24">
        <f t="shared" ref="BO154" si="1291">+$F$154*BO153</f>
        <v>0</v>
      </c>
      <c r="BP154" s="24">
        <f t="shared" ref="BP154" si="1292">+$F$154*BP153</f>
        <v>0</v>
      </c>
      <c r="BQ154" s="24">
        <f t="shared" ref="BQ154" si="1293">+$F$154*BQ153</f>
        <v>-70.961065450335795</v>
      </c>
      <c r="BR154" s="24">
        <f t="shared" ref="BR154" si="1294">+$F$154*BR153</f>
        <v>-71.10679711149939</v>
      </c>
      <c r="BS154" s="24">
        <f t="shared" ref="BS154" si="1295">+$F$154*BS153</f>
        <v>-71.252828873803935</v>
      </c>
      <c r="BT154" s="24">
        <f t="shared" ref="BT154" si="1296">+$F$154*BT153</f>
        <v>-71.399161356616077</v>
      </c>
      <c r="BU154" s="24">
        <f t="shared" ref="BU154" si="1297">+$F$154*BU153</f>
        <v>-71.545795180582928</v>
      </c>
      <c r="BV154" s="24">
        <f t="shared" ref="BV154" si="1298">+$F$154*BV153</f>
        <v>-71.692730967634944</v>
      </c>
      <c r="BW154" s="24">
        <f t="shared" ref="BW154" si="1299">+$F$154*BW153</f>
        <v>-71.839969340988489</v>
      </c>
      <c r="BX154" s="24">
        <f t="shared" ref="BX154" si="1300">+$F$154*BX153</f>
        <v>-71.987510925148484</v>
      </c>
      <c r="BY154" s="24">
        <f t="shared" ref="BY154" si="1301">+$F$154*BY153</f>
        <v>-72.135356345911077</v>
      </c>
      <c r="BZ154" s="24">
        <f t="shared" ref="BZ154" si="1302">+$F$154*BZ153</f>
        <v>-72.283506230366342</v>
      </c>
      <c r="CA154" s="24">
        <f t="shared" ref="CA154" si="1303">+$F$154*CA153</f>
        <v>-72.431961206901036</v>
      </c>
      <c r="CB154" s="24">
        <f t="shared" ref="CB154" si="1304">+$F$154*CB153</f>
        <v>-72.580721905201116</v>
      </c>
      <c r="CC154" s="24">
        <f t="shared" ref="CC154" si="1305">+$F$154*CC153</f>
        <v>-72.729788956254481</v>
      </c>
      <c r="CD154" s="24">
        <f t="shared" ref="CD154" si="1306">+$F$154*CD153</f>
        <v>-72.879162992353798</v>
      </c>
      <c r="CE154" s="24">
        <f t="shared" ref="CE154" si="1307">+$F$154*CE153</f>
        <v>-73.028844647099078</v>
      </c>
      <c r="CF154" s="24">
        <f t="shared" ref="CF154" si="1308">+$F$154*CF153</f>
        <v>-73.178834555400343</v>
      </c>
      <c r="CG154" s="24">
        <f t="shared" ref="CG154" si="1309">+$F$154*CG153</f>
        <v>-73.329133353480515</v>
      </c>
      <c r="CH154" s="24">
        <f t="shared" ref="CH154" si="1310">+$F$154*CH153</f>
        <v>-73.479741678877986</v>
      </c>
      <c r="CI154" s="24">
        <f>+$F$154*CI153</f>
        <v>-73.630660170449261</v>
      </c>
      <c r="CJ154" s="24">
        <f t="shared" ref="CJ154" si="1311">+$F$154*CJ153</f>
        <v>-73.781889468372</v>
      </c>
      <c r="CK154" s="24">
        <f t="shared" ref="CK154" si="1312">+$F$154*CK153</f>
        <v>-73.933430214147492</v>
      </c>
      <c r="CL154" s="24">
        <f t="shared" ref="CL154" si="1313">+$F$154*CL153</f>
        <v>-74.085283050603437</v>
      </c>
      <c r="CM154" s="24">
        <f t="shared" ref="CM154" si="1314">+$F$154*CM153</f>
        <v>-74.237448621896704</v>
      </c>
      <c r="CN154" s="24">
        <f t="shared" ref="CN154" si="1315">+$F$154*CN153</f>
        <v>-74.389927573516218</v>
      </c>
      <c r="CO154" s="24">
        <f t="shared" ref="CO154" si="1316">+$F$154*CO153</f>
        <v>-74.542720552285459</v>
      </c>
      <c r="CP154" s="24">
        <f t="shared" ref="CP154" si="1317">+$F$154*CP153</f>
        <v>-74.69582820636542</v>
      </c>
      <c r="CQ154" s="24">
        <f t="shared" ref="CQ154" si="1318">+$F$154*CQ153</f>
        <v>-74.84925118525743</v>
      </c>
      <c r="CR154" s="24">
        <f t="shared" ref="CR154" si="1319">+$F$154*CR153</f>
        <v>-75.002990139805632</v>
      </c>
      <c r="CS154" s="24">
        <f t="shared" ref="CS154" si="1320">+$F$154*CS153</f>
        <v>-75.157045722200138</v>
      </c>
      <c r="CT154" s="24">
        <f t="shared" ref="CT154" si="1321">+$F$154*CT153</f>
        <v>-75.311418585979524</v>
      </c>
      <c r="CU154" s="24">
        <f t="shared" ref="CU154" si="1322">+$F$154*CU153</f>
        <v>-75.466109386033764</v>
      </c>
      <c r="CV154" s="24">
        <f t="shared" ref="CV154:EI154" si="1323">+$F$154*CV153</f>
        <v>-75.621118778606998</v>
      </c>
      <c r="CW154" s="24">
        <f t="shared" si="1323"/>
        <v>-75.776447421300389</v>
      </c>
      <c r="CX154" s="24">
        <f t="shared" si="1323"/>
        <v>-75.932095973074723</v>
      </c>
      <c r="CY154" s="24">
        <f t="shared" si="1323"/>
        <v>-76.088065094253594</v>
      </c>
      <c r="CZ154" s="24">
        <f t="shared" si="1323"/>
        <v>-76.244355446525873</v>
      </c>
      <c r="DA154" s="24">
        <f t="shared" si="1323"/>
        <v>-76.400967692948655</v>
      </c>
      <c r="DB154" s="24">
        <f t="shared" si="1323"/>
        <v>-76.55790249795028</v>
      </c>
      <c r="DC154" s="24">
        <f t="shared" si="1323"/>
        <v>-76.715160527332827</v>
      </c>
      <c r="DD154" s="24">
        <f t="shared" si="1323"/>
        <v>-76.872742448275204</v>
      </c>
      <c r="DE154" s="24">
        <f t="shared" si="1323"/>
        <v>-77.030648929335939</v>
      </c>
      <c r="DF154" s="24">
        <f t="shared" si="1323"/>
        <v>-77.188880640456063</v>
      </c>
      <c r="DG154" s="24">
        <f t="shared" si="1323"/>
        <v>-77.347438252961879</v>
      </c>
      <c r="DH154" s="24">
        <f t="shared" si="1323"/>
        <v>-77.506322439567924</v>
      </c>
      <c r="DI154" s="24">
        <f t="shared" si="1323"/>
        <v>-77.665533874379804</v>
      </c>
      <c r="DJ154" s="24">
        <f t="shared" si="1323"/>
        <v>-77.825073232897083</v>
      </c>
      <c r="DK154" s="24">
        <f t="shared" si="1323"/>
        <v>-77.984941192016194</v>
      </c>
      <c r="DL154" s="24">
        <f t="shared" si="1323"/>
        <v>-78.145138430033271</v>
      </c>
      <c r="DM154" s="24">
        <f t="shared" si="1323"/>
        <v>-78.305665626647126</v>
      </c>
      <c r="DN154" s="24">
        <f t="shared" si="1323"/>
        <v>-78.46652346296203</v>
      </c>
      <c r="DO154" s="24">
        <f t="shared" si="1323"/>
        <v>-78.627712621490829</v>
      </c>
      <c r="DP154" s="24">
        <f t="shared" si="1323"/>
        <v>-78.789233786157624</v>
      </c>
      <c r="DQ154" s="24">
        <f t="shared" si="1323"/>
        <v>-78.951087642300905</v>
      </c>
      <c r="DR154" s="24">
        <f t="shared" si="1323"/>
        <v>-79.113274876676286</v>
      </c>
      <c r="DS154" s="24">
        <f t="shared" si="1323"/>
        <v>-79.275796177459569</v>
      </c>
      <c r="DT154" s="24">
        <f t="shared" si="1323"/>
        <v>-79.438652234249687</v>
      </c>
      <c r="DU154" s="24">
        <f t="shared" si="1323"/>
        <v>-79.601843738071622</v>
      </c>
      <c r="DV154" s="24">
        <f t="shared" si="1323"/>
        <v>-79.765371381379268</v>
      </c>
      <c r="DW154" s="24">
        <f t="shared" si="1323"/>
        <v>-79.929235858058604</v>
      </c>
      <c r="DX154" s="24">
        <f t="shared" si="1323"/>
        <v>-80.09343786343041</v>
      </c>
      <c r="DY154" s="24">
        <f t="shared" si="1323"/>
        <v>-80.257978094253374</v>
      </c>
      <c r="DZ154" s="24">
        <f t="shared" si="1323"/>
        <v>-80.422857248727141</v>
      </c>
      <c r="EA154" s="24">
        <f t="shared" si="1323"/>
        <v>-80.588076026495159</v>
      </c>
      <c r="EB154" s="24">
        <f t="shared" si="1323"/>
        <v>-80.753635128647645</v>
      </c>
      <c r="EC154" s="24">
        <f t="shared" si="1323"/>
        <v>-80.919535257724803</v>
      </c>
      <c r="ED154" s="24">
        <f t="shared" si="1323"/>
        <v>-81.085777117719573</v>
      </c>
      <c r="EE154" s="24">
        <f t="shared" si="1323"/>
        <v>-81.252361414080809</v>
      </c>
      <c r="EF154" s="24">
        <f t="shared" si="1323"/>
        <v>-81.419288853716154</v>
      </c>
      <c r="EG154" s="24">
        <f t="shared" si="1323"/>
        <v>-81.586560144995232</v>
      </c>
      <c r="EH154" s="24">
        <f t="shared" si="1323"/>
        <v>-81.754175997752569</v>
      </c>
      <c r="EI154" s="24">
        <f t="shared" si="1323"/>
        <v>-81.922137123290511</v>
      </c>
      <c r="EJ154" s="24"/>
      <c r="EK154" s="24"/>
      <c r="EL154" s="24"/>
      <c r="EM154" s="1" t="s">
        <v>191</v>
      </c>
    </row>
    <row r="155" spans="3:143" x14ac:dyDescent="0.45">
      <c r="C155" s="47"/>
      <c r="D155" s="1" t="s">
        <v>193</v>
      </c>
      <c r="E155" s="24"/>
      <c r="F155" s="24"/>
      <c r="G155" s="24">
        <f t="shared" ref="G155:AL155" si="1324">MIN(G118,0)</f>
        <v>-5651390.8349986859</v>
      </c>
      <c r="H155" s="24">
        <f t="shared" si="1324"/>
        <v>-22345.410359434267</v>
      </c>
      <c r="I155" s="24">
        <f t="shared" si="1324"/>
        <v>-124470.73199259791</v>
      </c>
      <c r="J155" s="24">
        <f t="shared" si="1324"/>
        <v>-128962.68894246993</v>
      </c>
      <c r="K155" s="24">
        <f t="shared" si="1324"/>
        <v>-133473.51384667229</v>
      </c>
      <c r="L155" s="24">
        <f t="shared" si="1324"/>
        <v>-178375.17696107196</v>
      </c>
      <c r="M155" s="24">
        <f t="shared" si="1324"/>
        <v>-164292.28917121224</v>
      </c>
      <c r="N155" s="24">
        <f t="shared" si="1324"/>
        <v>-124170.37003154399</v>
      </c>
      <c r="O155" s="24">
        <f t="shared" si="1324"/>
        <v>-121537.83493530095</v>
      </c>
      <c r="P155" s="24">
        <f t="shared" si="1324"/>
        <v>-118894.65104032315</v>
      </c>
      <c r="Q155" s="24">
        <f t="shared" si="1324"/>
        <v>-121240.78541370273</v>
      </c>
      <c r="R155" s="24">
        <f t="shared" si="1324"/>
        <v>-113576.20503154901</v>
      </c>
      <c r="S155" s="24">
        <f t="shared" si="1324"/>
        <v>-109900.87677875203</v>
      </c>
      <c r="T155" s="24">
        <f t="shared" si="1324"/>
        <v>-107214.76744874577</v>
      </c>
      <c r="U155" s="24">
        <f t="shared" si="1324"/>
        <v>-104517.8437432709</v>
      </c>
      <c r="V155" s="24">
        <f t="shared" si="1324"/>
        <v>-101810.07227213717</v>
      </c>
      <c r="W155" s="24">
        <f t="shared" si="1324"/>
        <v>-99091.419552984415</v>
      </c>
      <c r="X155" s="24">
        <f t="shared" si="1324"/>
        <v>-96361.852011043797</v>
      </c>
      <c r="Y155" s="24">
        <f t="shared" si="1324"/>
        <v>-93621.335978898205</v>
      </c>
      <c r="Z155" s="24">
        <f t="shared" si="1324"/>
        <v>-90869.837696241666</v>
      </c>
      <c r="AA155" s="24">
        <f t="shared" si="1324"/>
        <v>-88107.323309638581</v>
      </c>
      <c r="AB155" s="24">
        <f t="shared" si="1324"/>
        <v>-85333.758872282473</v>
      </c>
      <c r="AC155" s="24">
        <f t="shared" si="1324"/>
        <v>-82549.110343753608</v>
      </c>
      <c r="AD155" s="24">
        <f t="shared" si="1324"/>
        <v>-79753.343589776443</v>
      </c>
      <c r="AE155" s="24">
        <f t="shared" si="1324"/>
        <v>-311246.42438197631</v>
      </c>
      <c r="AF155" s="24">
        <f t="shared" si="1324"/>
        <v>0</v>
      </c>
      <c r="AG155" s="24">
        <f t="shared" si="1324"/>
        <v>0</v>
      </c>
      <c r="AH155" s="24">
        <f t="shared" si="1324"/>
        <v>0</v>
      </c>
      <c r="AI155" s="24">
        <f t="shared" si="1324"/>
        <v>0</v>
      </c>
      <c r="AJ155" s="24">
        <f t="shared" si="1324"/>
        <v>0</v>
      </c>
      <c r="AK155" s="24">
        <f t="shared" si="1324"/>
        <v>0</v>
      </c>
      <c r="AL155" s="24">
        <f t="shared" si="1324"/>
        <v>0</v>
      </c>
      <c r="AM155" s="24">
        <f t="shared" ref="AM155:BR155" si="1325">MIN(AM118,0)</f>
        <v>0</v>
      </c>
      <c r="AN155" s="24">
        <f t="shared" si="1325"/>
        <v>0</v>
      </c>
      <c r="AO155" s="24">
        <f t="shared" si="1325"/>
        <v>0</v>
      </c>
      <c r="AP155" s="24">
        <f t="shared" si="1325"/>
        <v>0</v>
      </c>
      <c r="AQ155" s="24">
        <f t="shared" si="1325"/>
        <v>0</v>
      </c>
      <c r="AR155" s="24">
        <f t="shared" si="1325"/>
        <v>0</v>
      </c>
      <c r="AS155" s="24">
        <f t="shared" si="1325"/>
        <v>0</v>
      </c>
      <c r="AT155" s="24">
        <f t="shared" si="1325"/>
        <v>0</v>
      </c>
      <c r="AU155" s="24">
        <f t="shared" si="1325"/>
        <v>0</v>
      </c>
      <c r="AV155" s="24">
        <f t="shared" si="1325"/>
        <v>0</v>
      </c>
      <c r="AW155" s="24">
        <f t="shared" si="1325"/>
        <v>0</v>
      </c>
      <c r="AX155" s="24">
        <f t="shared" si="1325"/>
        <v>0</v>
      </c>
      <c r="AY155" s="24">
        <f t="shared" si="1325"/>
        <v>0</v>
      </c>
      <c r="AZ155" s="24">
        <f t="shared" si="1325"/>
        <v>0</v>
      </c>
      <c r="BA155" s="24">
        <f t="shared" si="1325"/>
        <v>0</v>
      </c>
      <c r="BB155" s="24">
        <f t="shared" si="1325"/>
        <v>0</v>
      </c>
      <c r="BC155" s="24">
        <f t="shared" si="1325"/>
        <v>0</v>
      </c>
      <c r="BD155" s="24">
        <f t="shared" si="1325"/>
        <v>0</v>
      </c>
      <c r="BE155" s="24">
        <f t="shared" si="1325"/>
        <v>0</v>
      </c>
      <c r="BF155" s="24">
        <f t="shared" si="1325"/>
        <v>0</v>
      </c>
      <c r="BG155" s="24">
        <f t="shared" si="1325"/>
        <v>0</v>
      </c>
      <c r="BH155" s="24">
        <f t="shared" si="1325"/>
        <v>0</v>
      </c>
      <c r="BI155" s="24">
        <f t="shared" si="1325"/>
        <v>0</v>
      </c>
      <c r="BJ155" s="24">
        <f t="shared" si="1325"/>
        <v>0</v>
      </c>
      <c r="BK155" s="24">
        <f t="shared" si="1325"/>
        <v>0</v>
      </c>
      <c r="BL155" s="24">
        <f t="shared" si="1325"/>
        <v>0</v>
      </c>
      <c r="BM155" s="24">
        <f t="shared" si="1325"/>
        <v>0</v>
      </c>
      <c r="BN155" s="24">
        <f t="shared" si="1325"/>
        <v>0</v>
      </c>
      <c r="BO155" s="24">
        <f t="shared" si="1325"/>
        <v>0</v>
      </c>
      <c r="BP155" s="24">
        <f t="shared" si="1325"/>
        <v>-4635.109062170488</v>
      </c>
      <c r="BQ155" s="24">
        <f t="shared" si="1325"/>
        <v>-4644.6281151753674</v>
      </c>
      <c r="BR155" s="24">
        <f t="shared" si="1325"/>
        <v>-4654.1667705003265</v>
      </c>
      <c r="BS155" s="24">
        <f t="shared" ref="BS155:CX155" si="1326">MIN(BS118,0)</f>
        <v>-4663.7250686017987</v>
      </c>
      <c r="BT155" s="24">
        <f t="shared" si="1326"/>
        <v>-4673.3030500198647</v>
      </c>
      <c r="BU155" s="24">
        <f t="shared" si="1326"/>
        <v>-4682.9007553784277</v>
      </c>
      <c r="BV155" s="24">
        <f t="shared" si="1326"/>
        <v>-4692.5182253853827</v>
      </c>
      <c r="BW155" s="24">
        <f t="shared" si="1326"/>
        <v>-4702.1555008327987</v>
      </c>
      <c r="BX155" s="24">
        <f t="shared" si="1326"/>
        <v>-4711.81262259708</v>
      </c>
      <c r="BY155" s="24">
        <f t="shared" si="1326"/>
        <v>-4721.489631639155</v>
      </c>
      <c r="BZ155" s="24">
        <f t="shared" si="1326"/>
        <v>-4731.1865690046443</v>
      </c>
      <c r="CA155" s="24">
        <f t="shared" si="1326"/>
        <v>-4740.9034758240332</v>
      </c>
      <c r="CB155" s="24">
        <f t="shared" si="1326"/>
        <v>-4750.6403933128513</v>
      </c>
      <c r="CC155" s="24">
        <f t="shared" si="1326"/>
        <v>-4760.3973627718497</v>
      </c>
      <c r="CD155" s="24">
        <f t="shared" si="1326"/>
        <v>-4770.1744255871772</v>
      </c>
      <c r="CE155" s="24">
        <f t="shared" si="1326"/>
        <v>-4779.9716232305518</v>
      </c>
      <c r="CF155" s="24">
        <f t="shared" si="1326"/>
        <v>-4789.7889972594448</v>
      </c>
      <c r="CG155" s="24">
        <f t="shared" si="1326"/>
        <v>-4799.6265893172558</v>
      </c>
      <c r="CH155" s="24">
        <f t="shared" si="1326"/>
        <v>-4809.4844411334852</v>
      </c>
      <c r="CI155" s="24">
        <f t="shared" si="1326"/>
        <v>-4819.3625945239255</v>
      </c>
      <c r="CJ155" s="24">
        <f t="shared" si="1326"/>
        <v>-4829.2610913908247</v>
      </c>
      <c r="CK155" s="24">
        <f t="shared" si="1326"/>
        <v>-4839.1799737230785</v>
      </c>
      <c r="CL155" s="24">
        <f t="shared" si="1326"/>
        <v>-4849.1192835963984</v>
      </c>
      <c r="CM155" s="24">
        <f t="shared" si="1326"/>
        <v>-4859.0790631735017</v>
      </c>
      <c r="CN155" s="24">
        <f t="shared" si="1326"/>
        <v>-4869.0593547042845</v>
      </c>
      <c r="CO155" s="24">
        <f t="shared" si="1326"/>
        <v>-4879.0602005260052</v>
      </c>
      <c r="CP155" s="24">
        <f t="shared" si="1326"/>
        <v>-4889.081643063465</v>
      </c>
      <c r="CQ155" s="24">
        <f t="shared" si="1326"/>
        <v>-4899.1237248291882</v>
      </c>
      <c r="CR155" s="24">
        <f t="shared" si="1326"/>
        <v>-4909.1864884236047</v>
      </c>
      <c r="CS155" s="24">
        <f t="shared" si="1326"/>
        <v>-4919.2699765352345</v>
      </c>
      <c r="CT155" s="24">
        <f t="shared" si="1326"/>
        <v>-4929.3742319408639</v>
      </c>
      <c r="CU155" s="24">
        <f t="shared" si="1326"/>
        <v>-4939.4992975057357</v>
      </c>
      <c r="CV155" s="24">
        <f t="shared" si="1326"/>
        <v>-4949.645216183726</v>
      </c>
      <c r="CW155" s="24">
        <f t="shared" si="1326"/>
        <v>-4959.81203101753</v>
      </c>
      <c r="CX155" s="24">
        <f t="shared" si="1326"/>
        <v>-4969.9997851388498</v>
      </c>
      <c r="CY155" s="24">
        <f t="shared" ref="CY155:EI155" si="1327">MIN(CY118,0)</f>
        <v>-4980.2085217685735</v>
      </c>
      <c r="CZ155" s="24">
        <f t="shared" si="1327"/>
        <v>-4990.438284216958</v>
      </c>
      <c r="DA155" s="24">
        <f t="shared" si="1327"/>
        <v>-5000.6891158838253</v>
      </c>
      <c r="DB155" s="24">
        <f t="shared" si="1327"/>
        <v>-5010.9610602587327</v>
      </c>
      <c r="DC155" s="24">
        <f t="shared" si="1327"/>
        <v>-5021.254160921173</v>
      </c>
      <c r="DD155" s="24">
        <f t="shared" si="1327"/>
        <v>-5031.5684615407481</v>
      </c>
      <c r="DE155" s="24">
        <f t="shared" si="1327"/>
        <v>-5041.9040058773662</v>
      </c>
      <c r="DF155" s="24">
        <f t="shared" si="1327"/>
        <v>-5052.2608377814222</v>
      </c>
      <c r="DG155" s="24">
        <f t="shared" si="1327"/>
        <v>-5062.6390011939866</v>
      </c>
      <c r="DH155" s="24">
        <f t="shared" si="1327"/>
        <v>-5073.0385401469939</v>
      </c>
      <c r="DI155" s="24">
        <f t="shared" si="1327"/>
        <v>-5083.4594987634327</v>
      </c>
      <c r="DJ155" s="24">
        <f t="shared" si="1327"/>
        <v>-5093.9019212575295</v>
      </c>
      <c r="DK155" s="24">
        <f t="shared" si="1327"/>
        <v>-5104.3658519349419</v>
      </c>
      <c r="DL155" s="24">
        <f t="shared" si="1327"/>
        <v>-5114.851335192946</v>
      </c>
      <c r="DM155" s="24">
        <f t="shared" si="1327"/>
        <v>-5125.3584155206263</v>
      </c>
      <c r="DN155" s="24">
        <f t="shared" si="1327"/>
        <v>-5135.8871374990649</v>
      </c>
      <c r="DO155" s="24">
        <f t="shared" si="1327"/>
        <v>-5146.4375458015375</v>
      </c>
      <c r="DP155" s="24">
        <f t="shared" si="1327"/>
        <v>-5157.0096851936942</v>
      </c>
      <c r="DQ155" s="24">
        <f t="shared" si="1327"/>
        <v>-5167.6036005337592</v>
      </c>
      <c r="DR155" s="24">
        <f t="shared" si="1327"/>
        <v>-5178.2193367727186</v>
      </c>
      <c r="DS155" s="24">
        <f t="shared" si="1327"/>
        <v>-5188.8569389545182</v>
      </c>
      <c r="DT155" s="24">
        <f t="shared" si="1327"/>
        <v>-5199.5164522162468</v>
      </c>
      <c r="DU155" s="24">
        <f t="shared" si="1327"/>
        <v>-5210.1979217883354</v>
      </c>
      <c r="DV155" s="24">
        <f t="shared" si="1327"/>
        <v>-5220.9013929947496</v>
      </c>
      <c r="DW155" s="24">
        <f t="shared" si="1327"/>
        <v>-5231.6269112531818</v>
      </c>
      <c r="DX155" s="24">
        <f t="shared" si="1327"/>
        <v>-5242.3745220752453</v>
      </c>
      <c r="DY155" s="24">
        <f t="shared" si="1327"/>
        <v>-5253.1442710666724</v>
      </c>
      <c r="DZ155" s="24">
        <f t="shared" si="1327"/>
        <v>-5263.9362039275065</v>
      </c>
      <c r="EA155" s="24">
        <f t="shared" si="1327"/>
        <v>-5274.750366452291</v>
      </c>
      <c r="EB155" s="24">
        <f t="shared" si="1327"/>
        <v>-5285.5868045302823</v>
      </c>
      <c r="EC155" s="24">
        <f t="shared" si="1327"/>
        <v>-5296.4455641456252</v>
      </c>
      <c r="ED155" s="24">
        <f t="shared" si="1327"/>
        <v>-5307.326691377566</v>
      </c>
      <c r="EE155" s="24">
        <f t="shared" si="1327"/>
        <v>-5318.2302324006396</v>
      </c>
      <c r="EF155" s="24">
        <f t="shared" si="1327"/>
        <v>-5329.1562334848704</v>
      </c>
      <c r="EG155" s="24">
        <f t="shared" si="1327"/>
        <v>-5340.1047409959747</v>
      </c>
      <c r="EH155" s="24">
        <f t="shared" si="1327"/>
        <v>-5351.0758013955437</v>
      </c>
      <c r="EI155" s="24">
        <f t="shared" si="1327"/>
        <v>-5362.0694612412608</v>
      </c>
      <c r="EJ155" s="24"/>
      <c r="EK155" s="24"/>
      <c r="EL155" s="24"/>
      <c r="EM155" s="1" t="s">
        <v>191</v>
      </c>
    </row>
    <row r="156" spans="3:143" x14ac:dyDescent="0.45">
      <c r="D156" s="1" t="s">
        <v>208</v>
      </c>
      <c r="E156" s="24"/>
      <c r="F156" s="24"/>
      <c r="G156" s="24"/>
      <c r="H156" s="24">
        <f t="shared" ref="H156:BS156" si="1328">H138-H145</f>
        <v>0</v>
      </c>
      <c r="I156" s="24">
        <f t="shared" si="1328"/>
        <v>0</v>
      </c>
      <c r="J156" s="24">
        <f t="shared" si="1328"/>
        <v>0</v>
      </c>
      <c r="K156" s="24">
        <f t="shared" si="1328"/>
        <v>0</v>
      </c>
      <c r="L156" s="24">
        <f t="shared" si="1328"/>
        <v>0</v>
      </c>
      <c r="M156" s="24">
        <f t="shared" si="1328"/>
        <v>0</v>
      </c>
      <c r="N156" s="24">
        <f t="shared" si="1328"/>
        <v>0</v>
      </c>
      <c r="O156" s="24">
        <f t="shared" si="1328"/>
        <v>0</v>
      </c>
      <c r="P156" s="24">
        <f t="shared" si="1328"/>
        <v>0</v>
      </c>
      <c r="Q156" s="24">
        <f t="shared" si="1328"/>
        <v>0</v>
      </c>
      <c r="R156" s="24">
        <f t="shared" si="1328"/>
        <v>0</v>
      </c>
      <c r="S156" s="24">
        <f t="shared" si="1328"/>
        <v>0</v>
      </c>
      <c r="T156" s="24">
        <f t="shared" si="1328"/>
        <v>0</v>
      </c>
      <c r="U156" s="24">
        <f t="shared" si="1328"/>
        <v>0</v>
      </c>
      <c r="V156" s="24">
        <f t="shared" si="1328"/>
        <v>0</v>
      </c>
      <c r="W156" s="24">
        <f t="shared" si="1328"/>
        <v>0</v>
      </c>
      <c r="X156" s="24">
        <f t="shared" si="1328"/>
        <v>0</v>
      </c>
      <c r="Y156" s="24">
        <f t="shared" si="1328"/>
        <v>0</v>
      </c>
      <c r="Z156" s="24">
        <f t="shared" si="1328"/>
        <v>0</v>
      </c>
      <c r="AA156" s="24">
        <f t="shared" si="1328"/>
        <v>0</v>
      </c>
      <c r="AB156" s="24">
        <f t="shared" si="1328"/>
        <v>0</v>
      </c>
      <c r="AC156" s="24">
        <f t="shared" si="1328"/>
        <v>0</v>
      </c>
      <c r="AD156" s="24">
        <f t="shared" si="1328"/>
        <v>0</v>
      </c>
      <c r="AE156" s="24">
        <f t="shared" si="1328"/>
        <v>0</v>
      </c>
      <c r="AF156" s="24">
        <f t="shared" si="1328"/>
        <v>-25668.583027726221</v>
      </c>
      <c r="AG156" s="24">
        <f t="shared" si="1328"/>
        <v>-28550.66538305394</v>
      </c>
      <c r="AH156" s="24">
        <f t="shared" si="1328"/>
        <v>-31444.2096491624</v>
      </c>
      <c r="AI156" s="24">
        <f t="shared" si="1328"/>
        <v>-39415.571040055671</v>
      </c>
      <c r="AJ156" s="24">
        <f t="shared" si="1328"/>
        <v>-47419.336102020112</v>
      </c>
      <c r="AK156" s="24">
        <f t="shared" si="1328"/>
        <v>-55455.604893184682</v>
      </c>
      <c r="AL156" s="24">
        <f t="shared" si="1328"/>
        <v>-55793.049313228512</v>
      </c>
      <c r="AM156" s="24">
        <f t="shared" si="1328"/>
        <v>-56131.223794269295</v>
      </c>
      <c r="AN156" s="24">
        <f t="shared" si="1328"/>
        <v>-4381194.5252404353</v>
      </c>
      <c r="AO156" s="24">
        <f t="shared" si="1328"/>
        <v>0</v>
      </c>
      <c r="AP156" s="24">
        <f t="shared" si="1328"/>
        <v>0</v>
      </c>
      <c r="AQ156" s="24">
        <f t="shared" si="1328"/>
        <v>0</v>
      </c>
      <c r="AR156" s="24">
        <f t="shared" si="1328"/>
        <v>0</v>
      </c>
      <c r="AS156" s="24">
        <f t="shared" si="1328"/>
        <v>0</v>
      </c>
      <c r="AT156" s="24">
        <f t="shared" si="1328"/>
        <v>0</v>
      </c>
      <c r="AU156" s="24">
        <f t="shared" si="1328"/>
        <v>0</v>
      </c>
      <c r="AV156" s="24">
        <f t="shared" si="1328"/>
        <v>0</v>
      </c>
      <c r="AW156" s="24">
        <f t="shared" si="1328"/>
        <v>0</v>
      </c>
      <c r="AX156" s="24">
        <f t="shared" si="1328"/>
        <v>0</v>
      </c>
      <c r="AY156" s="24">
        <f t="shared" si="1328"/>
        <v>0</v>
      </c>
      <c r="AZ156" s="24">
        <f t="shared" si="1328"/>
        <v>0</v>
      </c>
      <c r="BA156" s="24">
        <f t="shared" si="1328"/>
        <v>0</v>
      </c>
      <c r="BB156" s="24">
        <f t="shared" si="1328"/>
        <v>0</v>
      </c>
      <c r="BC156" s="24">
        <f t="shared" si="1328"/>
        <v>0</v>
      </c>
      <c r="BD156" s="24">
        <f t="shared" si="1328"/>
        <v>0</v>
      </c>
      <c r="BE156" s="24">
        <f t="shared" si="1328"/>
        <v>0</v>
      </c>
      <c r="BF156" s="24">
        <f t="shared" si="1328"/>
        <v>0</v>
      </c>
      <c r="BG156" s="24">
        <f t="shared" si="1328"/>
        <v>0</v>
      </c>
      <c r="BH156" s="24">
        <f t="shared" si="1328"/>
        <v>0</v>
      </c>
      <c r="BI156" s="24">
        <f t="shared" si="1328"/>
        <v>0</v>
      </c>
      <c r="BJ156" s="24">
        <f t="shared" si="1328"/>
        <v>0</v>
      </c>
      <c r="BK156" s="24">
        <f t="shared" si="1328"/>
        <v>0</v>
      </c>
      <c r="BL156" s="24">
        <f t="shared" si="1328"/>
        <v>0</v>
      </c>
      <c r="BM156" s="24">
        <f t="shared" si="1328"/>
        <v>0</v>
      </c>
      <c r="BN156" s="24">
        <f t="shared" si="1328"/>
        <v>0</v>
      </c>
      <c r="BO156" s="24">
        <f t="shared" si="1328"/>
        <v>0</v>
      </c>
      <c r="BP156" s="24">
        <f t="shared" si="1328"/>
        <v>0</v>
      </c>
      <c r="BQ156" s="24">
        <f t="shared" si="1328"/>
        <v>4689.4089797482748</v>
      </c>
      <c r="BR156" s="24">
        <f t="shared" si="1328"/>
        <v>4699.0395476682625</v>
      </c>
      <c r="BS156" s="24">
        <f t="shared" si="1328"/>
        <v>4708.6899475478795</v>
      </c>
      <c r="BT156" s="24">
        <f t="shared" ref="BT156:CH156" si="1329">BT138-BT145</f>
        <v>4718.360220317506</v>
      </c>
      <c r="BU156" s="24">
        <f t="shared" si="1329"/>
        <v>4728.0504069921444</v>
      </c>
      <c r="BV156" s="24">
        <f t="shared" si="1329"/>
        <v>4737.7605486716056</v>
      </c>
      <c r="BW156" s="24">
        <f t="shared" si="1329"/>
        <v>4747.4906865406692</v>
      </c>
      <c r="BX156" s="24">
        <f t="shared" si="1329"/>
        <v>4757.2408618692862</v>
      </c>
      <c r="BY156" s="24">
        <f t="shared" si="1329"/>
        <v>4767.0111160127226</v>
      </c>
      <c r="BZ156" s="24">
        <f t="shared" si="1329"/>
        <v>4776.8014904117563</v>
      </c>
      <c r="CA156" s="24">
        <f t="shared" si="1329"/>
        <v>4786.6120265928603</v>
      </c>
      <c r="CB156" s="24">
        <f t="shared" si="1329"/>
        <v>4796.4427661683549</v>
      </c>
      <c r="CC156" s="24">
        <f t="shared" si="1329"/>
        <v>4806.2937508366113</v>
      </c>
      <c r="CD156" s="24">
        <f t="shared" si="1329"/>
        <v>4816.1650223822098</v>
      </c>
      <c r="CE156" s="24">
        <f t="shared" si="1329"/>
        <v>4826.0566226761403</v>
      </c>
      <c r="CF156" s="24">
        <f t="shared" si="1329"/>
        <v>4835.9685936759533</v>
      </c>
      <c r="CG156" s="24">
        <f t="shared" si="1329"/>
        <v>4845.9009774259666</v>
      </c>
      <c r="CH156" s="24">
        <f t="shared" si="1329"/>
        <v>4855.8538160574262</v>
      </c>
      <c r="CI156" s="24">
        <f>CI138-CI145</f>
        <v>4865.8271517886915</v>
      </c>
      <c r="CJ156" s="24">
        <f t="shared" ref="CJ156:CV156" si="1330">CJ138-CJ145</f>
        <v>4875.8210269254223</v>
      </c>
      <c r="CK156" s="24">
        <f t="shared" si="1330"/>
        <v>4885.8354838607493</v>
      </c>
      <c r="CL156" s="24">
        <f t="shared" si="1330"/>
        <v>4895.8705650754628</v>
      </c>
      <c r="CM156" s="24">
        <f t="shared" si="1330"/>
        <v>4905.9263131381895</v>
      </c>
      <c r="CN156" s="24">
        <f t="shared" si="1330"/>
        <v>4916.0027707055788</v>
      </c>
      <c r="CO156" s="24">
        <f t="shared" si="1330"/>
        <v>4926.0999805224792</v>
      </c>
      <c r="CP156" s="24">
        <f t="shared" si="1330"/>
        <v>4936.2179854221304</v>
      </c>
      <c r="CQ156" s="24">
        <f t="shared" si="1330"/>
        <v>4946.356828326333</v>
      </c>
      <c r="CR156" s="24">
        <f t="shared" si="1330"/>
        <v>4956.5165522456446</v>
      </c>
      <c r="CS156" s="24">
        <f t="shared" si="1330"/>
        <v>4966.6972002795546</v>
      </c>
      <c r="CT156" s="24">
        <f t="shared" si="1330"/>
        <v>4976.8988156166743</v>
      </c>
      <c r="CU156" s="24">
        <f t="shared" si="1330"/>
        <v>4987.1214415349159</v>
      </c>
      <c r="CV156" s="24">
        <f t="shared" si="1330"/>
        <v>4997.3651214016909</v>
      </c>
      <c r="CW156" s="24">
        <f t="shared" ref="CW156:EI156" si="1331">CW138-CW145</f>
        <v>5007.6298986740676</v>
      </c>
      <c r="CX156" s="24">
        <f t="shared" si="1331"/>
        <v>5017.9158168989907</v>
      </c>
      <c r="CY156" s="24">
        <f t="shared" si="1331"/>
        <v>5028.2229197134393</v>
      </c>
      <c r="CZ156" s="24">
        <f t="shared" si="1331"/>
        <v>5038.5512508446382</v>
      </c>
      <c r="DA156" s="24">
        <f t="shared" si="1331"/>
        <v>5048.9008541102148</v>
      </c>
      <c r="DB156" s="24">
        <f t="shared" si="1331"/>
        <v>5059.2717734184189</v>
      </c>
      <c r="DC156" s="24">
        <f t="shared" si="1331"/>
        <v>5069.6640527682839</v>
      </c>
      <c r="DD156" s="24">
        <f t="shared" si="1331"/>
        <v>5080.077736249832</v>
      </c>
      <c r="DE156" s="24">
        <f t="shared" si="1331"/>
        <v>5090.5128680442522</v>
      </c>
      <c r="DF156" s="24">
        <f t="shared" si="1331"/>
        <v>5100.9694924240957</v>
      </c>
      <c r="DG156" s="24">
        <f t="shared" si="1331"/>
        <v>5111.4476537534611</v>
      </c>
      <c r="DH156" s="24">
        <f t="shared" si="1331"/>
        <v>5121.9473964881845</v>
      </c>
      <c r="DI156" s="24">
        <f t="shared" si="1331"/>
        <v>5132.4687651760296</v>
      </c>
      <c r="DJ156" s="24">
        <f t="shared" si="1331"/>
        <v>5143.0118044568862</v>
      </c>
      <c r="DK156" s="24">
        <f t="shared" si="1331"/>
        <v>5153.5765590629426</v>
      </c>
      <c r="DL156" s="24">
        <f t="shared" si="1331"/>
        <v>5164.163073818896</v>
      </c>
      <c r="DM156" s="24">
        <f t="shared" si="1331"/>
        <v>5174.7713936421314</v>
      </c>
      <c r="DN156" s="24">
        <f t="shared" si="1331"/>
        <v>5185.4015635429214</v>
      </c>
      <c r="DO156" s="24">
        <f t="shared" si="1331"/>
        <v>5196.0536286246106</v>
      </c>
      <c r="DP156" s="24">
        <f t="shared" si="1331"/>
        <v>5206.7276340838162</v>
      </c>
      <c r="DQ156" s="24">
        <f t="shared" si="1331"/>
        <v>5217.4236252106175</v>
      </c>
      <c r="DR156" s="24">
        <f t="shared" si="1331"/>
        <v>5228.1416473887466</v>
      </c>
      <c r="DS156" s="24">
        <f t="shared" si="1331"/>
        <v>5238.8817460957889</v>
      </c>
      <c r="DT156" s="24">
        <f t="shared" si="1331"/>
        <v>5249.6439669033743</v>
      </c>
      <c r="DU156" s="24">
        <f t="shared" si="1331"/>
        <v>5260.4283554773701</v>
      </c>
      <c r="DV156" s="24">
        <f t="shared" si="1331"/>
        <v>5271.234957578079</v>
      </c>
      <c r="DW156" s="24">
        <f t="shared" si="1331"/>
        <v>5282.0638190604304</v>
      </c>
      <c r="DX156" s="24">
        <f t="shared" si="1331"/>
        <v>5292.9149858741821</v>
      </c>
      <c r="DY156" s="24">
        <f t="shared" si="1331"/>
        <v>5303.7885040641122</v>
      </c>
      <c r="DZ156" s="24">
        <f t="shared" si="1331"/>
        <v>5314.6844197702221</v>
      </c>
      <c r="EA156" s="24">
        <f t="shared" si="1331"/>
        <v>5325.6027792279256</v>
      </c>
      <c r="EB156" s="24">
        <f t="shared" si="1331"/>
        <v>5336.5436287682451</v>
      </c>
      <c r="EC156" s="24">
        <f t="shared" si="1331"/>
        <v>5347.5070148180275</v>
      </c>
      <c r="ED156" s="24">
        <f t="shared" si="1331"/>
        <v>5358.4929839001179</v>
      </c>
      <c r="EE156" s="24">
        <f t="shared" si="1331"/>
        <v>5369.5015826335748</v>
      </c>
      <c r="EF156" s="24">
        <f t="shared" si="1331"/>
        <v>5380.532857733866</v>
      </c>
      <c r="EG156" s="24">
        <f t="shared" si="1331"/>
        <v>5391.5868560130657</v>
      </c>
      <c r="EH156" s="24">
        <f t="shared" si="1331"/>
        <v>5402.6636243800585</v>
      </c>
      <c r="EI156" s="24">
        <f t="shared" si="1331"/>
        <v>5413.7632098407303</v>
      </c>
      <c r="EJ156" s="24"/>
      <c r="EK156" s="24"/>
      <c r="EL156" s="24"/>
      <c r="EM156" s="1" t="s">
        <v>191</v>
      </c>
    </row>
    <row r="157" spans="3:143" x14ac:dyDescent="0.45">
      <c r="D157" s="1" t="s">
        <v>39</v>
      </c>
      <c r="E157" s="24"/>
      <c r="F157" s="24"/>
      <c r="G157" s="24"/>
      <c r="H157" s="24">
        <f t="shared" ref="H157:BS157" si="1332">SUM(H153:H156)</f>
        <v>5715565.225910116</v>
      </c>
      <c r="I157" s="24">
        <f t="shared" si="1332"/>
        <v>5678596.771132879</v>
      </c>
      <c r="J157" s="24">
        <f t="shared" si="1332"/>
        <v>5636570.3919379367</v>
      </c>
      <c r="K157" s="24">
        <f t="shared" si="1332"/>
        <v>5589389.7862262968</v>
      </c>
      <c r="L157" s="24">
        <f t="shared" si="1332"/>
        <v>5496585.2073089555</v>
      </c>
      <c r="M157" s="24">
        <f t="shared" si="1332"/>
        <v>5416442.7272182982</v>
      </c>
      <c r="N157" s="24">
        <f t="shared" si="1332"/>
        <v>5375195.2273325864</v>
      </c>
      <c r="O157" s="24">
        <f t="shared" si="1332"/>
        <v>5335948.7851604298</v>
      </c>
      <c r="P157" s="24">
        <f t="shared" si="1332"/>
        <v>5298744.684634597</v>
      </c>
      <c r="Q157" s="24">
        <f t="shared" si="1332"/>
        <v>5258624.8746559145</v>
      </c>
      <c r="R157" s="24">
        <f t="shared" si="1332"/>
        <v>5225555.4320120635</v>
      </c>
      <c r="S157" s="24">
        <f t="shared" si="1332"/>
        <v>5195655.0419644108</v>
      </c>
      <c r="T157" s="24">
        <f t="shared" si="1332"/>
        <v>5167983.0021073986</v>
      </c>
      <c r="U157" s="24">
        <f t="shared" si="1332"/>
        <v>5142584.2416780032</v>
      </c>
      <c r="V157" s="24">
        <f t="shared" si="1332"/>
        <v>5119504.411146218</v>
      </c>
      <c r="W157" s="24">
        <f t="shared" si="1332"/>
        <v>5098789.8933489202</v>
      </c>
      <c r="X157" s="24">
        <f t="shared" si="1332"/>
        <v>5080487.8147944296</v>
      </c>
      <c r="Y157" s="24">
        <f t="shared" si="1332"/>
        <v>5064646.0571403708</v>
      </c>
      <c r="Z157" s="24">
        <f t="shared" si="1332"/>
        <v>5051313.2688475</v>
      </c>
      <c r="AA157" s="24">
        <f t="shared" si="1332"/>
        <v>5040538.877012183</v>
      </c>
      <c r="AB157" s="24">
        <f t="shared" si="1332"/>
        <v>5032373.0993802669</v>
      </c>
      <c r="AC157" s="24">
        <f t="shared" si="1332"/>
        <v>5026866.9565451164</v>
      </c>
      <c r="AD157" s="24">
        <f t="shared" si="1332"/>
        <v>5024072.2843326414</v>
      </c>
      <c r="AE157" s="24">
        <f t="shared" si="1332"/>
        <v>4789741.7463761726</v>
      </c>
      <c r="AF157" s="24">
        <f t="shared" si="1332"/>
        <v>4837401.573315924</v>
      </c>
      <c r="AG157" s="24">
        <f t="shared" si="1332"/>
        <v>4882908.9646149036</v>
      </c>
      <c r="AH157" s="24">
        <f t="shared" si="1332"/>
        <v>4926219.5057123862</v>
      </c>
      <c r="AI157" s="24">
        <f t="shared" si="1332"/>
        <v>4962221.7468702346</v>
      </c>
      <c r="AJ157" s="24">
        <f t="shared" si="1332"/>
        <v>4990771.3982150489</v>
      </c>
      <c r="AK157" s="24">
        <f t="shared" si="1332"/>
        <v>5011721.8608137397</v>
      </c>
      <c r="AL157" s="24">
        <f t="shared" si="1332"/>
        <v>5032655.6194814974</v>
      </c>
      <c r="AM157" s="24">
        <f t="shared" si="1332"/>
        <v>5053571.6884289868</v>
      </c>
      <c r="AN157" s="24">
        <f t="shared" si="1332"/>
        <v>749744.669870832</v>
      </c>
      <c r="AO157" s="24">
        <f t="shared" si="1332"/>
        <v>0</v>
      </c>
      <c r="AP157" s="24">
        <f t="shared" si="1332"/>
        <v>0</v>
      </c>
      <c r="AQ157" s="24">
        <f t="shared" si="1332"/>
        <v>0</v>
      </c>
      <c r="AR157" s="24">
        <f t="shared" si="1332"/>
        <v>0</v>
      </c>
      <c r="AS157" s="24">
        <f t="shared" si="1332"/>
        <v>0</v>
      </c>
      <c r="AT157" s="24">
        <f t="shared" si="1332"/>
        <v>0</v>
      </c>
      <c r="AU157" s="24">
        <f t="shared" si="1332"/>
        <v>0</v>
      </c>
      <c r="AV157" s="24">
        <f t="shared" si="1332"/>
        <v>0</v>
      </c>
      <c r="AW157" s="24">
        <f t="shared" si="1332"/>
        <v>0</v>
      </c>
      <c r="AX157" s="24">
        <f t="shared" si="1332"/>
        <v>0</v>
      </c>
      <c r="AY157" s="24">
        <f t="shared" si="1332"/>
        <v>0</v>
      </c>
      <c r="AZ157" s="24">
        <f t="shared" si="1332"/>
        <v>0</v>
      </c>
      <c r="BA157" s="24">
        <f t="shared" si="1332"/>
        <v>0</v>
      </c>
      <c r="BB157" s="24">
        <f t="shared" si="1332"/>
        <v>0</v>
      </c>
      <c r="BC157" s="24">
        <f t="shared" si="1332"/>
        <v>0</v>
      </c>
      <c r="BD157" s="24">
        <f t="shared" si="1332"/>
        <v>0</v>
      </c>
      <c r="BE157" s="24">
        <f t="shared" si="1332"/>
        <v>0</v>
      </c>
      <c r="BF157" s="24">
        <f t="shared" si="1332"/>
        <v>0</v>
      </c>
      <c r="BG157" s="24">
        <f t="shared" si="1332"/>
        <v>0</v>
      </c>
      <c r="BH157" s="24">
        <f t="shared" si="1332"/>
        <v>0</v>
      </c>
      <c r="BI157" s="24">
        <f t="shared" si="1332"/>
        <v>0</v>
      </c>
      <c r="BJ157" s="24">
        <f t="shared" si="1332"/>
        <v>0</v>
      </c>
      <c r="BK157" s="24">
        <f t="shared" si="1332"/>
        <v>0</v>
      </c>
      <c r="BL157" s="24">
        <f t="shared" si="1332"/>
        <v>0</v>
      </c>
      <c r="BM157" s="24">
        <f t="shared" si="1332"/>
        <v>0</v>
      </c>
      <c r="BN157" s="24">
        <f t="shared" si="1332"/>
        <v>0</v>
      </c>
      <c r="BO157" s="24">
        <f t="shared" si="1332"/>
        <v>0</v>
      </c>
      <c r="BP157" s="24">
        <f t="shared" si="1332"/>
        <v>-4635.109062170488</v>
      </c>
      <c r="BQ157" s="24">
        <f t="shared" si="1332"/>
        <v>-4661.2892630479173</v>
      </c>
      <c r="BR157" s="24">
        <f t="shared" si="1332"/>
        <v>-4670.8621351189304</v>
      </c>
      <c r="BS157" s="24">
        <f t="shared" si="1332"/>
        <v>-4680.4547204280489</v>
      </c>
      <c r="BT157" s="24">
        <f t="shared" ref="BT157:CH157" si="1333">SUM(BT153:BT156)</f>
        <v>-4690.0670596607733</v>
      </c>
      <c r="BU157" s="24">
        <f t="shared" si="1333"/>
        <v>-4699.69919358673</v>
      </c>
      <c r="BV157" s="24">
        <f t="shared" si="1333"/>
        <v>-4709.3511630598387</v>
      </c>
      <c r="BW157" s="24">
        <f t="shared" si="1333"/>
        <v>-4719.0230090185005</v>
      </c>
      <c r="BX157" s="24">
        <f t="shared" si="1333"/>
        <v>-4728.7147724857423</v>
      </c>
      <c r="BY157" s="24">
        <f t="shared" si="1333"/>
        <v>-4738.426494569424</v>
      </c>
      <c r="BZ157" s="24">
        <f t="shared" si="1333"/>
        <v>-4748.1582164624097</v>
      </c>
      <c r="CA157" s="24">
        <f t="shared" si="1333"/>
        <v>-4757.9099794427184</v>
      </c>
      <c r="CB157" s="24">
        <f t="shared" si="1333"/>
        <v>-4767.6818248737309</v>
      </c>
      <c r="CC157" s="24">
        <f t="shared" si="1333"/>
        <v>-4777.4737942043439</v>
      </c>
      <c r="CD157" s="24">
        <f t="shared" si="1333"/>
        <v>-4787.2859289691705</v>
      </c>
      <c r="CE157" s="24">
        <f t="shared" si="1333"/>
        <v>-4797.1182707886874</v>
      </c>
      <c r="CF157" s="24">
        <f t="shared" si="1333"/>
        <v>-4806.9708613694429</v>
      </c>
      <c r="CG157" s="24">
        <f t="shared" si="1333"/>
        <v>-4816.8437425042157</v>
      </c>
      <c r="CH157" s="24">
        <f t="shared" si="1333"/>
        <v>-4826.7369560721945</v>
      </c>
      <c r="CI157" s="24">
        <f t="shared" ref="CI157" si="1334">SUM(CI153:CI156)</f>
        <v>-4836.6505440391684</v>
      </c>
      <c r="CJ157" s="24">
        <f t="shared" ref="CJ157:CV157" si="1335">SUM(CJ153:CJ156)</f>
        <v>-4846.5845484576994</v>
      </c>
      <c r="CK157" s="24">
        <f t="shared" si="1335"/>
        <v>-4856.5390114673019</v>
      </c>
      <c r="CL157" s="24">
        <f t="shared" si="1335"/>
        <v>-4866.513975294617</v>
      </c>
      <c r="CM157" s="24">
        <f t="shared" si="1335"/>
        <v>-4876.5094822536075</v>
      </c>
      <c r="CN157" s="24">
        <f t="shared" si="1335"/>
        <v>-4886.5255747457259</v>
      </c>
      <c r="CO157" s="24">
        <f t="shared" si="1335"/>
        <v>-4896.5622952600961</v>
      </c>
      <c r="CP157" s="24">
        <f t="shared" si="1335"/>
        <v>-4906.6196863737041</v>
      </c>
      <c r="CQ157" s="24">
        <f t="shared" si="1335"/>
        <v>-4916.6977907515766</v>
      </c>
      <c r="CR157" s="24">
        <f t="shared" si="1335"/>
        <v>-4926.7966511469531</v>
      </c>
      <c r="CS157" s="24">
        <f t="shared" si="1335"/>
        <v>-4936.9163104014851</v>
      </c>
      <c r="CT157" s="24">
        <f t="shared" si="1335"/>
        <v>-4947.0568114454036</v>
      </c>
      <c r="CU157" s="24">
        <f t="shared" si="1335"/>
        <v>-4957.2181972977169</v>
      </c>
      <c r="CV157" s="24">
        <f t="shared" si="1335"/>
        <v>-4967.4005110663775</v>
      </c>
      <c r="CW157" s="24">
        <f t="shared" ref="CW157:EI157" si="1336">SUM(CW153:CW156)</f>
        <v>-4977.6037959484893</v>
      </c>
      <c r="CX157" s="24">
        <f t="shared" si="1336"/>
        <v>-4987.8280952304649</v>
      </c>
      <c r="CY157" s="24">
        <f t="shared" si="1336"/>
        <v>-4998.0734522882385</v>
      </c>
      <c r="CZ157" s="24">
        <f t="shared" si="1336"/>
        <v>-5008.3399105874187</v>
      </c>
      <c r="DA157" s="24">
        <f t="shared" si="1336"/>
        <v>-5018.6275136835166</v>
      </c>
      <c r="DB157" s="24">
        <f t="shared" si="1336"/>
        <v>-5028.9363052220906</v>
      </c>
      <c r="DC157" s="24">
        <f t="shared" si="1336"/>
        <v>-5039.2663289389557</v>
      </c>
      <c r="DD157" s="24">
        <f t="shared" si="1336"/>
        <v>-5049.6176286603641</v>
      </c>
      <c r="DE157" s="24">
        <f t="shared" si="1336"/>
        <v>-5059.9902483031983</v>
      </c>
      <c r="DF157" s="24">
        <f t="shared" si="1336"/>
        <v>-5070.3842318751485</v>
      </c>
      <c r="DG157" s="24">
        <f t="shared" si="1336"/>
        <v>-5080.7996234749098</v>
      </c>
      <c r="DH157" s="24">
        <f t="shared" si="1336"/>
        <v>-5091.2364672923641</v>
      </c>
      <c r="DI157" s="24">
        <f t="shared" si="1336"/>
        <v>-5101.6948076087765</v>
      </c>
      <c r="DJ157" s="24">
        <f t="shared" si="1336"/>
        <v>-5112.174688796973</v>
      </c>
      <c r="DK157" s="24">
        <f t="shared" si="1336"/>
        <v>-5122.6761553215447</v>
      </c>
      <c r="DL157" s="24">
        <f t="shared" si="1336"/>
        <v>-5133.1992517390263</v>
      </c>
      <c r="DM157" s="24">
        <f t="shared" si="1336"/>
        <v>-5143.7440226980889</v>
      </c>
      <c r="DN157" s="24">
        <f t="shared" si="1336"/>
        <v>-5154.3105129397327</v>
      </c>
      <c r="DO157" s="24">
        <f t="shared" si="1336"/>
        <v>-5164.8987672974827</v>
      </c>
      <c r="DP157" s="24">
        <f t="shared" si="1336"/>
        <v>-5175.5088306975722</v>
      </c>
      <c r="DQ157" s="24">
        <f t="shared" si="1336"/>
        <v>-5186.1407481591368</v>
      </c>
      <c r="DR157" s="24">
        <f t="shared" si="1336"/>
        <v>-5196.794564794408</v>
      </c>
      <c r="DS157" s="24">
        <f t="shared" si="1336"/>
        <v>-5207.4703258089085</v>
      </c>
      <c r="DT157" s="24">
        <f t="shared" si="1336"/>
        <v>-5218.1680765016399</v>
      </c>
      <c r="DU157" s="24">
        <f t="shared" si="1336"/>
        <v>-5228.8878622652828</v>
      </c>
      <c r="DV157" s="24">
        <f t="shared" si="1336"/>
        <v>-5239.6297285863839</v>
      </c>
      <c r="DW157" s="24">
        <f t="shared" si="1336"/>
        <v>-5250.3937210455597</v>
      </c>
      <c r="DX157" s="24">
        <f t="shared" si="1336"/>
        <v>-5261.1798853176751</v>
      </c>
      <c r="DY157" s="24">
        <f t="shared" si="1336"/>
        <v>-5271.9882671720588</v>
      </c>
      <c r="DZ157" s="24">
        <f t="shared" si="1336"/>
        <v>-5282.8189124726841</v>
      </c>
      <c r="EA157" s="24">
        <f t="shared" si="1336"/>
        <v>-5293.6718671783674</v>
      </c>
      <c r="EB157" s="24">
        <f t="shared" si="1336"/>
        <v>-5304.5471773429754</v>
      </c>
      <c r="EC157" s="24">
        <f t="shared" si="1336"/>
        <v>-5315.4448891156026</v>
      </c>
      <c r="ED157" s="24">
        <f t="shared" si="1336"/>
        <v>-5326.3650487407922</v>
      </c>
      <c r="EE157" s="24">
        <f t="shared" si="1336"/>
        <v>-5337.3077025587118</v>
      </c>
      <c r="EF157" s="24">
        <f t="shared" si="1336"/>
        <v>-5348.2728970053613</v>
      </c>
      <c r="EG157" s="24">
        <f t="shared" si="1336"/>
        <v>-5359.2606786127762</v>
      </c>
      <c r="EH157" s="24">
        <f t="shared" si="1336"/>
        <v>-5370.2710940092129</v>
      </c>
      <c r="EI157" s="24">
        <f t="shared" si="1336"/>
        <v>-5381.3041899193631</v>
      </c>
      <c r="EJ157" s="24"/>
      <c r="EK157" s="24"/>
      <c r="EL157" s="24"/>
      <c r="EM157" s="1" t="s">
        <v>191</v>
      </c>
    </row>
    <row r="158" spans="3:143" x14ac:dyDescent="0.45">
      <c r="D158" s="1" t="str">
        <f>H91&amp;" Distributions to LP"</f>
        <v>Hurdle 2 Distributions to LP</v>
      </c>
      <c r="E158" s="24"/>
      <c r="F158" s="24"/>
      <c r="G158" s="24"/>
      <c r="H158" s="24">
        <f t="shared" ref="H158:AM158" si="1337">-MIN(SUM(H153:H154,H156),MAX($J$91*H148,0))</f>
        <v>0</v>
      </c>
      <c r="I158" s="24">
        <f t="shared" si="1337"/>
        <v>0</v>
      </c>
      <c r="J158" s="24">
        <f t="shared" si="1337"/>
        <v>0</v>
      </c>
      <c r="K158" s="24">
        <f t="shared" si="1337"/>
        <v>0</v>
      </c>
      <c r="L158" s="24">
        <f t="shared" si="1337"/>
        <v>0</v>
      </c>
      <c r="M158" s="24">
        <f t="shared" si="1337"/>
        <v>0</v>
      </c>
      <c r="N158" s="24">
        <f t="shared" si="1337"/>
        <v>0</v>
      </c>
      <c r="O158" s="24">
        <f t="shared" si="1337"/>
        <v>0</v>
      </c>
      <c r="P158" s="24">
        <f t="shared" si="1337"/>
        <v>0</v>
      </c>
      <c r="Q158" s="24">
        <f t="shared" si="1337"/>
        <v>0</v>
      </c>
      <c r="R158" s="24">
        <f t="shared" si="1337"/>
        <v>0</v>
      </c>
      <c r="S158" s="24">
        <f t="shared" si="1337"/>
        <v>0</v>
      </c>
      <c r="T158" s="24">
        <f t="shared" si="1337"/>
        <v>0</v>
      </c>
      <c r="U158" s="24">
        <f t="shared" si="1337"/>
        <v>0</v>
      </c>
      <c r="V158" s="24">
        <f t="shared" si="1337"/>
        <v>0</v>
      </c>
      <c r="W158" s="24">
        <f t="shared" si="1337"/>
        <v>0</v>
      </c>
      <c r="X158" s="24">
        <f t="shared" si="1337"/>
        <v>0</v>
      </c>
      <c r="Y158" s="24">
        <f t="shared" si="1337"/>
        <v>0</v>
      </c>
      <c r="Z158" s="24">
        <f t="shared" si="1337"/>
        <v>0</v>
      </c>
      <c r="AA158" s="24">
        <f t="shared" si="1337"/>
        <v>0</v>
      </c>
      <c r="AB158" s="24">
        <f t="shared" si="1337"/>
        <v>0</v>
      </c>
      <c r="AC158" s="24">
        <f t="shared" si="1337"/>
        <v>0</v>
      </c>
      <c r="AD158" s="24">
        <f t="shared" si="1337"/>
        <v>0</v>
      </c>
      <c r="AE158" s="24">
        <f t="shared" si="1337"/>
        <v>0</v>
      </c>
      <c r="AF158" s="24">
        <f t="shared" si="1337"/>
        <v>0</v>
      </c>
      <c r="AG158" s="24">
        <f t="shared" si="1337"/>
        <v>0</v>
      </c>
      <c r="AH158" s="24">
        <f t="shared" si="1337"/>
        <v>0</v>
      </c>
      <c r="AI158" s="24">
        <f t="shared" si="1337"/>
        <v>0</v>
      </c>
      <c r="AJ158" s="24">
        <f t="shared" si="1337"/>
        <v>0</v>
      </c>
      <c r="AK158" s="24">
        <f t="shared" si="1337"/>
        <v>0</v>
      </c>
      <c r="AL158" s="24">
        <f t="shared" si="1337"/>
        <v>0</v>
      </c>
      <c r="AM158" s="24">
        <f t="shared" si="1337"/>
        <v>0</v>
      </c>
      <c r="AN158" s="24">
        <f t="shared" ref="AN158:BS158" si="1338">-MIN(SUM(AN153:AN154,AN156),MAX($J$91*AN148,0))</f>
        <v>-749744.669870832</v>
      </c>
      <c r="AO158" s="24">
        <f t="shared" si="1338"/>
        <v>0</v>
      </c>
      <c r="AP158" s="24">
        <f t="shared" si="1338"/>
        <v>0</v>
      </c>
      <c r="AQ158" s="24">
        <f t="shared" si="1338"/>
        <v>0</v>
      </c>
      <c r="AR158" s="24">
        <f t="shared" si="1338"/>
        <v>0</v>
      </c>
      <c r="AS158" s="24">
        <f t="shared" si="1338"/>
        <v>0</v>
      </c>
      <c r="AT158" s="24">
        <f t="shared" si="1338"/>
        <v>0</v>
      </c>
      <c r="AU158" s="24">
        <f t="shared" si="1338"/>
        <v>0</v>
      </c>
      <c r="AV158" s="24">
        <f t="shared" si="1338"/>
        <v>0</v>
      </c>
      <c r="AW158" s="24">
        <f t="shared" si="1338"/>
        <v>0</v>
      </c>
      <c r="AX158" s="24">
        <f t="shared" si="1338"/>
        <v>0</v>
      </c>
      <c r="AY158" s="24">
        <f t="shared" si="1338"/>
        <v>0</v>
      </c>
      <c r="AZ158" s="24">
        <f t="shared" si="1338"/>
        <v>0</v>
      </c>
      <c r="BA158" s="24">
        <f t="shared" si="1338"/>
        <v>0</v>
      </c>
      <c r="BB158" s="24">
        <f t="shared" si="1338"/>
        <v>0</v>
      </c>
      <c r="BC158" s="24">
        <f t="shared" si="1338"/>
        <v>0</v>
      </c>
      <c r="BD158" s="24">
        <f t="shared" si="1338"/>
        <v>0</v>
      </c>
      <c r="BE158" s="24">
        <f t="shared" si="1338"/>
        <v>0</v>
      </c>
      <c r="BF158" s="24">
        <f t="shared" si="1338"/>
        <v>0</v>
      </c>
      <c r="BG158" s="24">
        <f t="shared" si="1338"/>
        <v>0</v>
      </c>
      <c r="BH158" s="24">
        <f t="shared" si="1338"/>
        <v>0</v>
      </c>
      <c r="BI158" s="24">
        <f t="shared" si="1338"/>
        <v>0</v>
      </c>
      <c r="BJ158" s="24">
        <f t="shared" si="1338"/>
        <v>0</v>
      </c>
      <c r="BK158" s="24">
        <f t="shared" si="1338"/>
        <v>0</v>
      </c>
      <c r="BL158" s="24">
        <f t="shared" si="1338"/>
        <v>0</v>
      </c>
      <c r="BM158" s="24">
        <f t="shared" si="1338"/>
        <v>0</v>
      </c>
      <c r="BN158" s="24">
        <f t="shared" si="1338"/>
        <v>0</v>
      </c>
      <c r="BO158" s="24">
        <f t="shared" si="1338"/>
        <v>0</v>
      </c>
      <c r="BP158" s="24">
        <f t="shared" si="1338"/>
        <v>0</v>
      </c>
      <c r="BQ158" s="24">
        <f t="shared" si="1338"/>
        <v>16.661147872549009</v>
      </c>
      <c r="BR158" s="24">
        <f t="shared" si="1338"/>
        <v>16.695364618604799</v>
      </c>
      <c r="BS158" s="24">
        <f t="shared" si="1338"/>
        <v>16.729651826250119</v>
      </c>
      <c r="BT158" s="24">
        <f t="shared" ref="BT158:CY158" si="1339">-MIN(SUM(BT153:BT154,BT156),MAX($J$91*BT148,0))</f>
        <v>16.764009640908625</v>
      </c>
      <c r="BU158" s="24">
        <f t="shared" si="1339"/>
        <v>16.798438208303196</v>
      </c>
      <c r="BV158" s="24">
        <f t="shared" si="1339"/>
        <v>16.832937674455934</v>
      </c>
      <c r="BW158" s="24">
        <f t="shared" si="1339"/>
        <v>16.867508185701809</v>
      </c>
      <c r="BX158" s="24">
        <f t="shared" si="1339"/>
        <v>16.90214988866137</v>
      </c>
      <c r="BY158" s="24">
        <f t="shared" si="1339"/>
        <v>16.936862930268944</v>
      </c>
      <c r="BZ158" s="24">
        <f t="shared" si="1339"/>
        <v>16.971647457765357</v>
      </c>
      <c r="CA158" s="24">
        <f t="shared" si="1339"/>
        <v>17.006503618685201</v>
      </c>
      <c r="CB158" s="24">
        <f t="shared" si="1339"/>
        <v>17.041431560879573</v>
      </c>
      <c r="CC158" s="24">
        <f t="shared" si="1339"/>
        <v>17.076431432494246</v>
      </c>
      <c r="CD158" s="24">
        <f t="shared" si="1339"/>
        <v>17.111503381993316</v>
      </c>
      <c r="CE158" s="24">
        <f t="shared" si="1339"/>
        <v>17.146647558136465</v>
      </c>
      <c r="CF158" s="24">
        <f t="shared" si="1339"/>
        <v>17.18186410999806</v>
      </c>
      <c r="CG158" s="24">
        <f t="shared" si="1339"/>
        <v>17.217153186958967</v>
      </c>
      <c r="CH158" s="24">
        <f t="shared" si="1339"/>
        <v>17.252514938708373</v>
      </c>
      <c r="CI158" s="24">
        <f t="shared" si="1339"/>
        <v>17.287949515243781</v>
      </c>
      <c r="CJ158" s="24">
        <f t="shared" si="1339"/>
        <v>17.323457066874653</v>
      </c>
      <c r="CK158" s="24">
        <f t="shared" si="1339"/>
        <v>17.359037744223315</v>
      </c>
      <c r="CL158" s="24">
        <f t="shared" si="1339"/>
        <v>17.394691698219503</v>
      </c>
      <c r="CM158" s="24">
        <f t="shared" si="1339"/>
        <v>17.430419080104912</v>
      </c>
      <c r="CN158" s="24">
        <f t="shared" si="1339"/>
        <v>17.466220041440465</v>
      </c>
      <c r="CO158" s="24">
        <f t="shared" si="1339"/>
        <v>17.50209473409177</v>
      </c>
      <c r="CP158" s="24">
        <f t="shared" si="1339"/>
        <v>17.538043310239118</v>
      </c>
      <c r="CQ158" s="24">
        <f t="shared" si="1339"/>
        <v>17.574065922389309</v>
      </c>
      <c r="CR158" s="24">
        <f t="shared" si="1339"/>
        <v>17.610162723348367</v>
      </c>
      <c r="CS158" s="24">
        <f t="shared" si="1339"/>
        <v>17.646333866250643</v>
      </c>
      <c r="CT158" s="24">
        <f t="shared" si="1339"/>
        <v>17.682579504539717</v>
      </c>
      <c r="CU158" s="24">
        <f t="shared" si="1339"/>
        <v>17.718899791982039</v>
      </c>
      <c r="CV158" s="24">
        <f t="shared" si="1339"/>
        <v>17.75529488265056</v>
      </c>
      <c r="CW158" s="24">
        <f t="shared" si="1339"/>
        <v>17.791764930959289</v>
      </c>
      <c r="CX158" s="24">
        <f t="shared" si="1339"/>
        <v>17.828310091614185</v>
      </c>
      <c r="CY158" s="24">
        <f t="shared" si="1339"/>
        <v>17.864930519664995</v>
      </c>
      <c r="CZ158" s="24">
        <f t="shared" ref="CZ158:EI158" si="1340">-MIN(SUM(CZ153:CZ154,CZ156),MAX($J$91*CZ148,0))</f>
        <v>17.901626370461599</v>
      </c>
      <c r="DA158" s="24">
        <f t="shared" si="1340"/>
        <v>17.938397799691302</v>
      </c>
      <c r="DB158" s="24">
        <f t="shared" si="1340"/>
        <v>17.975244963357</v>
      </c>
      <c r="DC158" s="24">
        <f t="shared" si="1340"/>
        <v>18.012168017782642</v>
      </c>
      <c r="DD158" s="24">
        <f t="shared" si="1340"/>
        <v>18.049167119615959</v>
      </c>
      <c r="DE158" s="24">
        <f t="shared" si="1340"/>
        <v>18.086242425832097</v>
      </c>
      <c r="DF158" s="24">
        <f t="shared" si="1340"/>
        <v>18.123394093726347</v>
      </c>
      <c r="DG158" s="24">
        <f t="shared" si="1340"/>
        <v>18.160622280923235</v>
      </c>
      <c r="DH158" s="24">
        <f t="shared" si="1340"/>
        <v>18.197927145370159</v>
      </c>
      <c r="DI158" s="24">
        <f t="shared" si="1340"/>
        <v>18.235308845343752</v>
      </c>
      <c r="DJ158" s="24">
        <f t="shared" si="1340"/>
        <v>18.272767539443521</v>
      </c>
      <c r="DK158" s="24">
        <f t="shared" si="1340"/>
        <v>18.310303386602754</v>
      </c>
      <c r="DL158" s="24">
        <f t="shared" si="1340"/>
        <v>18.347916546079432</v>
      </c>
      <c r="DM158" s="24">
        <f t="shared" si="1340"/>
        <v>18.385607177462589</v>
      </c>
      <c r="DN158" s="24">
        <f t="shared" si="1340"/>
        <v>18.42337544066686</v>
      </c>
      <c r="DO158" s="24">
        <f t="shared" si="1340"/>
        <v>18.46122149594612</v>
      </c>
      <c r="DP158" s="24">
        <f t="shared" si="1340"/>
        <v>18.499145503878026</v>
      </c>
      <c r="DQ158" s="24">
        <f t="shared" si="1340"/>
        <v>18.537147625377656</v>
      </c>
      <c r="DR158" s="24">
        <f t="shared" si="1340"/>
        <v>18.575228021688417</v>
      </c>
      <c r="DS158" s="24">
        <f t="shared" si="1340"/>
        <v>18.613386854390228</v>
      </c>
      <c r="DT158" s="24">
        <f t="shared" si="1340"/>
        <v>18.651624285393154</v>
      </c>
      <c r="DU158" s="24">
        <f t="shared" si="1340"/>
        <v>18.689940476948323</v>
      </c>
      <c r="DV158" s="24">
        <f t="shared" si="1340"/>
        <v>18.728335591634277</v>
      </c>
      <c r="DW158" s="24">
        <f t="shared" si="1340"/>
        <v>18.766809792377899</v>
      </c>
      <c r="DX158" s="24">
        <f t="shared" si="1340"/>
        <v>18.805363242429848</v>
      </c>
      <c r="DY158" s="24">
        <f t="shared" si="1340"/>
        <v>18.843996105386395</v>
      </c>
      <c r="DZ158" s="24">
        <f t="shared" si="1340"/>
        <v>18.882708545177593</v>
      </c>
      <c r="EA158" s="24">
        <f t="shared" si="1340"/>
        <v>18.921500726076374</v>
      </c>
      <c r="EB158" s="24">
        <f t="shared" si="1340"/>
        <v>18.960372812694004</v>
      </c>
      <c r="EC158" s="24">
        <f t="shared" si="1340"/>
        <v>18.999324969978261</v>
      </c>
      <c r="ED158" s="24">
        <f t="shared" si="1340"/>
        <v>19.038357363226169</v>
      </c>
      <c r="EE158" s="24">
        <f t="shared" si="1340"/>
        <v>19.077470158072174</v>
      </c>
      <c r="EF158" s="24">
        <f t="shared" si="1340"/>
        <v>19.116663520489965</v>
      </c>
      <c r="EG158" s="24">
        <f t="shared" si="1340"/>
        <v>19.155937616800657</v>
      </c>
      <c r="EH158" s="24">
        <f t="shared" si="1340"/>
        <v>19.195292613670063</v>
      </c>
      <c r="EI158" s="24">
        <f t="shared" si="1340"/>
        <v>19.234728678103238</v>
      </c>
      <c r="EJ158" s="24"/>
      <c r="EK158" s="24"/>
      <c r="EL158" s="24"/>
      <c r="EM158" s="1" t="s">
        <v>191</v>
      </c>
    </row>
    <row r="159" spans="3:143" x14ac:dyDescent="0.45">
      <c r="D159" s="1" t="s">
        <v>209</v>
      </c>
      <c r="E159" s="24"/>
      <c r="F159" s="24"/>
      <c r="G159" s="24">
        <f>-G155</f>
        <v>5651390.8349986859</v>
      </c>
      <c r="H159" s="24">
        <f t="shared" ref="H159:BS159" si="1341">SUM(H157:H158)</f>
        <v>5715565.225910116</v>
      </c>
      <c r="I159" s="24">
        <f t="shared" si="1341"/>
        <v>5678596.771132879</v>
      </c>
      <c r="J159" s="24">
        <f t="shared" si="1341"/>
        <v>5636570.3919379367</v>
      </c>
      <c r="K159" s="24">
        <f t="shared" si="1341"/>
        <v>5589389.7862262968</v>
      </c>
      <c r="L159" s="24">
        <f t="shared" si="1341"/>
        <v>5496585.2073089555</v>
      </c>
      <c r="M159" s="24">
        <f t="shared" si="1341"/>
        <v>5416442.7272182982</v>
      </c>
      <c r="N159" s="24">
        <f t="shared" si="1341"/>
        <v>5375195.2273325864</v>
      </c>
      <c r="O159" s="24">
        <f t="shared" si="1341"/>
        <v>5335948.7851604298</v>
      </c>
      <c r="P159" s="24">
        <f t="shared" si="1341"/>
        <v>5298744.684634597</v>
      </c>
      <c r="Q159" s="24">
        <f t="shared" si="1341"/>
        <v>5258624.8746559145</v>
      </c>
      <c r="R159" s="24">
        <f t="shared" si="1341"/>
        <v>5225555.4320120635</v>
      </c>
      <c r="S159" s="24">
        <f t="shared" si="1341"/>
        <v>5195655.0419644108</v>
      </c>
      <c r="T159" s="24">
        <f t="shared" si="1341"/>
        <v>5167983.0021073986</v>
      </c>
      <c r="U159" s="24">
        <f t="shared" si="1341"/>
        <v>5142584.2416780032</v>
      </c>
      <c r="V159" s="24">
        <f t="shared" si="1341"/>
        <v>5119504.411146218</v>
      </c>
      <c r="W159" s="24">
        <f t="shared" si="1341"/>
        <v>5098789.8933489202</v>
      </c>
      <c r="X159" s="24">
        <f t="shared" si="1341"/>
        <v>5080487.8147944296</v>
      </c>
      <c r="Y159" s="24">
        <f t="shared" si="1341"/>
        <v>5064646.0571403708</v>
      </c>
      <c r="Z159" s="24">
        <f t="shared" si="1341"/>
        <v>5051313.2688475</v>
      </c>
      <c r="AA159" s="24">
        <f t="shared" si="1341"/>
        <v>5040538.877012183</v>
      </c>
      <c r="AB159" s="24">
        <f t="shared" si="1341"/>
        <v>5032373.0993802669</v>
      </c>
      <c r="AC159" s="24">
        <f t="shared" si="1341"/>
        <v>5026866.9565451164</v>
      </c>
      <c r="AD159" s="24">
        <f t="shared" si="1341"/>
        <v>5024072.2843326414</v>
      </c>
      <c r="AE159" s="24">
        <f t="shared" si="1341"/>
        <v>4789741.7463761726</v>
      </c>
      <c r="AF159" s="24">
        <f t="shared" si="1341"/>
        <v>4837401.573315924</v>
      </c>
      <c r="AG159" s="24">
        <f t="shared" si="1341"/>
        <v>4882908.9646149036</v>
      </c>
      <c r="AH159" s="24">
        <f t="shared" si="1341"/>
        <v>4926219.5057123862</v>
      </c>
      <c r="AI159" s="24">
        <f t="shared" si="1341"/>
        <v>4962221.7468702346</v>
      </c>
      <c r="AJ159" s="24">
        <f t="shared" si="1341"/>
        <v>4990771.3982150489</v>
      </c>
      <c r="AK159" s="24">
        <f t="shared" si="1341"/>
        <v>5011721.8608137397</v>
      </c>
      <c r="AL159" s="24">
        <f t="shared" si="1341"/>
        <v>5032655.6194814974</v>
      </c>
      <c r="AM159" s="24">
        <f t="shared" si="1341"/>
        <v>5053571.6884289868</v>
      </c>
      <c r="AN159" s="24">
        <f t="shared" si="1341"/>
        <v>0</v>
      </c>
      <c r="AO159" s="24">
        <f t="shared" si="1341"/>
        <v>0</v>
      </c>
      <c r="AP159" s="24">
        <f t="shared" si="1341"/>
        <v>0</v>
      </c>
      <c r="AQ159" s="24">
        <f t="shared" si="1341"/>
        <v>0</v>
      </c>
      <c r="AR159" s="24">
        <f t="shared" si="1341"/>
        <v>0</v>
      </c>
      <c r="AS159" s="24">
        <f t="shared" si="1341"/>
        <v>0</v>
      </c>
      <c r="AT159" s="24">
        <f t="shared" si="1341"/>
        <v>0</v>
      </c>
      <c r="AU159" s="24">
        <f t="shared" si="1341"/>
        <v>0</v>
      </c>
      <c r="AV159" s="24">
        <f t="shared" si="1341"/>
        <v>0</v>
      </c>
      <c r="AW159" s="24">
        <f t="shared" si="1341"/>
        <v>0</v>
      </c>
      <c r="AX159" s="24">
        <f t="shared" si="1341"/>
        <v>0</v>
      </c>
      <c r="AY159" s="24">
        <f t="shared" si="1341"/>
        <v>0</v>
      </c>
      <c r="AZ159" s="24">
        <f t="shared" si="1341"/>
        <v>0</v>
      </c>
      <c r="BA159" s="24">
        <f t="shared" si="1341"/>
        <v>0</v>
      </c>
      <c r="BB159" s="24">
        <f t="shared" si="1341"/>
        <v>0</v>
      </c>
      <c r="BC159" s="24">
        <f t="shared" si="1341"/>
        <v>0</v>
      </c>
      <c r="BD159" s="24">
        <f t="shared" si="1341"/>
        <v>0</v>
      </c>
      <c r="BE159" s="24">
        <f t="shared" si="1341"/>
        <v>0</v>
      </c>
      <c r="BF159" s="24">
        <f t="shared" si="1341"/>
        <v>0</v>
      </c>
      <c r="BG159" s="24">
        <f t="shared" si="1341"/>
        <v>0</v>
      </c>
      <c r="BH159" s="24">
        <f t="shared" si="1341"/>
        <v>0</v>
      </c>
      <c r="BI159" s="24">
        <f t="shared" si="1341"/>
        <v>0</v>
      </c>
      <c r="BJ159" s="24">
        <f t="shared" si="1341"/>
        <v>0</v>
      </c>
      <c r="BK159" s="24">
        <f t="shared" si="1341"/>
        <v>0</v>
      </c>
      <c r="BL159" s="24">
        <f t="shared" si="1341"/>
        <v>0</v>
      </c>
      <c r="BM159" s="24">
        <f t="shared" si="1341"/>
        <v>0</v>
      </c>
      <c r="BN159" s="24">
        <f t="shared" si="1341"/>
        <v>0</v>
      </c>
      <c r="BO159" s="24">
        <f t="shared" si="1341"/>
        <v>0</v>
      </c>
      <c r="BP159" s="24">
        <f t="shared" si="1341"/>
        <v>-4635.109062170488</v>
      </c>
      <c r="BQ159" s="24">
        <f t="shared" si="1341"/>
        <v>-4644.6281151753683</v>
      </c>
      <c r="BR159" s="24">
        <f t="shared" si="1341"/>
        <v>-4654.1667705003256</v>
      </c>
      <c r="BS159" s="24">
        <f t="shared" si="1341"/>
        <v>-4663.7250686017987</v>
      </c>
      <c r="BT159" s="24">
        <f t="shared" ref="BT159:CH159" si="1342">SUM(BT157:BT158)</f>
        <v>-4673.3030500198647</v>
      </c>
      <c r="BU159" s="24">
        <f t="shared" si="1342"/>
        <v>-4682.9007553784268</v>
      </c>
      <c r="BV159" s="24">
        <f t="shared" si="1342"/>
        <v>-4692.5182253853827</v>
      </c>
      <c r="BW159" s="24">
        <f t="shared" si="1342"/>
        <v>-4702.1555008327987</v>
      </c>
      <c r="BX159" s="24">
        <f t="shared" si="1342"/>
        <v>-4711.8126225970809</v>
      </c>
      <c r="BY159" s="24">
        <f t="shared" si="1342"/>
        <v>-4721.489631639155</v>
      </c>
      <c r="BZ159" s="24">
        <f t="shared" si="1342"/>
        <v>-4731.1865690046443</v>
      </c>
      <c r="CA159" s="24">
        <f t="shared" si="1342"/>
        <v>-4740.9034758240332</v>
      </c>
      <c r="CB159" s="24">
        <f t="shared" si="1342"/>
        <v>-4750.6403933128513</v>
      </c>
      <c r="CC159" s="24">
        <f t="shared" si="1342"/>
        <v>-4760.3973627718497</v>
      </c>
      <c r="CD159" s="24">
        <f t="shared" si="1342"/>
        <v>-4770.1744255871772</v>
      </c>
      <c r="CE159" s="24">
        <f t="shared" si="1342"/>
        <v>-4779.9716232305509</v>
      </c>
      <c r="CF159" s="24">
        <f t="shared" si="1342"/>
        <v>-4789.7889972594448</v>
      </c>
      <c r="CG159" s="24">
        <f t="shared" si="1342"/>
        <v>-4799.6265893172567</v>
      </c>
      <c r="CH159" s="24">
        <f t="shared" si="1342"/>
        <v>-4809.4844411334861</v>
      </c>
      <c r="CI159" s="24">
        <f>SUM(CI157:CI158)</f>
        <v>-4819.3625945239246</v>
      </c>
      <c r="CJ159" s="24">
        <f t="shared" ref="CJ159:CV159" si="1343">SUM(CJ157:CJ158)</f>
        <v>-4829.2610913908247</v>
      </c>
      <c r="CK159" s="24">
        <f t="shared" si="1343"/>
        <v>-4839.1799737230785</v>
      </c>
      <c r="CL159" s="24">
        <f t="shared" si="1343"/>
        <v>-4849.1192835963975</v>
      </c>
      <c r="CM159" s="24">
        <f t="shared" si="1343"/>
        <v>-4859.0790631735026</v>
      </c>
      <c r="CN159" s="24">
        <f t="shared" si="1343"/>
        <v>-4869.0593547042854</v>
      </c>
      <c r="CO159" s="24">
        <f t="shared" si="1343"/>
        <v>-4879.0602005260043</v>
      </c>
      <c r="CP159" s="24">
        <f t="shared" si="1343"/>
        <v>-4889.081643063465</v>
      </c>
      <c r="CQ159" s="24">
        <f t="shared" si="1343"/>
        <v>-4899.1237248291873</v>
      </c>
      <c r="CR159" s="24">
        <f t="shared" si="1343"/>
        <v>-4909.1864884236047</v>
      </c>
      <c r="CS159" s="24">
        <f t="shared" si="1343"/>
        <v>-4919.2699765352345</v>
      </c>
      <c r="CT159" s="24">
        <f t="shared" si="1343"/>
        <v>-4929.3742319408639</v>
      </c>
      <c r="CU159" s="24">
        <f t="shared" si="1343"/>
        <v>-4939.4992975057348</v>
      </c>
      <c r="CV159" s="24">
        <f t="shared" si="1343"/>
        <v>-4949.6452161837269</v>
      </c>
      <c r="CW159" s="24">
        <f t="shared" ref="CW159:EI159" si="1344">SUM(CW157:CW158)</f>
        <v>-4959.81203101753</v>
      </c>
      <c r="CX159" s="24">
        <f t="shared" si="1344"/>
        <v>-4969.9997851388507</v>
      </c>
      <c r="CY159" s="24">
        <f t="shared" si="1344"/>
        <v>-4980.2085217685735</v>
      </c>
      <c r="CZ159" s="24">
        <f t="shared" si="1344"/>
        <v>-4990.4382842169571</v>
      </c>
      <c r="DA159" s="24">
        <f t="shared" si="1344"/>
        <v>-5000.6891158838253</v>
      </c>
      <c r="DB159" s="24">
        <f t="shared" si="1344"/>
        <v>-5010.9610602587336</v>
      </c>
      <c r="DC159" s="24">
        <f t="shared" si="1344"/>
        <v>-5021.254160921173</v>
      </c>
      <c r="DD159" s="24">
        <f t="shared" si="1344"/>
        <v>-5031.5684615407481</v>
      </c>
      <c r="DE159" s="24">
        <f t="shared" si="1344"/>
        <v>-5041.9040058773662</v>
      </c>
      <c r="DF159" s="24">
        <f t="shared" si="1344"/>
        <v>-5052.2608377814222</v>
      </c>
      <c r="DG159" s="24">
        <f t="shared" si="1344"/>
        <v>-5062.6390011939866</v>
      </c>
      <c r="DH159" s="24">
        <f t="shared" si="1344"/>
        <v>-5073.0385401469939</v>
      </c>
      <c r="DI159" s="24">
        <f t="shared" si="1344"/>
        <v>-5083.4594987634327</v>
      </c>
      <c r="DJ159" s="24">
        <f t="shared" si="1344"/>
        <v>-5093.9019212575295</v>
      </c>
      <c r="DK159" s="24">
        <f t="shared" si="1344"/>
        <v>-5104.3658519349419</v>
      </c>
      <c r="DL159" s="24">
        <f t="shared" si="1344"/>
        <v>-5114.8513351929469</v>
      </c>
      <c r="DM159" s="24">
        <f t="shared" si="1344"/>
        <v>-5125.3584155206263</v>
      </c>
      <c r="DN159" s="24">
        <f t="shared" si="1344"/>
        <v>-5135.8871374990658</v>
      </c>
      <c r="DO159" s="24">
        <f t="shared" si="1344"/>
        <v>-5146.4375458015365</v>
      </c>
      <c r="DP159" s="24">
        <f t="shared" si="1344"/>
        <v>-5157.0096851936942</v>
      </c>
      <c r="DQ159" s="24">
        <f t="shared" si="1344"/>
        <v>-5167.6036005337592</v>
      </c>
      <c r="DR159" s="24">
        <f t="shared" si="1344"/>
        <v>-5178.2193367727195</v>
      </c>
      <c r="DS159" s="24">
        <f t="shared" si="1344"/>
        <v>-5188.8569389545182</v>
      </c>
      <c r="DT159" s="24">
        <f t="shared" si="1344"/>
        <v>-5199.5164522162468</v>
      </c>
      <c r="DU159" s="24">
        <f t="shared" si="1344"/>
        <v>-5210.1979217883345</v>
      </c>
      <c r="DV159" s="24">
        <f t="shared" si="1344"/>
        <v>-5220.9013929947496</v>
      </c>
      <c r="DW159" s="24">
        <f t="shared" si="1344"/>
        <v>-5231.6269112531818</v>
      </c>
      <c r="DX159" s="24">
        <f t="shared" si="1344"/>
        <v>-5242.3745220752453</v>
      </c>
      <c r="DY159" s="24">
        <f t="shared" si="1344"/>
        <v>-5253.1442710666724</v>
      </c>
      <c r="DZ159" s="24">
        <f t="shared" si="1344"/>
        <v>-5263.9362039275065</v>
      </c>
      <c r="EA159" s="24">
        <f t="shared" si="1344"/>
        <v>-5274.750366452291</v>
      </c>
      <c r="EB159" s="24">
        <f t="shared" si="1344"/>
        <v>-5285.5868045302814</v>
      </c>
      <c r="EC159" s="24">
        <f t="shared" si="1344"/>
        <v>-5296.4455641456243</v>
      </c>
      <c r="ED159" s="24">
        <f t="shared" si="1344"/>
        <v>-5307.326691377566</v>
      </c>
      <c r="EE159" s="24">
        <f t="shared" si="1344"/>
        <v>-5318.2302324006396</v>
      </c>
      <c r="EF159" s="24">
        <f t="shared" si="1344"/>
        <v>-5329.1562334848713</v>
      </c>
      <c r="EG159" s="24">
        <f t="shared" si="1344"/>
        <v>-5340.1047409959756</v>
      </c>
      <c r="EH159" s="24">
        <f t="shared" si="1344"/>
        <v>-5351.0758013955428</v>
      </c>
      <c r="EI159" s="24">
        <f t="shared" si="1344"/>
        <v>-5362.0694612412599</v>
      </c>
      <c r="EJ159" s="24"/>
      <c r="EK159" s="24"/>
      <c r="EL159" s="24"/>
      <c r="EM159" s="1" t="s">
        <v>191</v>
      </c>
    </row>
    <row r="160" spans="3:143" x14ac:dyDescent="0.45"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4"/>
      <c r="BZ160" s="24"/>
      <c r="CA160" s="24"/>
      <c r="CB160" s="24"/>
      <c r="CC160" s="24"/>
      <c r="CD160" s="24"/>
      <c r="CE160" s="24"/>
      <c r="CF160" s="24"/>
      <c r="CG160" s="24"/>
      <c r="CH160" s="24"/>
      <c r="CI160" s="24"/>
      <c r="CJ160" s="24"/>
      <c r="CK160" s="24"/>
      <c r="CL160" s="24"/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C160" s="24"/>
      <c r="DD160" s="24"/>
      <c r="DE160" s="24"/>
      <c r="DF160" s="24"/>
      <c r="DG160" s="24"/>
      <c r="DH160" s="24"/>
      <c r="DI160" s="24"/>
      <c r="DJ160" s="24"/>
      <c r="DK160" s="24"/>
      <c r="DL160" s="24"/>
      <c r="DM160" s="24"/>
      <c r="DN160" s="24"/>
      <c r="DO160" s="24"/>
      <c r="DP160" s="24"/>
      <c r="DQ160" s="24"/>
      <c r="DR160" s="24"/>
      <c r="DS160" s="24"/>
      <c r="DT160" s="24"/>
      <c r="DU160" s="24"/>
      <c r="DV160" s="24"/>
      <c r="DW160" s="24"/>
      <c r="DX160" s="24"/>
      <c r="DY160" s="24"/>
      <c r="DZ160" s="24"/>
      <c r="EA160" s="24"/>
      <c r="EB160" s="24"/>
      <c r="EC160" s="24"/>
      <c r="ED160" s="24"/>
      <c r="EE160" s="24"/>
      <c r="EF160" s="24"/>
      <c r="EG160" s="24"/>
      <c r="EH160" s="24"/>
      <c r="EI160" s="24"/>
      <c r="EJ160" s="24"/>
      <c r="EK160" s="24"/>
      <c r="EL160" s="24"/>
      <c r="EM160" s="1" t="s">
        <v>191</v>
      </c>
    </row>
    <row r="161" spans="4:143" x14ac:dyDescent="0.45">
      <c r="D161" s="1" t="s">
        <v>195</v>
      </c>
      <c r="E161" s="163" t="e">
        <f>XIRR(G161:EI161,$G$2:$EI$2)</f>
        <v>#NUM!</v>
      </c>
      <c r="F161" s="24"/>
      <c r="G161" s="24">
        <f>+G155-G156-G158</f>
        <v>-5651390.8349986859</v>
      </c>
      <c r="H161" s="24">
        <f t="shared" ref="H161:BS161" si="1345">+H155-H156-H158</f>
        <v>-22345.410359434267</v>
      </c>
      <c r="I161" s="24">
        <f t="shared" si="1345"/>
        <v>-124470.73199259791</v>
      </c>
      <c r="J161" s="24">
        <f t="shared" si="1345"/>
        <v>-128962.68894246993</v>
      </c>
      <c r="K161" s="24">
        <f t="shared" si="1345"/>
        <v>-133473.51384667229</v>
      </c>
      <c r="L161" s="24">
        <f t="shared" si="1345"/>
        <v>-178375.17696107196</v>
      </c>
      <c r="M161" s="24">
        <f t="shared" si="1345"/>
        <v>-164292.28917121224</v>
      </c>
      <c r="N161" s="24">
        <f t="shared" si="1345"/>
        <v>-124170.37003154399</v>
      </c>
      <c r="O161" s="24">
        <f t="shared" si="1345"/>
        <v>-121537.83493530095</v>
      </c>
      <c r="P161" s="24">
        <f t="shared" si="1345"/>
        <v>-118894.65104032315</v>
      </c>
      <c r="Q161" s="24">
        <f t="shared" si="1345"/>
        <v>-121240.78541370273</v>
      </c>
      <c r="R161" s="24">
        <f t="shared" si="1345"/>
        <v>-113576.20503154901</v>
      </c>
      <c r="S161" s="24">
        <f t="shared" si="1345"/>
        <v>-109900.87677875203</v>
      </c>
      <c r="T161" s="24">
        <f t="shared" si="1345"/>
        <v>-107214.76744874577</v>
      </c>
      <c r="U161" s="24">
        <f t="shared" si="1345"/>
        <v>-104517.8437432709</v>
      </c>
      <c r="V161" s="24">
        <f t="shared" si="1345"/>
        <v>-101810.07227213717</v>
      </c>
      <c r="W161" s="24">
        <f t="shared" si="1345"/>
        <v>-99091.419552984415</v>
      </c>
      <c r="X161" s="24">
        <f t="shared" si="1345"/>
        <v>-96361.852011043797</v>
      </c>
      <c r="Y161" s="24">
        <f t="shared" si="1345"/>
        <v>-93621.335978898205</v>
      </c>
      <c r="Z161" s="24">
        <f t="shared" si="1345"/>
        <v>-90869.837696241666</v>
      </c>
      <c r="AA161" s="24">
        <f t="shared" si="1345"/>
        <v>-88107.323309638581</v>
      </c>
      <c r="AB161" s="24">
        <f t="shared" si="1345"/>
        <v>-85333.758872282473</v>
      </c>
      <c r="AC161" s="24">
        <f t="shared" si="1345"/>
        <v>-82549.110343753608</v>
      </c>
      <c r="AD161" s="24">
        <f t="shared" si="1345"/>
        <v>-79753.343589776443</v>
      </c>
      <c r="AE161" s="24">
        <f t="shared" si="1345"/>
        <v>-311246.42438197631</v>
      </c>
      <c r="AF161" s="24">
        <f t="shared" si="1345"/>
        <v>25668.583027726221</v>
      </c>
      <c r="AG161" s="24">
        <f t="shared" si="1345"/>
        <v>28550.66538305394</v>
      </c>
      <c r="AH161" s="24">
        <f t="shared" si="1345"/>
        <v>31444.2096491624</v>
      </c>
      <c r="AI161" s="24">
        <f t="shared" si="1345"/>
        <v>39415.571040055671</v>
      </c>
      <c r="AJ161" s="24">
        <f t="shared" si="1345"/>
        <v>47419.336102020112</v>
      </c>
      <c r="AK161" s="24">
        <f t="shared" si="1345"/>
        <v>55455.604893184682</v>
      </c>
      <c r="AL161" s="24">
        <f t="shared" si="1345"/>
        <v>55793.049313228512</v>
      </c>
      <c r="AM161" s="24">
        <f t="shared" si="1345"/>
        <v>56131.223794269295</v>
      </c>
      <c r="AN161" s="24">
        <f t="shared" si="1345"/>
        <v>5130939.1951112673</v>
      </c>
      <c r="AO161" s="24">
        <f t="shared" si="1345"/>
        <v>0</v>
      </c>
      <c r="AP161" s="24">
        <f t="shared" si="1345"/>
        <v>0</v>
      </c>
      <c r="AQ161" s="24">
        <f t="shared" si="1345"/>
        <v>0</v>
      </c>
      <c r="AR161" s="24">
        <f t="shared" si="1345"/>
        <v>0</v>
      </c>
      <c r="AS161" s="24">
        <f t="shared" si="1345"/>
        <v>0</v>
      </c>
      <c r="AT161" s="24">
        <f t="shared" si="1345"/>
        <v>0</v>
      </c>
      <c r="AU161" s="24">
        <f t="shared" si="1345"/>
        <v>0</v>
      </c>
      <c r="AV161" s="24">
        <f t="shared" si="1345"/>
        <v>0</v>
      </c>
      <c r="AW161" s="24">
        <f t="shared" si="1345"/>
        <v>0</v>
      </c>
      <c r="AX161" s="24">
        <f t="shared" si="1345"/>
        <v>0</v>
      </c>
      <c r="AY161" s="24">
        <f t="shared" si="1345"/>
        <v>0</v>
      </c>
      <c r="AZ161" s="24">
        <f t="shared" si="1345"/>
        <v>0</v>
      </c>
      <c r="BA161" s="24">
        <f t="shared" si="1345"/>
        <v>0</v>
      </c>
      <c r="BB161" s="24">
        <f t="shared" si="1345"/>
        <v>0</v>
      </c>
      <c r="BC161" s="24">
        <f t="shared" si="1345"/>
        <v>0</v>
      </c>
      <c r="BD161" s="24">
        <f t="shared" si="1345"/>
        <v>0</v>
      </c>
      <c r="BE161" s="24">
        <f t="shared" si="1345"/>
        <v>0</v>
      </c>
      <c r="BF161" s="24">
        <f t="shared" si="1345"/>
        <v>0</v>
      </c>
      <c r="BG161" s="24">
        <f t="shared" si="1345"/>
        <v>0</v>
      </c>
      <c r="BH161" s="24">
        <f t="shared" si="1345"/>
        <v>0</v>
      </c>
      <c r="BI161" s="24">
        <f t="shared" si="1345"/>
        <v>0</v>
      </c>
      <c r="BJ161" s="24">
        <f t="shared" si="1345"/>
        <v>0</v>
      </c>
      <c r="BK161" s="24">
        <f t="shared" si="1345"/>
        <v>0</v>
      </c>
      <c r="BL161" s="24">
        <f t="shared" si="1345"/>
        <v>0</v>
      </c>
      <c r="BM161" s="24">
        <f t="shared" si="1345"/>
        <v>0</v>
      </c>
      <c r="BN161" s="24">
        <f t="shared" si="1345"/>
        <v>0</v>
      </c>
      <c r="BO161" s="24">
        <f t="shared" si="1345"/>
        <v>0</v>
      </c>
      <c r="BP161" s="24">
        <f t="shared" si="1345"/>
        <v>-4635.109062170488</v>
      </c>
      <c r="BQ161" s="24">
        <f t="shared" si="1345"/>
        <v>-9350.6982427961921</v>
      </c>
      <c r="BR161" s="24">
        <f t="shared" si="1345"/>
        <v>-9369.9016827871928</v>
      </c>
      <c r="BS161" s="24">
        <f t="shared" si="1345"/>
        <v>-9389.1446679759283</v>
      </c>
      <c r="BT161" s="24">
        <f t="shared" ref="BT161:CH161" si="1346">+BT155-BT156-BT158</f>
        <v>-9408.4272799782793</v>
      </c>
      <c r="BU161" s="24">
        <f t="shared" si="1346"/>
        <v>-9427.7496005788762</v>
      </c>
      <c r="BV161" s="24">
        <f t="shared" si="1346"/>
        <v>-9447.1117117314425</v>
      </c>
      <c r="BW161" s="24">
        <f t="shared" si="1346"/>
        <v>-9466.5136955591697</v>
      </c>
      <c r="BX161" s="24">
        <f t="shared" si="1346"/>
        <v>-9485.9556343550285</v>
      </c>
      <c r="BY161" s="24">
        <f t="shared" si="1346"/>
        <v>-9505.4376105821466</v>
      </c>
      <c r="BZ161" s="24">
        <f t="shared" si="1346"/>
        <v>-9524.9597068741659</v>
      </c>
      <c r="CA161" s="24">
        <f t="shared" si="1346"/>
        <v>-9544.5220060355787</v>
      </c>
      <c r="CB161" s="24">
        <f t="shared" si="1346"/>
        <v>-9564.1245910420857</v>
      </c>
      <c r="CC161" s="24">
        <f t="shared" si="1346"/>
        <v>-9583.7675450409552</v>
      </c>
      <c r="CD161" s="24">
        <f t="shared" si="1346"/>
        <v>-9603.4509513513804</v>
      </c>
      <c r="CE161" s="24">
        <f t="shared" si="1346"/>
        <v>-9623.1748934648276</v>
      </c>
      <c r="CF161" s="24">
        <f t="shared" si="1346"/>
        <v>-9642.9394550453962</v>
      </c>
      <c r="CG161" s="24">
        <f t="shared" si="1346"/>
        <v>-9662.7447199301805</v>
      </c>
      <c r="CH161" s="24">
        <f t="shared" si="1346"/>
        <v>-9682.5907721296207</v>
      </c>
      <c r="CI161" s="24">
        <f t="shared" ref="CI161" si="1347">+CI155-CI156-CI158</f>
        <v>-9702.4776958278599</v>
      </c>
      <c r="CJ161" s="24">
        <f t="shared" ref="CJ161:CV161" si="1348">+CJ155-CJ156-CJ158</f>
        <v>-9722.4055753831235</v>
      </c>
      <c r="CK161" s="24">
        <f t="shared" si="1348"/>
        <v>-9742.3744953280511</v>
      </c>
      <c r="CL161" s="24">
        <f t="shared" si="1348"/>
        <v>-9762.3845403700798</v>
      </c>
      <c r="CM161" s="24">
        <f t="shared" si="1348"/>
        <v>-9782.435795391797</v>
      </c>
      <c r="CN161" s="24">
        <f t="shared" si="1348"/>
        <v>-9802.5283454513028</v>
      </c>
      <c r="CO161" s="24">
        <f t="shared" si="1348"/>
        <v>-9822.6622757825753</v>
      </c>
      <c r="CP161" s="24">
        <f t="shared" si="1348"/>
        <v>-9842.8376717958345</v>
      </c>
      <c r="CQ161" s="24">
        <f t="shared" si="1348"/>
        <v>-9863.0546190779096</v>
      </c>
      <c r="CR161" s="24">
        <f t="shared" si="1348"/>
        <v>-9883.3132033925976</v>
      </c>
      <c r="CS161" s="24">
        <f t="shared" si="1348"/>
        <v>-9903.6135106810398</v>
      </c>
      <c r="CT161" s="24">
        <f t="shared" si="1348"/>
        <v>-9923.9556270620778</v>
      </c>
      <c r="CU161" s="24">
        <f t="shared" si="1348"/>
        <v>-9944.3396388326346</v>
      </c>
      <c r="CV161" s="24">
        <f t="shared" si="1348"/>
        <v>-9964.7656324680665</v>
      </c>
      <c r="CW161" s="24">
        <f t="shared" ref="CW161:EI161" si="1349">+CW155-CW156-CW158</f>
        <v>-9985.2336946225587</v>
      </c>
      <c r="CX161" s="24">
        <f t="shared" si="1349"/>
        <v>-10005.743912129454</v>
      </c>
      <c r="CY161" s="24">
        <f t="shared" si="1349"/>
        <v>-10026.296372001678</v>
      </c>
      <c r="CZ161" s="24">
        <f t="shared" si="1349"/>
        <v>-10046.891161432057</v>
      </c>
      <c r="DA161" s="24">
        <f t="shared" si="1349"/>
        <v>-10067.528367793731</v>
      </c>
      <c r="DB161" s="24">
        <f t="shared" si="1349"/>
        <v>-10088.208078640509</v>
      </c>
      <c r="DC161" s="24">
        <f t="shared" si="1349"/>
        <v>-10108.93038170724</v>
      </c>
      <c r="DD161" s="24">
        <f t="shared" si="1349"/>
        <v>-10129.695364910196</v>
      </c>
      <c r="DE161" s="24">
        <f t="shared" si="1349"/>
        <v>-10150.50311634745</v>
      </c>
      <c r="DF161" s="24">
        <f t="shared" si="1349"/>
        <v>-10171.353724299246</v>
      </c>
      <c r="DG161" s="24">
        <f t="shared" si="1349"/>
        <v>-10192.247277228373</v>
      </c>
      <c r="DH161" s="24">
        <f t="shared" si="1349"/>
        <v>-10213.183863780549</v>
      </c>
      <c r="DI161" s="24">
        <f t="shared" si="1349"/>
        <v>-10234.163572784806</v>
      </c>
      <c r="DJ161" s="24">
        <f t="shared" si="1349"/>
        <v>-10255.186493253859</v>
      </c>
      <c r="DK161" s="24">
        <f t="shared" si="1349"/>
        <v>-10276.252714384487</v>
      </c>
      <c r="DL161" s="24">
        <f t="shared" si="1349"/>
        <v>-10297.36232555792</v>
      </c>
      <c r="DM161" s="24">
        <f t="shared" si="1349"/>
        <v>-10318.51541634022</v>
      </c>
      <c r="DN161" s="24">
        <f t="shared" si="1349"/>
        <v>-10339.712076482654</v>
      </c>
      <c r="DO161" s="24">
        <f t="shared" si="1349"/>
        <v>-10360.952395922093</v>
      </c>
      <c r="DP161" s="24">
        <f t="shared" si="1349"/>
        <v>-10382.236464781388</v>
      </c>
      <c r="DQ161" s="24">
        <f t="shared" si="1349"/>
        <v>-10403.564373369754</v>
      </c>
      <c r="DR161" s="24">
        <f t="shared" si="1349"/>
        <v>-10424.936212183155</v>
      </c>
      <c r="DS161" s="24">
        <f t="shared" si="1349"/>
        <v>-10446.352071904697</v>
      </c>
      <c r="DT161" s="24">
        <f t="shared" si="1349"/>
        <v>-10467.812043405014</v>
      </c>
      <c r="DU161" s="24">
        <f t="shared" si="1349"/>
        <v>-10489.316217742655</v>
      </c>
      <c r="DV161" s="24">
        <f t="shared" si="1349"/>
        <v>-10510.864686164463</v>
      </c>
      <c r="DW161" s="24">
        <f t="shared" si="1349"/>
        <v>-10532.45754010599</v>
      </c>
      <c r="DX161" s="24">
        <f t="shared" si="1349"/>
        <v>-10554.094871191857</v>
      </c>
      <c r="DY161" s="24">
        <f t="shared" si="1349"/>
        <v>-10575.776771236171</v>
      </c>
      <c r="DZ161" s="24">
        <f t="shared" si="1349"/>
        <v>-10597.503332242906</v>
      </c>
      <c r="EA161" s="24">
        <f t="shared" si="1349"/>
        <v>-10619.274646406291</v>
      </c>
      <c r="EB161" s="24">
        <f t="shared" si="1349"/>
        <v>-10641.09080611122</v>
      </c>
      <c r="EC161" s="24">
        <f t="shared" si="1349"/>
        <v>-10662.951903933632</v>
      </c>
      <c r="ED161" s="24">
        <f t="shared" si="1349"/>
        <v>-10684.85803264091</v>
      </c>
      <c r="EE161" s="24">
        <f t="shared" si="1349"/>
        <v>-10706.809285192287</v>
      </c>
      <c r="EF161" s="24">
        <f t="shared" si="1349"/>
        <v>-10728.805754739227</v>
      </c>
      <c r="EG161" s="24">
        <f t="shared" si="1349"/>
        <v>-10750.847534625842</v>
      </c>
      <c r="EH161" s="24">
        <f t="shared" si="1349"/>
        <v>-10772.934718389271</v>
      </c>
      <c r="EI161" s="24">
        <f t="shared" si="1349"/>
        <v>-10795.067399760093</v>
      </c>
      <c r="EJ161" s="24"/>
      <c r="EK161" s="24"/>
      <c r="EL161" s="24"/>
      <c r="EM161" s="1" t="s">
        <v>191</v>
      </c>
    </row>
    <row r="162" spans="4:143" x14ac:dyDescent="0.45"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4"/>
      <c r="CJ162" s="24"/>
      <c r="CK162" s="24"/>
      <c r="CL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C162" s="24"/>
      <c r="DD162" s="24"/>
      <c r="DE162" s="24"/>
      <c r="DF162" s="24"/>
      <c r="DG162" s="24"/>
      <c r="DH162" s="24"/>
      <c r="DI162" s="24"/>
      <c r="DJ162" s="24"/>
      <c r="DK162" s="24"/>
      <c r="DL162" s="24"/>
      <c r="DM162" s="24"/>
      <c r="DN162" s="24"/>
      <c r="DO162" s="24"/>
      <c r="DP162" s="24"/>
      <c r="DQ162" s="24"/>
      <c r="DR162" s="24"/>
      <c r="DS162" s="24"/>
      <c r="DT162" s="24"/>
      <c r="DU162" s="24"/>
      <c r="DV162" s="24"/>
      <c r="DW162" s="24"/>
      <c r="DX162" s="24"/>
      <c r="DY162" s="24"/>
      <c r="DZ162" s="24"/>
      <c r="EA162" s="24"/>
      <c r="EB162" s="24"/>
      <c r="EC162" s="24"/>
      <c r="ED162" s="24"/>
      <c r="EE162" s="24"/>
      <c r="EF162" s="24"/>
      <c r="EG162" s="24"/>
      <c r="EH162" s="24"/>
      <c r="EI162" s="24"/>
      <c r="EJ162" s="24"/>
      <c r="EK162" s="24"/>
      <c r="EL162" s="24"/>
      <c r="EM162" s="1" t="s">
        <v>191</v>
      </c>
    </row>
    <row r="163" spans="4:143" x14ac:dyDescent="0.45">
      <c r="D163" s="1" t="s">
        <v>210</v>
      </c>
      <c r="E163" s="24"/>
      <c r="F163" s="24"/>
      <c r="G163" s="24">
        <f>-G158</f>
        <v>0</v>
      </c>
      <c r="H163" s="24">
        <f t="shared" ref="H163:BS163" si="1350">-H158</f>
        <v>0</v>
      </c>
      <c r="I163" s="24">
        <f t="shared" si="1350"/>
        <v>0</v>
      </c>
      <c r="J163" s="24">
        <f t="shared" si="1350"/>
        <v>0</v>
      </c>
      <c r="K163" s="24">
        <f t="shared" si="1350"/>
        <v>0</v>
      </c>
      <c r="L163" s="24">
        <f t="shared" si="1350"/>
        <v>0</v>
      </c>
      <c r="M163" s="24">
        <f t="shared" si="1350"/>
        <v>0</v>
      </c>
      <c r="N163" s="24">
        <f t="shared" si="1350"/>
        <v>0</v>
      </c>
      <c r="O163" s="24">
        <f t="shared" si="1350"/>
        <v>0</v>
      </c>
      <c r="P163" s="24">
        <f t="shared" si="1350"/>
        <v>0</v>
      </c>
      <c r="Q163" s="24">
        <f t="shared" si="1350"/>
        <v>0</v>
      </c>
      <c r="R163" s="24">
        <f t="shared" si="1350"/>
        <v>0</v>
      </c>
      <c r="S163" s="24">
        <f t="shared" si="1350"/>
        <v>0</v>
      </c>
      <c r="T163" s="24">
        <f t="shared" si="1350"/>
        <v>0</v>
      </c>
      <c r="U163" s="24">
        <f t="shared" si="1350"/>
        <v>0</v>
      </c>
      <c r="V163" s="24">
        <f t="shared" si="1350"/>
        <v>0</v>
      </c>
      <c r="W163" s="24">
        <f t="shared" si="1350"/>
        <v>0</v>
      </c>
      <c r="X163" s="24">
        <f t="shared" si="1350"/>
        <v>0</v>
      </c>
      <c r="Y163" s="24">
        <f t="shared" si="1350"/>
        <v>0</v>
      </c>
      <c r="Z163" s="24">
        <f t="shared" si="1350"/>
        <v>0</v>
      </c>
      <c r="AA163" s="24">
        <f t="shared" si="1350"/>
        <v>0</v>
      </c>
      <c r="AB163" s="24">
        <f t="shared" si="1350"/>
        <v>0</v>
      </c>
      <c r="AC163" s="24">
        <f t="shared" si="1350"/>
        <v>0</v>
      </c>
      <c r="AD163" s="24">
        <f t="shared" si="1350"/>
        <v>0</v>
      </c>
      <c r="AE163" s="24">
        <f t="shared" si="1350"/>
        <v>0</v>
      </c>
      <c r="AF163" s="24">
        <f t="shared" si="1350"/>
        <v>0</v>
      </c>
      <c r="AG163" s="24">
        <f t="shared" si="1350"/>
        <v>0</v>
      </c>
      <c r="AH163" s="24">
        <f t="shared" si="1350"/>
        <v>0</v>
      </c>
      <c r="AI163" s="24">
        <f t="shared" si="1350"/>
        <v>0</v>
      </c>
      <c r="AJ163" s="24">
        <f t="shared" si="1350"/>
        <v>0</v>
      </c>
      <c r="AK163" s="24">
        <f t="shared" si="1350"/>
        <v>0</v>
      </c>
      <c r="AL163" s="24">
        <f t="shared" si="1350"/>
        <v>0</v>
      </c>
      <c r="AM163" s="24">
        <f t="shared" si="1350"/>
        <v>0</v>
      </c>
      <c r="AN163" s="24">
        <f t="shared" si="1350"/>
        <v>749744.669870832</v>
      </c>
      <c r="AO163" s="24">
        <f t="shared" si="1350"/>
        <v>0</v>
      </c>
      <c r="AP163" s="24">
        <f t="shared" si="1350"/>
        <v>0</v>
      </c>
      <c r="AQ163" s="24">
        <f t="shared" si="1350"/>
        <v>0</v>
      </c>
      <c r="AR163" s="24">
        <f t="shared" si="1350"/>
        <v>0</v>
      </c>
      <c r="AS163" s="24">
        <f t="shared" si="1350"/>
        <v>0</v>
      </c>
      <c r="AT163" s="24">
        <f t="shared" si="1350"/>
        <v>0</v>
      </c>
      <c r="AU163" s="24">
        <f t="shared" si="1350"/>
        <v>0</v>
      </c>
      <c r="AV163" s="24">
        <f t="shared" si="1350"/>
        <v>0</v>
      </c>
      <c r="AW163" s="24">
        <f t="shared" si="1350"/>
        <v>0</v>
      </c>
      <c r="AX163" s="24">
        <f t="shared" si="1350"/>
        <v>0</v>
      </c>
      <c r="AY163" s="24">
        <f t="shared" si="1350"/>
        <v>0</v>
      </c>
      <c r="AZ163" s="24">
        <f t="shared" si="1350"/>
        <v>0</v>
      </c>
      <c r="BA163" s="24">
        <f t="shared" si="1350"/>
        <v>0</v>
      </c>
      <c r="BB163" s="24">
        <f t="shared" si="1350"/>
        <v>0</v>
      </c>
      <c r="BC163" s="24">
        <f t="shared" si="1350"/>
        <v>0</v>
      </c>
      <c r="BD163" s="24">
        <f t="shared" si="1350"/>
        <v>0</v>
      </c>
      <c r="BE163" s="24">
        <f t="shared" si="1350"/>
        <v>0</v>
      </c>
      <c r="BF163" s="24">
        <f t="shared" si="1350"/>
        <v>0</v>
      </c>
      <c r="BG163" s="24">
        <f t="shared" si="1350"/>
        <v>0</v>
      </c>
      <c r="BH163" s="24">
        <f t="shared" si="1350"/>
        <v>0</v>
      </c>
      <c r="BI163" s="24">
        <f t="shared" si="1350"/>
        <v>0</v>
      </c>
      <c r="BJ163" s="24">
        <f t="shared" si="1350"/>
        <v>0</v>
      </c>
      <c r="BK163" s="24">
        <f t="shared" si="1350"/>
        <v>0</v>
      </c>
      <c r="BL163" s="24">
        <f t="shared" si="1350"/>
        <v>0</v>
      </c>
      <c r="BM163" s="24">
        <f t="shared" si="1350"/>
        <v>0</v>
      </c>
      <c r="BN163" s="24">
        <f t="shared" si="1350"/>
        <v>0</v>
      </c>
      <c r="BO163" s="24">
        <f t="shared" si="1350"/>
        <v>0</v>
      </c>
      <c r="BP163" s="24">
        <f t="shared" si="1350"/>
        <v>0</v>
      </c>
      <c r="BQ163" s="24">
        <f t="shared" si="1350"/>
        <v>-16.661147872549009</v>
      </c>
      <c r="BR163" s="24">
        <f t="shared" si="1350"/>
        <v>-16.695364618604799</v>
      </c>
      <c r="BS163" s="24">
        <f t="shared" si="1350"/>
        <v>-16.729651826250119</v>
      </c>
      <c r="BT163" s="24">
        <f t="shared" ref="BT163:CH163" si="1351">-BT158</f>
        <v>-16.764009640908625</v>
      </c>
      <c r="BU163" s="24">
        <f t="shared" si="1351"/>
        <v>-16.798438208303196</v>
      </c>
      <c r="BV163" s="24">
        <f t="shared" si="1351"/>
        <v>-16.832937674455934</v>
      </c>
      <c r="BW163" s="24">
        <f t="shared" si="1351"/>
        <v>-16.867508185701809</v>
      </c>
      <c r="BX163" s="24">
        <f t="shared" si="1351"/>
        <v>-16.90214988866137</v>
      </c>
      <c r="BY163" s="24">
        <f t="shared" si="1351"/>
        <v>-16.936862930268944</v>
      </c>
      <c r="BZ163" s="24">
        <f t="shared" si="1351"/>
        <v>-16.971647457765357</v>
      </c>
      <c r="CA163" s="24">
        <f t="shared" si="1351"/>
        <v>-17.006503618685201</v>
      </c>
      <c r="CB163" s="24">
        <f t="shared" si="1351"/>
        <v>-17.041431560879573</v>
      </c>
      <c r="CC163" s="24">
        <f t="shared" si="1351"/>
        <v>-17.076431432494246</v>
      </c>
      <c r="CD163" s="24">
        <f t="shared" si="1351"/>
        <v>-17.111503381993316</v>
      </c>
      <c r="CE163" s="24">
        <f t="shared" si="1351"/>
        <v>-17.146647558136465</v>
      </c>
      <c r="CF163" s="24">
        <f t="shared" si="1351"/>
        <v>-17.18186410999806</v>
      </c>
      <c r="CG163" s="24">
        <f t="shared" si="1351"/>
        <v>-17.217153186958967</v>
      </c>
      <c r="CH163" s="24">
        <f t="shared" si="1351"/>
        <v>-17.252514938708373</v>
      </c>
      <c r="CI163" s="24">
        <f t="shared" ref="CI163" si="1352">-CI158</f>
        <v>-17.287949515243781</v>
      </c>
      <c r="CJ163" s="24">
        <f t="shared" ref="CJ163:CV163" si="1353">-CJ158</f>
        <v>-17.323457066874653</v>
      </c>
      <c r="CK163" s="24">
        <f t="shared" si="1353"/>
        <v>-17.359037744223315</v>
      </c>
      <c r="CL163" s="24">
        <f t="shared" si="1353"/>
        <v>-17.394691698219503</v>
      </c>
      <c r="CM163" s="24">
        <f t="shared" si="1353"/>
        <v>-17.430419080104912</v>
      </c>
      <c r="CN163" s="24">
        <f t="shared" si="1353"/>
        <v>-17.466220041440465</v>
      </c>
      <c r="CO163" s="24">
        <f t="shared" si="1353"/>
        <v>-17.50209473409177</v>
      </c>
      <c r="CP163" s="24">
        <f t="shared" si="1353"/>
        <v>-17.538043310239118</v>
      </c>
      <c r="CQ163" s="24">
        <f t="shared" si="1353"/>
        <v>-17.574065922389309</v>
      </c>
      <c r="CR163" s="24">
        <f t="shared" si="1353"/>
        <v>-17.610162723348367</v>
      </c>
      <c r="CS163" s="24">
        <f t="shared" si="1353"/>
        <v>-17.646333866250643</v>
      </c>
      <c r="CT163" s="24">
        <f t="shared" si="1353"/>
        <v>-17.682579504539717</v>
      </c>
      <c r="CU163" s="24">
        <f t="shared" si="1353"/>
        <v>-17.718899791982039</v>
      </c>
      <c r="CV163" s="24">
        <f t="shared" si="1353"/>
        <v>-17.75529488265056</v>
      </c>
      <c r="CW163" s="24">
        <f t="shared" ref="CW163:EI163" si="1354">-CW158</f>
        <v>-17.791764930959289</v>
      </c>
      <c r="CX163" s="24">
        <f t="shared" si="1354"/>
        <v>-17.828310091614185</v>
      </c>
      <c r="CY163" s="24">
        <f t="shared" si="1354"/>
        <v>-17.864930519664995</v>
      </c>
      <c r="CZ163" s="24">
        <f t="shared" si="1354"/>
        <v>-17.901626370461599</v>
      </c>
      <c r="DA163" s="24">
        <f t="shared" si="1354"/>
        <v>-17.938397799691302</v>
      </c>
      <c r="DB163" s="24">
        <f t="shared" si="1354"/>
        <v>-17.975244963357</v>
      </c>
      <c r="DC163" s="24">
        <f t="shared" si="1354"/>
        <v>-18.012168017782642</v>
      </c>
      <c r="DD163" s="24">
        <f t="shared" si="1354"/>
        <v>-18.049167119615959</v>
      </c>
      <c r="DE163" s="24">
        <f t="shared" si="1354"/>
        <v>-18.086242425832097</v>
      </c>
      <c r="DF163" s="24">
        <f t="shared" si="1354"/>
        <v>-18.123394093726347</v>
      </c>
      <c r="DG163" s="24">
        <f t="shared" si="1354"/>
        <v>-18.160622280923235</v>
      </c>
      <c r="DH163" s="24">
        <f t="shared" si="1354"/>
        <v>-18.197927145370159</v>
      </c>
      <c r="DI163" s="24">
        <f t="shared" si="1354"/>
        <v>-18.235308845343752</v>
      </c>
      <c r="DJ163" s="24">
        <f t="shared" si="1354"/>
        <v>-18.272767539443521</v>
      </c>
      <c r="DK163" s="24">
        <f t="shared" si="1354"/>
        <v>-18.310303386602754</v>
      </c>
      <c r="DL163" s="24">
        <f t="shared" si="1354"/>
        <v>-18.347916546079432</v>
      </c>
      <c r="DM163" s="24">
        <f t="shared" si="1354"/>
        <v>-18.385607177462589</v>
      </c>
      <c r="DN163" s="24">
        <f t="shared" si="1354"/>
        <v>-18.42337544066686</v>
      </c>
      <c r="DO163" s="24">
        <f t="shared" si="1354"/>
        <v>-18.46122149594612</v>
      </c>
      <c r="DP163" s="24">
        <f t="shared" si="1354"/>
        <v>-18.499145503878026</v>
      </c>
      <c r="DQ163" s="24">
        <f t="shared" si="1354"/>
        <v>-18.537147625377656</v>
      </c>
      <c r="DR163" s="24">
        <f t="shared" si="1354"/>
        <v>-18.575228021688417</v>
      </c>
      <c r="DS163" s="24">
        <f t="shared" si="1354"/>
        <v>-18.613386854390228</v>
      </c>
      <c r="DT163" s="24">
        <f t="shared" si="1354"/>
        <v>-18.651624285393154</v>
      </c>
      <c r="DU163" s="24">
        <f t="shared" si="1354"/>
        <v>-18.689940476948323</v>
      </c>
      <c r="DV163" s="24">
        <f t="shared" si="1354"/>
        <v>-18.728335591634277</v>
      </c>
      <c r="DW163" s="24">
        <f t="shared" si="1354"/>
        <v>-18.766809792377899</v>
      </c>
      <c r="DX163" s="24">
        <f t="shared" si="1354"/>
        <v>-18.805363242429848</v>
      </c>
      <c r="DY163" s="24">
        <f t="shared" si="1354"/>
        <v>-18.843996105386395</v>
      </c>
      <c r="DZ163" s="24">
        <f t="shared" si="1354"/>
        <v>-18.882708545177593</v>
      </c>
      <c r="EA163" s="24">
        <f t="shared" si="1354"/>
        <v>-18.921500726076374</v>
      </c>
      <c r="EB163" s="24">
        <f t="shared" si="1354"/>
        <v>-18.960372812694004</v>
      </c>
      <c r="EC163" s="24">
        <f t="shared" si="1354"/>
        <v>-18.999324969978261</v>
      </c>
      <c r="ED163" s="24">
        <f t="shared" si="1354"/>
        <v>-19.038357363226169</v>
      </c>
      <c r="EE163" s="24">
        <f t="shared" si="1354"/>
        <v>-19.077470158072174</v>
      </c>
      <c r="EF163" s="24">
        <f t="shared" si="1354"/>
        <v>-19.116663520489965</v>
      </c>
      <c r="EG163" s="24">
        <f t="shared" si="1354"/>
        <v>-19.155937616800657</v>
      </c>
      <c r="EH163" s="24">
        <f t="shared" si="1354"/>
        <v>-19.195292613670063</v>
      </c>
      <c r="EI163" s="24">
        <f t="shared" si="1354"/>
        <v>-19.234728678103238</v>
      </c>
      <c r="EJ163" s="24"/>
      <c r="EK163" s="24"/>
      <c r="EL163" s="24"/>
      <c r="EM163" s="1" t="s">
        <v>191</v>
      </c>
    </row>
    <row r="164" spans="4:143" x14ac:dyDescent="0.45">
      <c r="D164" s="1" t="s">
        <v>211</v>
      </c>
      <c r="E164" s="24"/>
      <c r="F164" s="24"/>
      <c r="G164" s="24">
        <f t="shared" ref="G164:AL164" si="1355">+(G163/$J$91)*$K$91</f>
        <v>0</v>
      </c>
      <c r="H164" s="24">
        <f t="shared" si="1355"/>
        <v>0</v>
      </c>
      <c r="I164" s="24">
        <f t="shared" si="1355"/>
        <v>0</v>
      </c>
      <c r="J164" s="24">
        <f t="shared" si="1355"/>
        <v>0</v>
      </c>
      <c r="K164" s="24">
        <f t="shared" si="1355"/>
        <v>0</v>
      </c>
      <c r="L164" s="24">
        <f t="shared" si="1355"/>
        <v>0</v>
      </c>
      <c r="M164" s="24">
        <f t="shared" si="1355"/>
        <v>0</v>
      </c>
      <c r="N164" s="24">
        <f t="shared" si="1355"/>
        <v>0</v>
      </c>
      <c r="O164" s="24">
        <f t="shared" si="1355"/>
        <v>0</v>
      </c>
      <c r="P164" s="24">
        <f t="shared" si="1355"/>
        <v>0</v>
      </c>
      <c r="Q164" s="24">
        <f t="shared" si="1355"/>
        <v>0</v>
      </c>
      <c r="R164" s="24">
        <f t="shared" si="1355"/>
        <v>0</v>
      </c>
      <c r="S164" s="24">
        <f t="shared" si="1355"/>
        <v>0</v>
      </c>
      <c r="T164" s="24">
        <f t="shared" si="1355"/>
        <v>0</v>
      </c>
      <c r="U164" s="24">
        <f t="shared" si="1355"/>
        <v>0</v>
      </c>
      <c r="V164" s="24">
        <f t="shared" si="1355"/>
        <v>0</v>
      </c>
      <c r="W164" s="24">
        <f t="shared" si="1355"/>
        <v>0</v>
      </c>
      <c r="X164" s="24">
        <f t="shared" si="1355"/>
        <v>0</v>
      </c>
      <c r="Y164" s="24">
        <f t="shared" si="1355"/>
        <v>0</v>
      </c>
      <c r="Z164" s="24">
        <f t="shared" si="1355"/>
        <v>0</v>
      </c>
      <c r="AA164" s="24">
        <f t="shared" si="1355"/>
        <v>0</v>
      </c>
      <c r="AB164" s="24">
        <f t="shared" si="1355"/>
        <v>0</v>
      </c>
      <c r="AC164" s="24">
        <f t="shared" si="1355"/>
        <v>0</v>
      </c>
      <c r="AD164" s="24">
        <f t="shared" si="1355"/>
        <v>0</v>
      </c>
      <c r="AE164" s="24">
        <f t="shared" si="1355"/>
        <v>0</v>
      </c>
      <c r="AF164" s="24">
        <f t="shared" si="1355"/>
        <v>0</v>
      </c>
      <c r="AG164" s="24">
        <f t="shared" si="1355"/>
        <v>0</v>
      </c>
      <c r="AH164" s="24">
        <f t="shared" si="1355"/>
        <v>0</v>
      </c>
      <c r="AI164" s="24">
        <f t="shared" si="1355"/>
        <v>0</v>
      </c>
      <c r="AJ164" s="24">
        <f t="shared" si="1355"/>
        <v>0</v>
      </c>
      <c r="AK164" s="24">
        <f t="shared" si="1355"/>
        <v>0</v>
      </c>
      <c r="AL164" s="24">
        <f t="shared" si="1355"/>
        <v>0</v>
      </c>
      <c r="AM164" s="24">
        <f t="shared" ref="AM164:BR164" si="1356">+(AM163/$J$91)*$K$91</f>
        <v>0</v>
      </c>
      <c r="AN164" s="24">
        <f t="shared" si="1356"/>
        <v>187436.167467708</v>
      </c>
      <c r="AO164" s="24">
        <f t="shared" si="1356"/>
        <v>0</v>
      </c>
      <c r="AP164" s="24">
        <f t="shared" si="1356"/>
        <v>0</v>
      </c>
      <c r="AQ164" s="24">
        <f t="shared" si="1356"/>
        <v>0</v>
      </c>
      <c r="AR164" s="24">
        <f t="shared" si="1356"/>
        <v>0</v>
      </c>
      <c r="AS164" s="24">
        <f t="shared" si="1356"/>
        <v>0</v>
      </c>
      <c r="AT164" s="24">
        <f t="shared" si="1356"/>
        <v>0</v>
      </c>
      <c r="AU164" s="24">
        <f t="shared" si="1356"/>
        <v>0</v>
      </c>
      <c r="AV164" s="24">
        <f t="shared" si="1356"/>
        <v>0</v>
      </c>
      <c r="AW164" s="24">
        <f t="shared" si="1356"/>
        <v>0</v>
      </c>
      <c r="AX164" s="24">
        <f t="shared" si="1356"/>
        <v>0</v>
      </c>
      <c r="AY164" s="24">
        <f t="shared" si="1356"/>
        <v>0</v>
      </c>
      <c r="AZ164" s="24">
        <f t="shared" si="1356"/>
        <v>0</v>
      </c>
      <c r="BA164" s="24">
        <f t="shared" si="1356"/>
        <v>0</v>
      </c>
      <c r="BB164" s="24">
        <f t="shared" si="1356"/>
        <v>0</v>
      </c>
      <c r="BC164" s="24">
        <f t="shared" si="1356"/>
        <v>0</v>
      </c>
      <c r="BD164" s="24">
        <f t="shared" si="1356"/>
        <v>0</v>
      </c>
      <c r="BE164" s="24">
        <f t="shared" si="1356"/>
        <v>0</v>
      </c>
      <c r="BF164" s="24">
        <f t="shared" si="1356"/>
        <v>0</v>
      </c>
      <c r="BG164" s="24">
        <f t="shared" si="1356"/>
        <v>0</v>
      </c>
      <c r="BH164" s="24">
        <f t="shared" si="1356"/>
        <v>0</v>
      </c>
      <c r="BI164" s="24">
        <f t="shared" si="1356"/>
        <v>0</v>
      </c>
      <c r="BJ164" s="24">
        <f t="shared" si="1356"/>
        <v>0</v>
      </c>
      <c r="BK164" s="24">
        <f t="shared" si="1356"/>
        <v>0</v>
      </c>
      <c r="BL164" s="24">
        <f t="shared" si="1356"/>
        <v>0</v>
      </c>
      <c r="BM164" s="24">
        <f t="shared" si="1356"/>
        <v>0</v>
      </c>
      <c r="BN164" s="24">
        <f t="shared" si="1356"/>
        <v>0</v>
      </c>
      <c r="BO164" s="24">
        <f t="shared" si="1356"/>
        <v>0</v>
      </c>
      <c r="BP164" s="24">
        <f t="shared" si="1356"/>
        <v>0</v>
      </c>
      <c r="BQ164" s="24">
        <f t="shared" si="1356"/>
        <v>-4.1652869681372522</v>
      </c>
      <c r="BR164" s="24">
        <f t="shared" si="1356"/>
        <v>-4.1738411546511998</v>
      </c>
      <c r="BS164" s="24">
        <f t="shared" ref="BS164:CX164" si="1357">+(BS163/$J$91)*$K$91</f>
        <v>-4.1824129565625299</v>
      </c>
      <c r="BT164" s="24">
        <f t="shared" si="1357"/>
        <v>-4.1910024102271564</v>
      </c>
      <c r="BU164" s="24">
        <f t="shared" si="1357"/>
        <v>-4.199609552075799</v>
      </c>
      <c r="BV164" s="24">
        <f t="shared" si="1357"/>
        <v>-4.2082344186139835</v>
      </c>
      <c r="BW164" s="24">
        <f t="shared" si="1357"/>
        <v>-4.2168770464254521</v>
      </c>
      <c r="BX164" s="24">
        <f t="shared" si="1357"/>
        <v>-4.2255374721653425</v>
      </c>
      <c r="BY164" s="24">
        <f t="shared" si="1357"/>
        <v>-4.234215732567236</v>
      </c>
      <c r="BZ164" s="24">
        <f t="shared" si="1357"/>
        <v>-4.2429118644413393</v>
      </c>
      <c r="CA164" s="24">
        <f t="shared" si="1357"/>
        <v>-4.2516259046713003</v>
      </c>
      <c r="CB164" s="24">
        <f t="shared" si="1357"/>
        <v>-4.2603578902198933</v>
      </c>
      <c r="CC164" s="24">
        <f t="shared" si="1357"/>
        <v>-4.2691078581235615</v>
      </c>
      <c r="CD164" s="24">
        <f t="shared" si="1357"/>
        <v>-4.277875845498329</v>
      </c>
      <c r="CE164" s="24">
        <f t="shared" si="1357"/>
        <v>-4.2866618895341162</v>
      </c>
      <c r="CF164" s="24">
        <f t="shared" si="1357"/>
        <v>-4.2954660274995149</v>
      </c>
      <c r="CG164" s="24">
        <f t="shared" si="1357"/>
        <v>-4.3042882967397418</v>
      </c>
      <c r="CH164" s="24">
        <f t="shared" si="1357"/>
        <v>-4.3131287346770932</v>
      </c>
      <c r="CI164" s="24">
        <f t="shared" si="1357"/>
        <v>-4.3219873788109453</v>
      </c>
      <c r="CJ164" s="24">
        <f t="shared" si="1357"/>
        <v>-4.3308642667186632</v>
      </c>
      <c r="CK164" s="24">
        <f t="shared" si="1357"/>
        <v>-4.3397594360558287</v>
      </c>
      <c r="CL164" s="24">
        <f t="shared" si="1357"/>
        <v>-4.3486729245548759</v>
      </c>
      <c r="CM164" s="24">
        <f t="shared" si="1357"/>
        <v>-4.3576047700262279</v>
      </c>
      <c r="CN164" s="24">
        <f t="shared" si="1357"/>
        <v>-4.3665550103601163</v>
      </c>
      <c r="CO164" s="24">
        <f t="shared" si="1357"/>
        <v>-4.3755236835229425</v>
      </c>
      <c r="CP164" s="24">
        <f t="shared" si="1357"/>
        <v>-4.3845108275597795</v>
      </c>
      <c r="CQ164" s="24">
        <f t="shared" si="1357"/>
        <v>-4.3935164805973272</v>
      </c>
      <c r="CR164" s="24">
        <f t="shared" si="1357"/>
        <v>-4.4025406808370917</v>
      </c>
      <c r="CS164" s="24">
        <f t="shared" si="1357"/>
        <v>-4.4115834665626608</v>
      </c>
      <c r="CT164" s="24">
        <f t="shared" si="1357"/>
        <v>-4.4206448761349293</v>
      </c>
      <c r="CU164" s="24">
        <f t="shared" si="1357"/>
        <v>-4.4297249479955099</v>
      </c>
      <c r="CV164" s="24">
        <f t="shared" si="1357"/>
        <v>-4.43882372066264</v>
      </c>
      <c r="CW164" s="24">
        <f t="shared" si="1357"/>
        <v>-4.4479412327398222</v>
      </c>
      <c r="CX164" s="24">
        <f t="shared" si="1357"/>
        <v>-4.4570775229035462</v>
      </c>
      <c r="CY164" s="24">
        <f t="shared" ref="CY164:ED164" si="1358">+(CY163/$J$91)*$K$91</f>
        <v>-4.4662326299162487</v>
      </c>
      <c r="CZ164" s="24">
        <f t="shared" si="1358"/>
        <v>-4.4754065926153999</v>
      </c>
      <c r="DA164" s="24">
        <f t="shared" si="1358"/>
        <v>-4.4845994499228254</v>
      </c>
      <c r="DB164" s="24">
        <f t="shared" si="1358"/>
        <v>-4.4938112408392499</v>
      </c>
      <c r="DC164" s="24">
        <f t="shared" si="1358"/>
        <v>-4.5030420044456605</v>
      </c>
      <c r="DD164" s="24">
        <f t="shared" si="1358"/>
        <v>-4.5122917799039897</v>
      </c>
      <c r="DE164" s="24">
        <f t="shared" si="1358"/>
        <v>-4.5215606064580243</v>
      </c>
      <c r="DF164" s="24">
        <f t="shared" si="1358"/>
        <v>-4.5308485234315867</v>
      </c>
      <c r="DG164" s="24">
        <f t="shared" si="1358"/>
        <v>-4.5401555702308087</v>
      </c>
      <c r="DH164" s="24">
        <f t="shared" si="1358"/>
        <v>-4.5494817863425396</v>
      </c>
      <c r="DI164" s="24">
        <f t="shared" si="1358"/>
        <v>-4.558827211335938</v>
      </c>
      <c r="DJ164" s="24">
        <f t="shared" si="1358"/>
        <v>-4.5681918848608802</v>
      </c>
      <c r="DK164" s="24">
        <f t="shared" si="1358"/>
        <v>-4.5775758466506886</v>
      </c>
      <c r="DL164" s="24">
        <f t="shared" si="1358"/>
        <v>-4.586979136519858</v>
      </c>
      <c r="DM164" s="24">
        <f t="shared" si="1358"/>
        <v>-4.5964017943656472</v>
      </c>
      <c r="DN164" s="24">
        <f t="shared" si="1358"/>
        <v>-4.6058438601667149</v>
      </c>
      <c r="DO164" s="24">
        <f t="shared" si="1358"/>
        <v>-4.61530537398653</v>
      </c>
      <c r="DP164" s="24">
        <f t="shared" si="1358"/>
        <v>-4.6247863759695065</v>
      </c>
      <c r="DQ164" s="24">
        <f t="shared" si="1358"/>
        <v>-4.6342869063444141</v>
      </c>
      <c r="DR164" s="24">
        <f t="shared" si="1358"/>
        <v>-4.6438070054221043</v>
      </c>
      <c r="DS164" s="24">
        <f t="shared" si="1358"/>
        <v>-4.653346713597557</v>
      </c>
      <c r="DT164" s="24">
        <f t="shared" si="1358"/>
        <v>-4.6629060713482886</v>
      </c>
      <c r="DU164" s="24">
        <f t="shared" si="1358"/>
        <v>-4.6724851192370807</v>
      </c>
      <c r="DV164" s="24">
        <f t="shared" si="1358"/>
        <v>-4.6820838979085693</v>
      </c>
      <c r="DW164" s="24">
        <f t="shared" si="1358"/>
        <v>-4.6917024480944747</v>
      </c>
      <c r="DX164" s="24">
        <f t="shared" si="1358"/>
        <v>-4.7013408106074621</v>
      </c>
      <c r="DY164" s="24">
        <f t="shared" si="1358"/>
        <v>-4.7109990263465988</v>
      </c>
      <c r="DZ164" s="24">
        <f t="shared" si="1358"/>
        <v>-4.7206771362943982</v>
      </c>
      <c r="EA164" s="24">
        <f t="shared" si="1358"/>
        <v>-4.7303751815190935</v>
      </c>
      <c r="EB164" s="24">
        <f t="shared" si="1358"/>
        <v>-4.740093203173501</v>
      </c>
      <c r="EC164" s="24">
        <f t="shared" si="1358"/>
        <v>-4.7498312424945652</v>
      </c>
      <c r="ED164" s="24">
        <f t="shared" si="1358"/>
        <v>-4.7595893408065422</v>
      </c>
      <c r="EE164" s="24">
        <f t="shared" ref="EE164:EI164" si="1359">+(EE163/$J$91)*$K$91</f>
        <v>-4.7693675395180435</v>
      </c>
      <c r="EF164" s="24">
        <f t="shared" si="1359"/>
        <v>-4.7791658801224912</v>
      </c>
      <c r="EG164" s="24">
        <f t="shared" si="1359"/>
        <v>-4.7889844042001641</v>
      </c>
      <c r="EH164" s="24">
        <f t="shared" si="1359"/>
        <v>-4.7988231534175156</v>
      </c>
      <c r="EI164" s="24">
        <f t="shared" si="1359"/>
        <v>-4.8086821695258095</v>
      </c>
      <c r="EJ164" s="24"/>
      <c r="EK164" s="24"/>
      <c r="EL164" s="24"/>
      <c r="EM164" s="1" t="s">
        <v>191</v>
      </c>
    </row>
    <row r="165" spans="4:143" x14ac:dyDescent="0.45">
      <c r="D165" s="1" t="s">
        <v>213</v>
      </c>
      <c r="E165" s="24"/>
      <c r="F165" s="24"/>
      <c r="G165" s="24">
        <f>SUM(G163:G164)</f>
        <v>0</v>
      </c>
      <c r="H165" s="24">
        <f t="shared" ref="H165:BS165" si="1360">SUM(H163:H164)</f>
        <v>0</v>
      </c>
      <c r="I165" s="24">
        <f t="shared" si="1360"/>
        <v>0</v>
      </c>
      <c r="J165" s="24">
        <f t="shared" si="1360"/>
        <v>0</v>
      </c>
      <c r="K165" s="24">
        <f t="shared" si="1360"/>
        <v>0</v>
      </c>
      <c r="L165" s="24">
        <f t="shared" si="1360"/>
        <v>0</v>
      </c>
      <c r="M165" s="24">
        <f t="shared" si="1360"/>
        <v>0</v>
      </c>
      <c r="N165" s="24">
        <f t="shared" si="1360"/>
        <v>0</v>
      </c>
      <c r="O165" s="24">
        <f t="shared" si="1360"/>
        <v>0</v>
      </c>
      <c r="P165" s="24">
        <f t="shared" si="1360"/>
        <v>0</v>
      </c>
      <c r="Q165" s="24">
        <f t="shared" si="1360"/>
        <v>0</v>
      </c>
      <c r="R165" s="24">
        <f t="shared" si="1360"/>
        <v>0</v>
      </c>
      <c r="S165" s="24">
        <f t="shared" si="1360"/>
        <v>0</v>
      </c>
      <c r="T165" s="24">
        <f t="shared" si="1360"/>
        <v>0</v>
      </c>
      <c r="U165" s="24">
        <f t="shared" si="1360"/>
        <v>0</v>
      </c>
      <c r="V165" s="24">
        <f t="shared" si="1360"/>
        <v>0</v>
      </c>
      <c r="W165" s="24">
        <f t="shared" si="1360"/>
        <v>0</v>
      </c>
      <c r="X165" s="24">
        <f t="shared" si="1360"/>
        <v>0</v>
      </c>
      <c r="Y165" s="24">
        <f t="shared" si="1360"/>
        <v>0</v>
      </c>
      <c r="Z165" s="24">
        <f t="shared" si="1360"/>
        <v>0</v>
      </c>
      <c r="AA165" s="24">
        <f t="shared" si="1360"/>
        <v>0</v>
      </c>
      <c r="AB165" s="24">
        <f t="shared" si="1360"/>
        <v>0</v>
      </c>
      <c r="AC165" s="24">
        <f t="shared" si="1360"/>
        <v>0</v>
      </c>
      <c r="AD165" s="24">
        <f t="shared" si="1360"/>
        <v>0</v>
      </c>
      <c r="AE165" s="24">
        <f t="shared" si="1360"/>
        <v>0</v>
      </c>
      <c r="AF165" s="24">
        <f t="shared" si="1360"/>
        <v>0</v>
      </c>
      <c r="AG165" s="24">
        <f t="shared" si="1360"/>
        <v>0</v>
      </c>
      <c r="AH165" s="24">
        <f t="shared" si="1360"/>
        <v>0</v>
      </c>
      <c r="AI165" s="24">
        <f t="shared" si="1360"/>
        <v>0</v>
      </c>
      <c r="AJ165" s="24">
        <f t="shared" si="1360"/>
        <v>0</v>
      </c>
      <c r="AK165" s="24">
        <f t="shared" si="1360"/>
        <v>0</v>
      </c>
      <c r="AL165" s="24">
        <f t="shared" si="1360"/>
        <v>0</v>
      </c>
      <c r="AM165" s="24">
        <f t="shared" si="1360"/>
        <v>0</v>
      </c>
      <c r="AN165" s="24">
        <f t="shared" si="1360"/>
        <v>937180.83733854</v>
      </c>
      <c r="AO165" s="24">
        <f t="shared" si="1360"/>
        <v>0</v>
      </c>
      <c r="AP165" s="24">
        <f t="shared" si="1360"/>
        <v>0</v>
      </c>
      <c r="AQ165" s="24">
        <f t="shared" si="1360"/>
        <v>0</v>
      </c>
      <c r="AR165" s="24">
        <f t="shared" si="1360"/>
        <v>0</v>
      </c>
      <c r="AS165" s="24">
        <f t="shared" si="1360"/>
        <v>0</v>
      </c>
      <c r="AT165" s="24">
        <f t="shared" si="1360"/>
        <v>0</v>
      </c>
      <c r="AU165" s="24">
        <f t="shared" si="1360"/>
        <v>0</v>
      </c>
      <c r="AV165" s="24">
        <f t="shared" si="1360"/>
        <v>0</v>
      </c>
      <c r="AW165" s="24">
        <f t="shared" si="1360"/>
        <v>0</v>
      </c>
      <c r="AX165" s="24">
        <f t="shared" si="1360"/>
        <v>0</v>
      </c>
      <c r="AY165" s="24">
        <f t="shared" si="1360"/>
        <v>0</v>
      </c>
      <c r="AZ165" s="24">
        <f t="shared" si="1360"/>
        <v>0</v>
      </c>
      <c r="BA165" s="24">
        <f t="shared" si="1360"/>
        <v>0</v>
      </c>
      <c r="BB165" s="24">
        <f t="shared" si="1360"/>
        <v>0</v>
      </c>
      <c r="BC165" s="24">
        <f t="shared" si="1360"/>
        <v>0</v>
      </c>
      <c r="BD165" s="24">
        <f t="shared" si="1360"/>
        <v>0</v>
      </c>
      <c r="BE165" s="24">
        <f t="shared" si="1360"/>
        <v>0</v>
      </c>
      <c r="BF165" s="24">
        <f t="shared" si="1360"/>
        <v>0</v>
      </c>
      <c r="BG165" s="24">
        <f t="shared" si="1360"/>
        <v>0</v>
      </c>
      <c r="BH165" s="24">
        <f t="shared" si="1360"/>
        <v>0</v>
      </c>
      <c r="BI165" s="24">
        <f t="shared" si="1360"/>
        <v>0</v>
      </c>
      <c r="BJ165" s="24">
        <f t="shared" si="1360"/>
        <v>0</v>
      </c>
      <c r="BK165" s="24">
        <f t="shared" si="1360"/>
        <v>0</v>
      </c>
      <c r="BL165" s="24">
        <f t="shared" si="1360"/>
        <v>0</v>
      </c>
      <c r="BM165" s="24">
        <f t="shared" si="1360"/>
        <v>0</v>
      </c>
      <c r="BN165" s="24">
        <f t="shared" si="1360"/>
        <v>0</v>
      </c>
      <c r="BO165" s="24">
        <f t="shared" si="1360"/>
        <v>0</v>
      </c>
      <c r="BP165" s="24">
        <f t="shared" si="1360"/>
        <v>0</v>
      </c>
      <c r="BQ165" s="24">
        <f t="shared" si="1360"/>
        <v>-20.826434840686261</v>
      </c>
      <c r="BR165" s="24">
        <f t="shared" si="1360"/>
        <v>-20.869205773255999</v>
      </c>
      <c r="BS165" s="24">
        <f t="shared" si="1360"/>
        <v>-20.912064782812649</v>
      </c>
      <c r="BT165" s="24">
        <f t="shared" ref="BT165:CH165" si="1361">SUM(BT163:BT164)</f>
        <v>-20.955012051135782</v>
      </c>
      <c r="BU165" s="24">
        <f t="shared" si="1361"/>
        <v>-20.998047760378995</v>
      </c>
      <c r="BV165" s="24">
        <f t="shared" si="1361"/>
        <v>-21.041172093069918</v>
      </c>
      <c r="BW165" s="24">
        <f t="shared" si="1361"/>
        <v>-21.084385232127261</v>
      </c>
      <c r="BX165" s="24">
        <f t="shared" si="1361"/>
        <v>-21.127687360826712</v>
      </c>
      <c r="BY165" s="24">
        <f t="shared" si="1361"/>
        <v>-21.17107866283618</v>
      </c>
      <c r="BZ165" s="24">
        <f t="shared" si="1361"/>
        <v>-21.214559322206696</v>
      </c>
      <c r="CA165" s="24">
        <f t="shared" si="1361"/>
        <v>-21.258129523356502</v>
      </c>
      <c r="CB165" s="24">
        <f t="shared" si="1361"/>
        <v>-21.301789451099467</v>
      </c>
      <c r="CC165" s="24">
        <f t="shared" si="1361"/>
        <v>-21.345539290617808</v>
      </c>
      <c r="CD165" s="24">
        <f t="shared" si="1361"/>
        <v>-21.389379227491645</v>
      </c>
      <c r="CE165" s="24">
        <f t="shared" si="1361"/>
        <v>-21.433309447670581</v>
      </c>
      <c r="CF165" s="24">
        <f t="shared" si="1361"/>
        <v>-21.477330137497574</v>
      </c>
      <c r="CG165" s="24">
        <f t="shared" si="1361"/>
        <v>-21.521441483698709</v>
      </c>
      <c r="CH165" s="24">
        <f t="shared" si="1361"/>
        <v>-21.565643673385466</v>
      </c>
      <c r="CI165" s="24">
        <f t="shared" ref="CI165" si="1362">SUM(CI163:CI164)</f>
        <v>-21.609936894054727</v>
      </c>
      <c r="CJ165" s="24">
        <f t="shared" ref="CJ165:CV165" si="1363">SUM(CJ163:CJ164)</f>
        <v>-21.654321333593316</v>
      </c>
      <c r="CK165" s="24">
        <f t="shared" si="1363"/>
        <v>-21.698797180279144</v>
      </c>
      <c r="CL165" s="24">
        <f t="shared" si="1363"/>
        <v>-21.743364622774379</v>
      </c>
      <c r="CM165" s="24">
        <f t="shared" si="1363"/>
        <v>-21.78802385013114</v>
      </c>
      <c r="CN165" s="24">
        <f t="shared" si="1363"/>
        <v>-21.832775051800581</v>
      </c>
      <c r="CO165" s="24">
        <f t="shared" si="1363"/>
        <v>-21.877618417614713</v>
      </c>
      <c r="CP165" s="24">
        <f t="shared" si="1363"/>
        <v>-21.922554137798898</v>
      </c>
      <c r="CQ165" s="24">
        <f t="shared" si="1363"/>
        <v>-21.967582402986636</v>
      </c>
      <c r="CR165" s="24">
        <f t="shared" si="1363"/>
        <v>-22.012703404185459</v>
      </c>
      <c r="CS165" s="24">
        <f t="shared" si="1363"/>
        <v>-22.057917332813304</v>
      </c>
      <c r="CT165" s="24">
        <f t="shared" si="1363"/>
        <v>-22.103224380674646</v>
      </c>
      <c r="CU165" s="24">
        <f t="shared" si="1363"/>
        <v>-22.148624739977549</v>
      </c>
      <c r="CV165" s="24">
        <f t="shared" si="1363"/>
        <v>-22.1941186033132</v>
      </c>
      <c r="CW165" s="24">
        <f t="shared" ref="CW165:EI165" si="1364">SUM(CW163:CW164)</f>
        <v>-22.239706163699111</v>
      </c>
      <c r="CX165" s="24">
        <f t="shared" si="1364"/>
        <v>-22.285387614517731</v>
      </c>
      <c r="CY165" s="24">
        <f t="shared" si="1364"/>
        <v>-22.331163149581243</v>
      </c>
      <c r="CZ165" s="24">
        <f t="shared" si="1364"/>
        <v>-22.377032963076999</v>
      </c>
      <c r="DA165" s="24">
        <f t="shared" si="1364"/>
        <v>-22.422997249614127</v>
      </c>
      <c r="DB165" s="24">
        <f t="shared" si="1364"/>
        <v>-22.469056204196249</v>
      </c>
      <c r="DC165" s="24">
        <f t="shared" si="1364"/>
        <v>-22.515210022228302</v>
      </c>
      <c r="DD165" s="24">
        <f t="shared" si="1364"/>
        <v>-22.561458899519948</v>
      </c>
      <c r="DE165" s="24">
        <f t="shared" si="1364"/>
        <v>-22.607803032290121</v>
      </c>
      <c r="DF165" s="24">
        <f t="shared" si="1364"/>
        <v>-22.654242617157934</v>
      </c>
      <c r="DG165" s="24">
        <f t="shared" si="1364"/>
        <v>-22.700777851154044</v>
      </c>
      <c r="DH165" s="24">
        <f t="shared" si="1364"/>
        <v>-22.747408931712698</v>
      </c>
      <c r="DI165" s="24">
        <f t="shared" si="1364"/>
        <v>-22.79413605667969</v>
      </c>
      <c r="DJ165" s="24">
        <f t="shared" si="1364"/>
        <v>-22.840959424304401</v>
      </c>
      <c r="DK165" s="24">
        <f t="shared" si="1364"/>
        <v>-22.887879233253443</v>
      </c>
      <c r="DL165" s="24">
        <f t="shared" si="1364"/>
        <v>-22.93489568259929</v>
      </c>
      <c r="DM165" s="24">
        <f t="shared" si="1364"/>
        <v>-22.982008971828236</v>
      </c>
      <c r="DN165" s="24">
        <f t="shared" si="1364"/>
        <v>-23.029219300833574</v>
      </c>
      <c r="DO165" s="24">
        <f t="shared" si="1364"/>
        <v>-23.07652686993265</v>
      </c>
      <c r="DP165" s="24">
        <f t="shared" si="1364"/>
        <v>-23.123931879847532</v>
      </c>
      <c r="DQ165" s="24">
        <f t="shared" si="1364"/>
        <v>-23.17143453172207</v>
      </c>
      <c r="DR165" s="24">
        <f t="shared" si="1364"/>
        <v>-23.219035027110522</v>
      </c>
      <c r="DS165" s="24">
        <f t="shared" si="1364"/>
        <v>-23.266733567987785</v>
      </c>
      <c r="DT165" s="24">
        <f t="shared" si="1364"/>
        <v>-23.314530356741443</v>
      </c>
      <c r="DU165" s="24">
        <f t="shared" si="1364"/>
        <v>-23.362425596185403</v>
      </c>
      <c r="DV165" s="24">
        <f t="shared" si="1364"/>
        <v>-23.410419489542846</v>
      </c>
      <c r="DW165" s="24">
        <f t="shared" si="1364"/>
        <v>-23.458512240472373</v>
      </c>
      <c r="DX165" s="24">
        <f t="shared" si="1364"/>
        <v>-23.506704053037311</v>
      </c>
      <c r="DY165" s="24">
        <f t="shared" si="1364"/>
        <v>-23.554995131732994</v>
      </c>
      <c r="DZ165" s="24">
        <f t="shared" si="1364"/>
        <v>-23.603385681471991</v>
      </c>
      <c r="EA165" s="24">
        <f t="shared" si="1364"/>
        <v>-23.651875907595468</v>
      </c>
      <c r="EB165" s="24">
        <f t="shared" si="1364"/>
        <v>-23.700466015867505</v>
      </c>
      <c r="EC165" s="24">
        <f t="shared" si="1364"/>
        <v>-23.749156212472826</v>
      </c>
      <c r="ED165" s="24">
        <f t="shared" si="1364"/>
        <v>-23.797946704032711</v>
      </c>
      <c r="EE165" s="24">
        <f t="shared" si="1364"/>
        <v>-23.846837697590217</v>
      </c>
      <c r="EF165" s="24">
        <f t="shared" si="1364"/>
        <v>-23.895829400612456</v>
      </c>
      <c r="EG165" s="24">
        <f t="shared" si="1364"/>
        <v>-23.944922021000821</v>
      </c>
      <c r="EH165" s="24">
        <f t="shared" si="1364"/>
        <v>-23.994115767087578</v>
      </c>
      <c r="EI165" s="24">
        <f t="shared" si="1364"/>
        <v>-24.043410847629048</v>
      </c>
      <c r="EJ165" s="24"/>
      <c r="EK165" s="24"/>
      <c r="EL165" s="24"/>
      <c r="EM165" s="1" t="s">
        <v>191</v>
      </c>
    </row>
    <row r="166" spans="4:143" x14ac:dyDescent="0.45">
      <c r="D166" s="2" t="s">
        <v>204</v>
      </c>
      <c r="E166" s="176"/>
      <c r="F166" s="176"/>
      <c r="G166" s="176">
        <f>+G148+G165</f>
        <v>0</v>
      </c>
      <c r="H166" s="176">
        <f t="shared" ref="H166:BS166" si="1365">+H148-H165</f>
        <v>0</v>
      </c>
      <c r="I166" s="176">
        <f t="shared" si="1365"/>
        <v>0</v>
      </c>
      <c r="J166" s="176">
        <f t="shared" si="1365"/>
        <v>0</v>
      </c>
      <c r="K166" s="176">
        <f t="shared" si="1365"/>
        <v>0</v>
      </c>
      <c r="L166" s="176">
        <f t="shared" si="1365"/>
        <v>0</v>
      </c>
      <c r="M166" s="176">
        <f t="shared" si="1365"/>
        <v>0</v>
      </c>
      <c r="N166" s="176">
        <f t="shared" si="1365"/>
        <v>0</v>
      </c>
      <c r="O166" s="176">
        <f t="shared" si="1365"/>
        <v>0</v>
      </c>
      <c r="P166" s="176">
        <f t="shared" si="1365"/>
        <v>0</v>
      </c>
      <c r="Q166" s="176">
        <f t="shared" si="1365"/>
        <v>0</v>
      </c>
      <c r="R166" s="176">
        <f t="shared" si="1365"/>
        <v>0</v>
      </c>
      <c r="S166" s="176">
        <f t="shared" si="1365"/>
        <v>0</v>
      </c>
      <c r="T166" s="176">
        <f t="shared" si="1365"/>
        <v>0</v>
      </c>
      <c r="U166" s="176">
        <f t="shared" si="1365"/>
        <v>0</v>
      </c>
      <c r="V166" s="176">
        <f t="shared" si="1365"/>
        <v>0</v>
      </c>
      <c r="W166" s="176">
        <f t="shared" si="1365"/>
        <v>0</v>
      </c>
      <c r="X166" s="176">
        <f t="shared" si="1365"/>
        <v>0</v>
      </c>
      <c r="Y166" s="176">
        <f t="shared" si="1365"/>
        <v>0</v>
      </c>
      <c r="Z166" s="176">
        <f t="shared" si="1365"/>
        <v>0</v>
      </c>
      <c r="AA166" s="176">
        <f t="shared" si="1365"/>
        <v>0</v>
      </c>
      <c r="AB166" s="176">
        <f t="shared" si="1365"/>
        <v>0</v>
      </c>
      <c r="AC166" s="176">
        <f t="shared" si="1365"/>
        <v>0</v>
      </c>
      <c r="AD166" s="176">
        <f t="shared" si="1365"/>
        <v>0</v>
      </c>
      <c r="AE166" s="176">
        <f t="shared" si="1365"/>
        <v>0</v>
      </c>
      <c r="AF166" s="176">
        <f t="shared" si="1365"/>
        <v>0</v>
      </c>
      <c r="AG166" s="176">
        <f t="shared" si="1365"/>
        <v>0</v>
      </c>
      <c r="AH166" s="176">
        <f t="shared" si="1365"/>
        <v>0</v>
      </c>
      <c r="AI166" s="176">
        <f t="shared" si="1365"/>
        <v>0</v>
      </c>
      <c r="AJ166" s="176">
        <f t="shared" si="1365"/>
        <v>0</v>
      </c>
      <c r="AK166" s="176">
        <f t="shared" si="1365"/>
        <v>0</v>
      </c>
      <c r="AL166" s="176">
        <f t="shared" si="1365"/>
        <v>0</v>
      </c>
      <c r="AM166" s="176">
        <f t="shared" si="1365"/>
        <v>0</v>
      </c>
      <c r="AN166" s="176">
        <f t="shared" si="1365"/>
        <v>5045216.6092191814</v>
      </c>
      <c r="AO166" s="176">
        <f t="shared" si="1365"/>
        <v>34239.190506482439</v>
      </c>
      <c r="AP166" s="176">
        <f t="shared" si="1365"/>
        <v>34639.630593152891</v>
      </c>
      <c r="AQ166" s="176">
        <f t="shared" si="1365"/>
        <v>35040.936968339527</v>
      </c>
      <c r="AR166" s="176">
        <f t="shared" si="1365"/>
        <v>35443.111490207135</v>
      </c>
      <c r="AS166" s="176">
        <f t="shared" si="1365"/>
        <v>35846.156020880851</v>
      </c>
      <c r="AT166" s="176">
        <f t="shared" si="1365"/>
        <v>36250.072426454361</v>
      </c>
      <c r="AU166" s="176">
        <f t="shared" si="1365"/>
        <v>36654.862576998363</v>
      </c>
      <c r="AV166" s="176">
        <f t="shared" si="1365"/>
        <v>37060.528346569095</v>
      </c>
      <c r="AW166" s="176">
        <f t="shared" si="1365"/>
        <v>37467.071613216453</v>
      </c>
      <c r="AX166" s="176">
        <f t="shared" si="1365"/>
        <v>37874.494258992774</v>
      </c>
      <c r="AY166" s="176">
        <f t="shared" si="1365"/>
        <v>38282.798169961279</v>
      </c>
      <c r="AZ166" s="176">
        <f t="shared" si="1365"/>
        <v>38691.985236204535</v>
      </c>
      <c r="BA166" s="176">
        <f t="shared" si="1365"/>
        <v>39102.057351832627</v>
      </c>
      <c r="BB166" s="176">
        <f t="shared" si="1365"/>
        <v>39513.01641499265</v>
      </c>
      <c r="BC166" s="176">
        <f t="shared" si="1365"/>
        <v>39924.864327876203</v>
      </c>
      <c r="BD166" s="176">
        <f t="shared" si="1365"/>
        <v>40337.602996728609</v>
      </c>
      <c r="BE166" s="176">
        <f t="shared" si="1365"/>
        <v>40751.234331857144</v>
      </c>
      <c r="BF166" s="176">
        <f t="shared" si="1365"/>
        <v>41165.760247639999</v>
      </c>
      <c r="BG166" s="176">
        <f t="shared" si="1365"/>
        <v>41581.182662534819</v>
      </c>
      <c r="BH166" s="176">
        <f t="shared" si="1365"/>
        <v>41997.503499087121</v>
      </c>
      <c r="BI166" s="176">
        <f t="shared" si="1365"/>
        <v>42414.724683939217</v>
      </c>
      <c r="BJ166" s="176">
        <f t="shared" si="1365"/>
        <v>42832.848147838682</v>
      </c>
      <c r="BK166" s="176">
        <f t="shared" si="1365"/>
        <v>43251.875825647359</v>
      </c>
      <c r="BL166" s="176">
        <f t="shared" si="1365"/>
        <v>43671.809656349753</v>
      </c>
      <c r="BM166" s="176">
        <f t="shared" si="1365"/>
        <v>44092.651583062099</v>
      </c>
      <c r="BN166" s="176">
        <f t="shared" si="1365"/>
        <v>44514.4035530408</v>
      </c>
      <c r="BO166" s="176">
        <f t="shared" si="1365"/>
        <v>13054972.986111911</v>
      </c>
      <c r="BP166" s="176">
        <f t="shared" si="1365"/>
        <v>0</v>
      </c>
      <c r="BQ166" s="176">
        <f t="shared" si="1365"/>
        <v>5537.7781757210096</v>
      </c>
      <c r="BR166" s="176">
        <f t="shared" si="1365"/>
        <v>5549.151026559447</v>
      </c>
      <c r="BS166" s="176">
        <f t="shared" si="1365"/>
        <v>5560.5472971920826</v>
      </c>
      <c r="BT166" s="176">
        <f t="shared" ref="BT166:CH166" si="1366">+BT148-BT165</f>
        <v>5571.9670359540842</v>
      </c>
      <c r="BU166" s="176">
        <f t="shared" si="1366"/>
        <v>5583.4102912805483</v>
      </c>
      <c r="BV166" s="176">
        <f t="shared" si="1366"/>
        <v>5594.8771117067236</v>
      </c>
      <c r="BW166" s="176">
        <f t="shared" si="1366"/>
        <v>5606.3675458682083</v>
      </c>
      <c r="BX166" s="176">
        <f t="shared" si="1366"/>
        <v>5617.8816425011637</v>
      </c>
      <c r="BY166" s="176">
        <f t="shared" si="1366"/>
        <v>5629.4194504425104</v>
      </c>
      <c r="BZ166" s="176">
        <f t="shared" si="1366"/>
        <v>5640.9810186301556</v>
      </c>
      <c r="CA166" s="176">
        <f t="shared" si="1366"/>
        <v>5652.5663961031923</v>
      </c>
      <c r="CB166" s="176">
        <f t="shared" si="1366"/>
        <v>5664.175632002105</v>
      </c>
      <c r="CC166" s="176">
        <f t="shared" si="1366"/>
        <v>5675.8087755689839</v>
      </c>
      <c r="CD166" s="176">
        <f t="shared" si="1366"/>
        <v>5687.4658761477385</v>
      </c>
      <c r="CE166" s="176">
        <f t="shared" si="1366"/>
        <v>5699.146983184306</v>
      </c>
      <c r="CF166" s="176">
        <f t="shared" si="1366"/>
        <v>5710.8521462268545</v>
      </c>
      <c r="CG166" s="176">
        <f t="shared" si="1366"/>
        <v>5722.5814149260132</v>
      </c>
      <c r="CH166" s="176">
        <f t="shared" si="1366"/>
        <v>5734.3348390350629</v>
      </c>
      <c r="CI166" s="176">
        <f>+CI148-CI165</f>
        <v>5746.1124684101624</v>
      </c>
      <c r="CJ166" s="176">
        <f t="shared" ref="CJ166:CV166" si="1367">+CJ148-CJ165</f>
        <v>5757.9143530105612</v>
      </c>
      <c r="CK166" s="176">
        <f t="shared" si="1367"/>
        <v>5769.7405428988077</v>
      </c>
      <c r="CL166" s="176">
        <f t="shared" si="1367"/>
        <v>5781.5910882409662</v>
      </c>
      <c r="CM166" s="176">
        <f t="shared" si="1367"/>
        <v>5793.4660393068243</v>
      </c>
      <c r="CN166" s="176">
        <f t="shared" si="1367"/>
        <v>5805.3654464701285</v>
      </c>
      <c r="CO166" s="176">
        <f t="shared" si="1367"/>
        <v>5817.289360208767</v>
      </c>
      <c r="CP166" s="176">
        <f t="shared" si="1367"/>
        <v>5829.2378311050115</v>
      </c>
      <c r="CQ166" s="176">
        <f t="shared" si="1367"/>
        <v>5841.2109098457313</v>
      </c>
      <c r="CR166" s="176">
        <f t="shared" si="1367"/>
        <v>5853.208647222591</v>
      </c>
      <c r="CS166" s="176">
        <f t="shared" si="1367"/>
        <v>5865.2310941322894</v>
      </c>
      <c r="CT166" s="176">
        <f t="shared" si="1367"/>
        <v>5877.2783015767618</v>
      </c>
      <c r="CU166" s="176">
        <f t="shared" si="1367"/>
        <v>5889.3503206634086</v>
      </c>
      <c r="CV166" s="176">
        <f t="shared" si="1367"/>
        <v>5901.4472026053027</v>
      </c>
      <c r="CW166" s="176">
        <f t="shared" ref="CW166:EI166" si="1368">+CW148-CW165</f>
        <v>5913.5689987214255</v>
      </c>
      <c r="CX166" s="176">
        <f t="shared" si="1368"/>
        <v>5925.7157604368604</v>
      </c>
      <c r="CY166" s="176">
        <f t="shared" si="1368"/>
        <v>5937.8875392830396</v>
      </c>
      <c r="CZ166" s="176">
        <f t="shared" si="1368"/>
        <v>5950.0843868979455</v>
      </c>
      <c r="DA166" s="176">
        <f t="shared" si="1368"/>
        <v>5962.3063550263378</v>
      </c>
      <c r="DB166" s="176">
        <f t="shared" si="1368"/>
        <v>5974.5534955199828</v>
      </c>
      <c r="DC166" s="176">
        <f t="shared" si="1368"/>
        <v>5986.8258603378572</v>
      </c>
      <c r="DD166" s="176">
        <f t="shared" si="1368"/>
        <v>5999.1235015463808</v>
      </c>
      <c r="DE166" s="176">
        <f t="shared" si="1368"/>
        <v>6011.4464713196448</v>
      </c>
      <c r="DF166" s="176">
        <f t="shared" si="1368"/>
        <v>6023.7948219396239</v>
      </c>
      <c r="DG166" s="176">
        <f t="shared" si="1368"/>
        <v>6036.1686057964025</v>
      </c>
      <c r="DH166" s="176">
        <f t="shared" si="1368"/>
        <v>6048.5678753884004</v>
      </c>
      <c r="DI166" s="176">
        <f t="shared" si="1368"/>
        <v>6060.9926833225963</v>
      </c>
      <c r="DJ166" s="176">
        <f t="shared" si="1368"/>
        <v>6073.4430823147595</v>
      </c>
      <c r="DK166" s="176">
        <f t="shared" si="1368"/>
        <v>6085.9191251896564</v>
      </c>
      <c r="DL166" s="176">
        <f t="shared" si="1368"/>
        <v>6098.4208648813001</v>
      </c>
      <c r="DM166" s="176">
        <f t="shared" si="1368"/>
        <v>6110.9483544331597</v>
      </c>
      <c r="DN166" s="176">
        <f t="shared" si="1368"/>
        <v>6123.5016469983884</v>
      </c>
      <c r="DO166" s="176">
        <f t="shared" si="1368"/>
        <v>6136.0807958400628</v>
      </c>
      <c r="DP166" s="176">
        <f t="shared" si="1368"/>
        <v>6148.6858543313956</v>
      </c>
      <c r="DQ166" s="176">
        <f t="shared" si="1368"/>
        <v>6161.3168759559785</v>
      </c>
      <c r="DR166" s="176">
        <f t="shared" si="1368"/>
        <v>6173.9739143079887</v>
      </c>
      <c r="DS166" s="176">
        <f t="shared" si="1368"/>
        <v>6186.6570230924453</v>
      </c>
      <c r="DT166" s="176">
        <f t="shared" si="1368"/>
        <v>6199.3662561254177</v>
      </c>
      <c r="DU166" s="176">
        <f t="shared" si="1368"/>
        <v>6212.1016673342674</v>
      </c>
      <c r="DV166" s="176">
        <f t="shared" si="1368"/>
        <v>6224.8633107578707</v>
      </c>
      <c r="DW166" s="176">
        <f t="shared" si="1368"/>
        <v>6237.6512405468611</v>
      </c>
      <c r="DX166" s="176">
        <f t="shared" si="1368"/>
        <v>6250.4655109638397</v>
      </c>
      <c r="DY166" s="176">
        <f t="shared" si="1368"/>
        <v>6263.3061763836304</v>
      </c>
      <c r="DZ166" s="176">
        <f t="shared" si="1368"/>
        <v>6276.1732912934986</v>
      </c>
      <c r="EA166" s="176">
        <f t="shared" si="1368"/>
        <v>6289.0669102933898</v>
      </c>
      <c r="EB166" s="176">
        <f t="shared" si="1368"/>
        <v>6301.9870880961553</v>
      </c>
      <c r="EC166" s="176">
        <f t="shared" si="1368"/>
        <v>6314.9338795277999</v>
      </c>
      <c r="ED166" s="176">
        <f t="shared" si="1368"/>
        <v>6327.907339527701</v>
      </c>
      <c r="EE166" s="176">
        <f t="shared" si="1368"/>
        <v>6340.907523148855</v>
      </c>
      <c r="EF166" s="176">
        <f t="shared" si="1368"/>
        <v>6353.9344855581021</v>
      </c>
      <c r="EG166" s="176">
        <f t="shared" si="1368"/>
        <v>6366.9882820363728</v>
      </c>
      <c r="EH166" s="176">
        <f t="shared" si="1368"/>
        <v>6380.0689679789211</v>
      </c>
      <c r="EI166" s="176">
        <f t="shared" si="1368"/>
        <v>6393.1765988955476</v>
      </c>
      <c r="EJ166" s="24"/>
      <c r="EK166" s="24"/>
      <c r="EL166" s="24"/>
      <c r="EM166" s="1" t="s">
        <v>191</v>
      </c>
    </row>
    <row r="167" spans="4:143" x14ac:dyDescent="0.45"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4"/>
      <c r="CF167" s="24"/>
      <c r="CG167" s="24"/>
      <c r="CH167" s="24"/>
      <c r="CI167" s="24"/>
      <c r="CJ167" s="24"/>
      <c r="CK167" s="24"/>
      <c r="CL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C167" s="24"/>
      <c r="DD167" s="24"/>
      <c r="DE167" s="24"/>
      <c r="DF167" s="24"/>
      <c r="DG167" s="24"/>
      <c r="DH167" s="24"/>
      <c r="DI167" s="24"/>
      <c r="DJ167" s="24"/>
      <c r="DK167" s="24"/>
      <c r="DL167" s="24"/>
      <c r="DM167" s="24"/>
      <c r="DN167" s="24"/>
      <c r="DO167" s="24"/>
      <c r="DP167" s="24"/>
      <c r="DQ167" s="24"/>
      <c r="DR167" s="24"/>
      <c r="DS167" s="24"/>
      <c r="DT167" s="24"/>
      <c r="DU167" s="24"/>
      <c r="DV167" s="24"/>
      <c r="DW167" s="24"/>
      <c r="DX167" s="24"/>
      <c r="DY167" s="24"/>
      <c r="DZ167" s="24"/>
      <c r="EA167" s="24"/>
      <c r="EB167" s="24"/>
      <c r="EC167" s="24"/>
      <c r="ED167" s="24"/>
      <c r="EE167" s="24"/>
      <c r="EF167" s="24"/>
      <c r="EG167" s="24"/>
      <c r="EH167" s="24"/>
      <c r="EI167" s="24"/>
      <c r="EJ167" s="24"/>
      <c r="EK167" s="24"/>
      <c r="EL167" s="24"/>
      <c r="EM167" s="1" t="s">
        <v>191</v>
      </c>
    </row>
    <row r="168" spans="4:143" x14ac:dyDescent="0.45">
      <c r="D168" s="79" t="str">
        <f>H$92&amp;" above "&amp;TEXT(L$92,"0.0%")</f>
        <v>Hurdle 3 above 20.0%</v>
      </c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  <c r="AA168" s="176"/>
      <c r="AB168" s="176"/>
      <c r="AC168" s="176"/>
      <c r="AD168" s="176"/>
      <c r="AE168" s="176"/>
      <c r="AF168" s="176"/>
      <c r="AG168" s="176"/>
      <c r="AH168" s="176"/>
      <c r="AI168" s="176"/>
      <c r="AJ168" s="176"/>
      <c r="AK168" s="176"/>
      <c r="AL168" s="176"/>
      <c r="AM168" s="176"/>
      <c r="AN168" s="176"/>
      <c r="AO168" s="176"/>
      <c r="AP168" s="176"/>
      <c r="AQ168" s="176"/>
      <c r="AR168" s="176"/>
      <c r="AS168" s="176"/>
      <c r="AT168" s="176"/>
      <c r="AU168" s="176"/>
      <c r="AV168" s="176"/>
      <c r="AW168" s="176"/>
      <c r="AX168" s="176"/>
      <c r="AY168" s="176"/>
      <c r="AZ168" s="176"/>
      <c r="BA168" s="176"/>
      <c r="BB168" s="176"/>
      <c r="BC168" s="176"/>
      <c r="BD168" s="176"/>
      <c r="BE168" s="176"/>
      <c r="BF168" s="176"/>
      <c r="BG168" s="176"/>
      <c r="BH168" s="176"/>
      <c r="BI168" s="176"/>
      <c r="BJ168" s="176"/>
      <c r="BK168" s="176"/>
      <c r="BL168" s="176"/>
      <c r="BM168" s="176"/>
      <c r="BN168" s="176"/>
      <c r="BO168" s="176"/>
      <c r="BP168" s="176"/>
      <c r="BQ168" s="176"/>
      <c r="BR168" s="176"/>
      <c r="BS168" s="176"/>
      <c r="BT168" s="176"/>
      <c r="BU168" s="176"/>
      <c r="BV168" s="176"/>
      <c r="BW168" s="176"/>
      <c r="BX168" s="176"/>
      <c r="BY168" s="176"/>
      <c r="BZ168" s="176"/>
      <c r="CA168" s="176"/>
      <c r="CB168" s="176"/>
      <c r="CC168" s="176"/>
      <c r="CD168" s="176"/>
      <c r="CE168" s="176"/>
      <c r="CF168" s="176"/>
      <c r="CG168" s="176"/>
      <c r="CH168" s="176"/>
      <c r="CI168" s="176"/>
      <c r="CJ168" s="176"/>
      <c r="CK168" s="176"/>
      <c r="CL168" s="176"/>
      <c r="CM168" s="176"/>
      <c r="CN168" s="176"/>
      <c r="CO168" s="176"/>
      <c r="CP168" s="176"/>
      <c r="CQ168" s="176"/>
      <c r="CR168" s="176"/>
      <c r="CS168" s="176"/>
      <c r="CT168" s="176"/>
      <c r="CU168" s="176"/>
      <c r="CV168" s="176"/>
      <c r="CW168" s="176"/>
      <c r="CX168" s="176"/>
      <c r="CY168" s="176"/>
      <c r="CZ168" s="176"/>
      <c r="DA168" s="176"/>
      <c r="DB168" s="176"/>
      <c r="DC168" s="176"/>
      <c r="DD168" s="176"/>
      <c r="DE168" s="176"/>
      <c r="DF168" s="176"/>
      <c r="DG168" s="176"/>
      <c r="DH168" s="176"/>
      <c r="DI168" s="176"/>
      <c r="DJ168" s="176"/>
      <c r="DK168" s="176"/>
      <c r="DL168" s="176"/>
      <c r="DM168" s="176"/>
      <c r="DN168" s="176"/>
      <c r="DO168" s="176"/>
      <c r="DP168" s="176"/>
      <c r="DQ168" s="176"/>
      <c r="DR168" s="176"/>
      <c r="DS168" s="176"/>
      <c r="DT168" s="176"/>
      <c r="DU168" s="176"/>
      <c r="DV168" s="176"/>
      <c r="DW168" s="176"/>
      <c r="DX168" s="176"/>
      <c r="DY168" s="176"/>
      <c r="DZ168" s="176"/>
      <c r="EA168" s="176"/>
      <c r="EB168" s="176"/>
      <c r="EC168" s="176"/>
      <c r="ED168" s="176"/>
      <c r="EE168" s="176"/>
      <c r="EF168" s="176"/>
      <c r="EG168" s="176"/>
      <c r="EH168" s="176"/>
      <c r="EI168" s="176"/>
      <c r="EJ168" s="24"/>
      <c r="EK168" s="24"/>
      <c r="EL168" s="24"/>
      <c r="EM168" s="1" t="s">
        <v>191</v>
      </c>
    </row>
    <row r="169" spans="4:143" x14ac:dyDescent="0.45">
      <c r="D169" s="1" t="s">
        <v>214</v>
      </c>
      <c r="E169" s="163">
        <f>+$K$92</f>
        <v>0.3</v>
      </c>
      <c r="F169" s="24"/>
      <c r="G169" s="24">
        <f>+$E$169*G166</f>
        <v>0</v>
      </c>
      <c r="H169" s="24">
        <f t="shared" ref="H169:BS169" si="1369">+$E$169*H166</f>
        <v>0</v>
      </c>
      <c r="I169" s="24">
        <f t="shared" si="1369"/>
        <v>0</v>
      </c>
      <c r="J169" s="24">
        <f t="shared" si="1369"/>
        <v>0</v>
      </c>
      <c r="K169" s="24">
        <f t="shared" si="1369"/>
        <v>0</v>
      </c>
      <c r="L169" s="24">
        <f t="shared" si="1369"/>
        <v>0</v>
      </c>
      <c r="M169" s="24">
        <f t="shared" si="1369"/>
        <v>0</v>
      </c>
      <c r="N169" s="24">
        <f t="shared" si="1369"/>
        <v>0</v>
      </c>
      <c r="O169" s="24">
        <f t="shared" si="1369"/>
        <v>0</v>
      </c>
      <c r="P169" s="24">
        <f t="shared" si="1369"/>
        <v>0</v>
      </c>
      <c r="Q169" s="24">
        <f t="shared" si="1369"/>
        <v>0</v>
      </c>
      <c r="R169" s="24">
        <f t="shared" si="1369"/>
        <v>0</v>
      </c>
      <c r="S169" s="24">
        <f t="shared" si="1369"/>
        <v>0</v>
      </c>
      <c r="T169" s="24">
        <f t="shared" si="1369"/>
        <v>0</v>
      </c>
      <c r="U169" s="24">
        <f t="shared" si="1369"/>
        <v>0</v>
      </c>
      <c r="V169" s="24">
        <f t="shared" si="1369"/>
        <v>0</v>
      </c>
      <c r="W169" s="24">
        <f t="shared" si="1369"/>
        <v>0</v>
      </c>
      <c r="X169" s="24">
        <f t="shared" si="1369"/>
        <v>0</v>
      </c>
      <c r="Y169" s="24">
        <f t="shared" si="1369"/>
        <v>0</v>
      </c>
      <c r="Z169" s="24">
        <f t="shared" si="1369"/>
        <v>0</v>
      </c>
      <c r="AA169" s="24">
        <f t="shared" si="1369"/>
        <v>0</v>
      </c>
      <c r="AB169" s="24">
        <f t="shared" si="1369"/>
        <v>0</v>
      </c>
      <c r="AC169" s="24">
        <f t="shared" si="1369"/>
        <v>0</v>
      </c>
      <c r="AD169" s="24">
        <f t="shared" si="1369"/>
        <v>0</v>
      </c>
      <c r="AE169" s="24">
        <f t="shared" si="1369"/>
        <v>0</v>
      </c>
      <c r="AF169" s="24">
        <f t="shared" si="1369"/>
        <v>0</v>
      </c>
      <c r="AG169" s="24">
        <f t="shared" si="1369"/>
        <v>0</v>
      </c>
      <c r="AH169" s="24">
        <f t="shared" si="1369"/>
        <v>0</v>
      </c>
      <c r="AI169" s="24">
        <f t="shared" si="1369"/>
        <v>0</v>
      </c>
      <c r="AJ169" s="24">
        <f t="shared" si="1369"/>
        <v>0</v>
      </c>
      <c r="AK169" s="24">
        <f t="shared" si="1369"/>
        <v>0</v>
      </c>
      <c r="AL169" s="24">
        <f t="shared" si="1369"/>
        <v>0</v>
      </c>
      <c r="AM169" s="24">
        <f t="shared" si="1369"/>
        <v>0</v>
      </c>
      <c r="AN169" s="24">
        <f t="shared" si="1369"/>
        <v>1513564.9827657545</v>
      </c>
      <c r="AO169" s="24">
        <f t="shared" si="1369"/>
        <v>10271.757151944732</v>
      </c>
      <c r="AP169" s="24">
        <f t="shared" si="1369"/>
        <v>10391.889177945866</v>
      </c>
      <c r="AQ169" s="24">
        <f t="shared" si="1369"/>
        <v>10512.281090501858</v>
      </c>
      <c r="AR169" s="24">
        <f t="shared" si="1369"/>
        <v>10632.93344706214</v>
      </c>
      <c r="AS169" s="24">
        <f t="shared" si="1369"/>
        <v>10753.846806264255</v>
      </c>
      <c r="AT169" s="24">
        <f t="shared" si="1369"/>
        <v>10875.021727936308</v>
      </c>
      <c r="AU169" s="24">
        <f t="shared" si="1369"/>
        <v>10996.458773099508</v>
      </c>
      <c r="AV169" s="24">
        <f t="shared" si="1369"/>
        <v>11118.158503970728</v>
      </c>
      <c r="AW169" s="24">
        <f t="shared" si="1369"/>
        <v>11240.121483964935</v>
      </c>
      <c r="AX169" s="24">
        <f t="shared" si="1369"/>
        <v>11362.348277697833</v>
      </c>
      <c r="AY169" s="24">
        <f t="shared" si="1369"/>
        <v>11484.839450988384</v>
      </c>
      <c r="AZ169" s="24">
        <f t="shared" si="1369"/>
        <v>11607.59557086136</v>
      </c>
      <c r="BA169" s="24">
        <f t="shared" si="1369"/>
        <v>11730.617205549788</v>
      </c>
      <c r="BB169" s="24">
        <f t="shared" si="1369"/>
        <v>11853.904924497794</v>
      </c>
      <c r="BC169" s="24">
        <f t="shared" si="1369"/>
        <v>11977.459298362861</v>
      </c>
      <c r="BD169" s="24">
        <f t="shared" si="1369"/>
        <v>12101.280899018582</v>
      </c>
      <c r="BE169" s="24">
        <f t="shared" si="1369"/>
        <v>12225.370299557142</v>
      </c>
      <c r="BF169" s="24">
        <f t="shared" si="1369"/>
        <v>12349.728074291999</v>
      </c>
      <c r="BG169" s="24">
        <f t="shared" si="1369"/>
        <v>12474.354798760445</v>
      </c>
      <c r="BH169" s="24">
        <f t="shared" si="1369"/>
        <v>12599.251049726136</v>
      </c>
      <c r="BI169" s="24">
        <f t="shared" si="1369"/>
        <v>12724.417405181764</v>
      </c>
      <c r="BJ169" s="24">
        <f t="shared" si="1369"/>
        <v>12849.854444351604</v>
      </c>
      <c r="BK169" s="24">
        <f t="shared" si="1369"/>
        <v>12975.562747694208</v>
      </c>
      <c r="BL169" s="24">
        <f t="shared" si="1369"/>
        <v>13101.542896904926</v>
      </c>
      <c r="BM169" s="24">
        <f t="shared" si="1369"/>
        <v>13227.79547491863</v>
      </c>
      <c r="BN169" s="24">
        <f t="shared" si="1369"/>
        <v>13354.32106591224</v>
      </c>
      <c r="BO169" s="24">
        <f t="shared" si="1369"/>
        <v>3916491.8958335733</v>
      </c>
      <c r="BP169" s="24">
        <f t="shared" si="1369"/>
        <v>0</v>
      </c>
      <c r="BQ169" s="24">
        <f t="shared" si="1369"/>
        <v>1661.3334527163029</v>
      </c>
      <c r="BR169" s="24">
        <f t="shared" si="1369"/>
        <v>1664.7453079678342</v>
      </c>
      <c r="BS169" s="24">
        <f t="shared" si="1369"/>
        <v>1668.1641891576248</v>
      </c>
      <c r="BT169" s="24">
        <f t="shared" ref="BT169:CV169" si="1370">+$E$169*BT166</f>
        <v>1671.5901107862253</v>
      </c>
      <c r="BU169" s="24">
        <f t="shared" si="1370"/>
        <v>1675.0230873841645</v>
      </c>
      <c r="BV169" s="24">
        <f t="shared" si="1370"/>
        <v>1678.4631335120171</v>
      </c>
      <c r="BW169" s="24">
        <f t="shared" si="1370"/>
        <v>1681.9102637604624</v>
      </c>
      <c r="BX169" s="24">
        <f t="shared" si="1370"/>
        <v>1685.364492750349</v>
      </c>
      <c r="BY169" s="24">
        <f t="shared" si="1370"/>
        <v>1688.8258351327531</v>
      </c>
      <c r="BZ169" s="24">
        <f t="shared" si="1370"/>
        <v>1692.2943055890466</v>
      </c>
      <c r="CA169" s="24">
        <f t="shared" si="1370"/>
        <v>1695.7699188309577</v>
      </c>
      <c r="CB169" s="24">
        <f t="shared" si="1370"/>
        <v>1699.2526896006314</v>
      </c>
      <c r="CC169" s="24">
        <f t="shared" si="1370"/>
        <v>1702.7426326706952</v>
      </c>
      <c r="CD169" s="24">
        <f t="shared" si="1370"/>
        <v>1706.2397628443216</v>
      </c>
      <c r="CE169" s="24">
        <f t="shared" si="1370"/>
        <v>1709.7440949552918</v>
      </c>
      <c r="CF169" s="24">
        <f t="shared" si="1370"/>
        <v>1713.2556438680563</v>
      </c>
      <c r="CG169" s="24">
        <f t="shared" si="1370"/>
        <v>1716.7744244778039</v>
      </c>
      <c r="CH169" s="24">
        <f t="shared" si="1370"/>
        <v>1720.3004517105189</v>
      </c>
      <c r="CI169" s="24">
        <f t="shared" si="1370"/>
        <v>1723.8337405230486</v>
      </c>
      <c r="CJ169" s="24">
        <f t="shared" si="1370"/>
        <v>1727.3743059031683</v>
      </c>
      <c r="CK169" s="24">
        <f t="shared" si="1370"/>
        <v>1730.9221628696423</v>
      </c>
      <c r="CL169" s="24">
        <f t="shared" si="1370"/>
        <v>1734.4773264722899</v>
      </c>
      <c r="CM169" s="24">
        <f t="shared" si="1370"/>
        <v>1738.0398117920472</v>
      </c>
      <c r="CN169" s="24">
        <f t="shared" si="1370"/>
        <v>1741.6096339410385</v>
      </c>
      <c r="CO169" s="24">
        <f t="shared" si="1370"/>
        <v>1745.18680806263</v>
      </c>
      <c r="CP169" s="24">
        <f t="shared" si="1370"/>
        <v>1748.7713493315034</v>
      </c>
      <c r="CQ169" s="24">
        <f t="shared" si="1370"/>
        <v>1752.3632729537194</v>
      </c>
      <c r="CR169" s="24">
        <f t="shared" si="1370"/>
        <v>1755.9625941667773</v>
      </c>
      <c r="CS169" s="24">
        <f t="shared" si="1370"/>
        <v>1759.5693282396867</v>
      </c>
      <c r="CT169" s="24">
        <f t="shared" si="1370"/>
        <v>1763.1834904730285</v>
      </c>
      <c r="CU169" s="24">
        <f t="shared" si="1370"/>
        <v>1766.8050961990225</v>
      </c>
      <c r="CV169" s="24">
        <f t="shared" si="1370"/>
        <v>1770.4341607815907</v>
      </c>
      <c r="CW169" s="24">
        <f t="shared" ref="CW169:EI169" si="1371">+$E$169*CW166</f>
        <v>1774.0706996164276</v>
      </c>
      <c r="CX169" s="24">
        <f t="shared" si="1371"/>
        <v>1777.7147281310581</v>
      </c>
      <c r="CY169" s="24">
        <f t="shared" si="1371"/>
        <v>1781.3662617849118</v>
      </c>
      <c r="CZ169" s="24">
        <f t="shared" si="1371"/>
        <v>1785.0253160693835</v>
      </c>
      <c r="DA169" s="24">
        <f t="shared" si="1371"/>
        <v>1788.6919065079012</v>
      </c>
      <c r="DB169" s="24">
        <f t="shared" si="1371"/>
        <v>1792.3660486559947</v>
      </c>
      <c r="DC169" s="24">
        <f t="shared" si="1371"/>
        <v>1796.0477581013572</v>
      </c>
      <c r="DD169" s="24">
        <f t="shared" si="1371"/>
        <v>1799.7370504639141</v>
      </c>
      <c r="DE169" s="24">
        <f t="shared" si="1371"/>
        <v>1803.4339413958935</v>
      </c>
      <c r="DF169" s="24">
        <f t="shared" si="1371"/>
        <v>1807.1384465818871</v>
      </c>
      <c r="DG169" s="24">
        <f t="shared" si="1371"/>
        <v>1810.8505817389207</v>
      </c>
      <c r="DH169" s="24">
        <f t="shared" si="1371"/>
        <v>1814.57036261652</v>
      </c>
      <c r="DI169" s="24">
        <f t="shared" si="1371"/>
        <v>1818.297804996779</v>
      </c>
      <c r="DJ169" s="24">
        <f t="shared" si="1371"/>
        <v>1822.0329246944277</v>
      </c>
      <c r="DK169" s="24">
        <f t="shared" si="1371"/>
        <v>1825.775737556897</v>
      </c>
      <c r="DL169" s="24">
        <f t="shared" si="1371"/>
        <v>1829.52625946439</v>
      </c>
      <c r="DM169" s="24">
        <f t="shared" si="1371"/>
        <v>1833.2845063299478</v>
      </c>
      <c r="DN169" s="24">
        <f t="shared" si="1371"/>
        <v>1837.0504940995165</v>
      </c>
      <c r="DO169" s="24">
        <f t="shared" si="1371"/>
        <v>1840.8242387520188</v>
      </c>
      <c r="DP169" s="24">
        <f t="shared" si="1371"/>
        <v>1844.6057562994185</v>
      </c>
      <c r="DQ169" s="24">
        <f t="shared" si="1371"/>
        <v>1848.3950627867935</v>
      </c>
      <c r="DR169" s="24">
        <f t="shared" si="1371"/>
        <v>1852.1921742923964</v>
      </c>
      <c r="DS169" s="24">
        <f t="shared" si="1371"/>
        <v>1855.9971069277335</v>
      </c>
      <c r="DT169" s="24">
        <f t="shared" si="1371"/>
        <v>1859.8098768376253</v>
      </c>
      <c r="DU169" s="24">
        <f t="shared" si="1371"/>
        <v>1863.63050020028</v>
      </c>
      <c r="DV169" s="24">
        <f t="shared" si="1371"/>
        <v>1867.4589932273611</v>
      </c>
      <c r="DW169" s="24">
        <f t="shared" si="1371"/>
        <v>1871.2953721640583</v>
      </c>
      <c r="DX169" s="24">
        <f t="shared" si="1371"/>
        <v>1875.1396532891517</v>
      </c>
      <c r="DY169" s="24">
        <f t="shared" si="1371"/>
        <v>1878.9918529150891</v>
      </c>
      <c r="DZ169" s="24">
        <f t="shared" si="1371"/>
        <v>1882.8519873880496</v>
      </c>
      <c r="EA169" s="24">
        <f t="shared" si="1371"/>
        <v>1886.7200730880168</v>
      </c>
      <c r="EB169" s="24">
        <f t="shared" si="1371"/>
        <v>1890.5961264288464</v>
      </c>
      <c r="EC169" s="24">
        <f t="shared" si="1371"/>
        <v>1894.4801638583399</v>
      </c>
      <c r="ED169" s="24">
        <f t="shared" si="1371"/>
        <v>1898.3722018583103</v>
      </c>
      <c r="EE169" s="24">
        <f t="shared" si="1371"/>
        <v>1902.2722569446564</v>
      </c>
      <c r="EF169" s="24">
        <f t="shared" si="1371"/>
        <v>1906.1803456674306</v>
      </c>
      <c r="EG169" s="24">
        <f t="shared" si="1371"/>
        <v>1910.0964846109118</v>
      </c>
      <c r="EH169" s="24">
        <f t="shared" si="1371"/>
        <v>1914.0206903936762</v>
      </c>
      <c r="EI169" s="24">
        <f t="shared" si="1371"/>
        <v>1917.9529796686643</v>
      </c>
      <c r="EJ169" s="24"/>
      <c r="EK169" s="24"/>
      <c r="EL169" s="24"/>
      <c r="EM169" s="1" t="s">
        <v>191</v>
      </c>
    </row>
    <row r="170" spans="4:143" x14ac:dyDescent="0.45"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4"/>
      <c r="CC170" s="24"/>
      <c r="CD170" s="24"/>
      <c r="CE170" s="24"/>
      <c r="CF170" s="24"/>
      <c r="CG170" s="24"/>
      <c r="CH170" s="24"/>
      <c r="CI170" s="24"/>
      <c r="CJ170" s="24"/>
      <c r="CK170" s="24"/>
      <c r="CL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C170" s="24"/>
      <c r="DD170" s="24"/>
      <c r="DE170" s="24"/>
      <c r="DF170" s="24"/>
      <c r="DG170" s="24"/>
      <c r="DH170" s="24"/>
      <c r="DI170" s="24"/>
      <c r="DJ170" s="24"/>
      <c r="DK170" s="24"/>
      <c r="DL170" s="24"/>
      <c r="DM170" s="24"/>
      <c r="DN170" s="24"/>
      <c r="DO170" s="24"/>
      <c r="DP170" s="24"/>
      <c r="DQ170" s="24"/>
      <c r="DR170" s="24"/>
      <c r="DS170" s="24"/>
      <c r="DT170" s="24"/>
      <c r="DU170" s="24"/>
      <c r="DV170" s="24"/>
      <c r="DW170" s="24"/>
      <c r="DX170" s="24"/>
      <c r="DY170" s="24"/>
      <c r="DZ170" s="24"/>
      <c r="EA170" s="24"/>
      <c r="EB170" s="24"/>
      <c r="EC170" s="24"/>
      <c r="ED170" s="24"/>
      <c r="EE170" s="24"/>
      <c r="EF170" s="24"/>
      <c r="EG170" s="24"/>
      <c r="EH170" s="24"/>
      <c r="EI170" s="24"/>
      <c r="EJ170" s="24"/>
      <c r="EK170" s="24"/>
      <c r="EL170" s="24"/>
      <c r="EM170" s="1" t="s">
        <v>191</v>
      </c>
    </row>
    <row r="171" spans="4:143" x14ac:dyDescent="0.45">
      <c r="D171" s="1" t="s">
        <v>210</v>
      </c>
      <c r="E171" s="163">
        <f>(1-E169)</f>
        <v>0.7</v>
      </c>
      <c r="F171" s="24"/>
      <c r="G171" s="24">
        <f>+$E$171*G166</f>
        <v>0</v>
      </c>
      <c r="H171" s="24">
        <f t="shared" ref="H171:BS171" si="1372">+$E$171*H166</f>
        <v>0</v>
      </c>
      <c r="I171" s="24">
        <f t="shared" si="1372"/>
        <v>0</v>
      </c>
      <c r="J171" s="24">
        <f t="shared" si="1372"/>
        <v>0</v>
      </c>
      <c r="K171" s="24">
        <f t="shared" si="1372"/>
        <v>0</v>
      </c>
      <c r="L171" s="24">
        <f t="shared" si="1372"/>
        <v>0</v>
      </c>
      <c r="M171" s="24">
        <f t="shared" si="1372"/>
        <v>0</v>
      </c>
      <c r="N171" s="24">
        <f t="shared" si="1372"/>
        <v>0</v>
      </c>
      <c r="O171" s="24">
        <f t="shared" si="1372"/>
        <v>0</v>
      </c>
      <c r="P171" s="24">
        <f t="shared" si="1372"/>
        <v>0</v>
      </c>
      <c r="Q171" s="24">
        <f t="shared" si="1372"/>
        <v>0</v>
      </c>
      <c r="R171" s="24">
        <f t="shared" si="1372"/>
        <v>0</v>
      </c>
      <c r="S171" s="24">
        <f t="shared" si="1372"/>
        <v>0</v>
      </c>
      <c r="T171" s="24">
        <f t="shared" si="1372"/>
        <v>0</v>
      </c>
      <c r="U171" s="24">
        <f t="shared" si="1372"/>
        <v>0</v>
      </c>
      <c r="V171" s="24">
        <f t="shared" si="1372"/>
        <v>0</v>
      </c>
      <c r="W171" s="24">
        <f t="shared" si="1372"/>
        <v>0</v>
      </c>
      <c r="X171" s="24">
        <f t="shared" si="1372"/>
        <v>0</v>
      </c>
      <c r="Y171" s="24">
        <f t="shared" si="1372"/>
        <v>0</v>
      </c>
      <c r="Z171" s="24">
        <f t="shared" si="1372"/>
        <v>0</v>
      </c>
      <c r="AA171" s="24">
        <f t="shared" si="1372"/>
        <v>0</v>
      </c>
      <c r="AB171" s="24">
        <f t="shared" si="1372"/>
        <v>0</v>
      </c>
      <c r="AC171" s="24">
        <f t="shared" si="1372"/>
        <v>0</v>
      </c>
      <c r="AD171" s="24">
        <f t="shared" si="1372"/>
        <v>0</v>
      </c>
      <c r="AE171" s="24">
        <f t="shared" si="1372"/>
        <v>0</v>
      </c>
      <c r="AF171" s="24">
        <f t="shared" si="1372"/>
        <v>0</v>
      </c>
      <c r="AG171" s="24">
        <f t="shared" si="1372"/>
        <v>0</v>
      </c>
      <c r="AH171" s="24">
        <f t="shared" si="1372"/>
        <v>0</v>
      </c>
      <c r="AI171" s="24">
        <f t="shared" si="1372"/>
        <v>0</v>
      </c>
      <c r="AJ171" s="24">
        <f t="shared" si="1372"/>
        <v>0</v>
      </c>
      <c r="AK171" s="24">
        <f t="shared" si="1372"/>
        <v>0</v>
      </c>
      <c r="AL171" s="24">
        <f t="shared" si="1372"/>
        <v>0</v>
      </c>
      <c r="AM171" s="24">
        <f t="shared" si="1372"/>
        <v>0</v>
      </c>
      <c r="AN171" s="24">
        <f t="shared" si="1372"/>
        <v>3531651.6264534267</v>
      </c>
      <c r="AO171" s="24">
        <f t="shared" si="1372"/>
        <v>23967.433354537705</v>
      </c>
      <c r="AP171" s="24">
        <f t="shared" si="1372"/>
        <v>24247.741415207023</v>
      </c>
      <c r="AQ171" s="24">
        <f t="shared" si="1372"/>
        <v>24528.655877837668</v>
      </c>
      <c r="AR171" s="24">
        <f t="shared" si="1372"/>
        <v>24810.178043144992</v>
      </c>
      <c r="AS171" s="24">
        <f t="shared" si="1372"/>
        <v>25092.309214616595</v>
      </c>
      <c r="AT171" s="24">
        <f t="shared" si="1372"/>
        <v>25375.050698518051</v>
      </c>
      <c r="AU171" s="24">
        <f t="shared" si="1372"/>
        <v>25658.403803898851</v>
      </c>
      <c r="AV171" s="24">
        <f t="shared" si="1372"/>
        <v>25942.369842598364</v>
      </c>
      <c r="AW171" s="24">
        <f t="shared" si="1372"/>
        <v>26226.950129251516</v>
      </c>
      <c r="AX171" s="24">
        <f t="shared" si="1372"/>
        <v>26512.14598129494</v>
      </c>
      <c r="AY171" s="24">
        <f t="shared" si="1372"/>
        <v>26797.958718972895</v>
      </c>
      <c r="AZ171" s="24">
        <f t="shared" si="1372"/>
        <v>27084.389665343173</v>
      </c>
      <c r="BA171" s="24">
        <f t="shared" si="1372"/>
        <v>27371.440146282839</v>
      </c>
      <c r="BB171" s="24">
        <f t="shared" si="1372"/>
        <v>27659.111490494852</v>
      </c>
      <c r="BC171" s="24">
        <f t="shared" si="1372"/>
        <v>27947.405029513342</v>
      </c>
      <c r="BD171" s="24">
        <f t="shared" si="1372"/>
        <v>28236.322097710025</v>
      </c>
      <c r="BE171" s="24">
        <f t="shared" si="1372"/>
        <v>28525.8640323</v>
      </c>
      <c r="BF171" s="24">
        <f t="shared" si="1372"/>
        <v>28816.032173347998</v>
      </c>
      <c r="BG171" s="24">
        <f t="shared" si="1372"/>
        <v>29106.827863774372</v>
      </c>
      <c r="BH171" s="24">
        <f t="shared" si="1372"/>
        <v>29398.252449360982</v>
      </c>
      <c r="BI171" s="24">
        <f t="shared" si="1372"/>
        <v>29690.307278757449</v>
      </c>
      <c r="BJ171" s="24">
        <f t="shared" si="1372"/>
        <v>29982.993703487075</v>
      </c>
      <c r="BK171" s="24">
        <f t="shared" si="1372"/>
        <v>30276.313077953149</v>
      </c>
      <c r="BL171" s="24">
        <f t="shared" si="1372"/>
        <v>30570.266759444825</v>
      </c>
      <c r="BM171" s="24">
        <f t="shared" si="1372"/>
        <v>30864.856108143467</v>
      </c>
      <c r="BN171" s="24">
        <f t="shared" si="1372"/>
        <v>31160.082487128559</v>
      </c>
      <c r="BO171" s="24">
        <f t="shared" si="1372"/>
        <v>9138481.0902783368</v>
      </c>
      <c r="BP171" s="24">
        <f t="shared" si="1372"/>
        <v>0</v>
      </c>
      <c r="BQ171" s="24">
        <f t="shared" si="1372"/>
        <v>3876.4447230047062</v>
      </c>
      <c r="BR171" s="24">
        <f t="shared" si="1372"/>
        <v>3884.4057185916126</v>
      </c>
      <c r="BS171" s="24">
        <f t="shared" si="1372"/>
        <v>3892.3831080344576</v>
      </c>
      <c r="BT171" s="24">
        <f t="shared" ref="BT171:CV171" si="1373">+$E$171*BT166</f>
        <v>3900.3769251678586</v>
      </c>
      <c r="BU171" s="24">
        <f t="shared" si="1373"/>
        <v>3908.3872038963837</v>
      </c>
      <c r="BV171" s="24">
        <f t="shared" si="1373"/>
        <v>3916.413978194706</v>
      </c>
      <c r="BW171" s="24">
        <f t="shared" si="1373"/>
        <v>3924.4572821077454</v>
      </c>
      <c r="BX171" s="24">
        <f t="shared" si="1373"/>
        <v>3932.5171497508145</v>
      </c>
      <c r="BY171" s="24">
        <f t="shared" si="1373"/>
        <v>3940.5936153097568</v>
      </c>
      <c r="BZ171" s="24">
        <f t="shared" si="1373"/>
        <v>3948.6867130411088</v>
      </c>
      <c r="CA171" s="24">
        <f t="shared" si="1373"/>
        <v>3956.7964772722344</v>
      </c>
      <c r="CB171" s="24">
        <f t="shared" si="1373"/>
        <v>3964.9229424014734</v>
      </c>
      <c r="CC171" s="24">
        <f t="shared" si="1373"/>
        <v>3973.0661428982885</v>
      </c>
      <c r="CD171" s="24">
        <f t="shared" si="1373"/>
        <v>3981.2261133034167</v>
      </c>
      <c r="CE171" s="24">
        <f t="shared" si="1373"/>
        <v>3989.402888229014</v>
      </c>
      <c r="CF171" s="24">
        <f t="shared" si="1373"/>
        <v>3997.5965023587978</v>
      </c>
      <c r="CG171" s="24">
        <f t="shared" si="1373"/>
        <v>4005.806990448209</v>
      </c>
      <c r="CH171" s="24">
        <f t="shared" si="1373"/>
        <v>4014.0343873245438</v>
      </c>
      <c r="CI171" s="24">
        <f t="shared" si="1373"/>
        <v>4022.2787278871133</v>
      </c>
      <c r="CJ171" s="24">
        <f t="shared" si="1373"/>
        <v>4030.5400471073926</v>
      </c>
      <c r="CK171" s="24">
        <f t="shared" si="1373"/>
        <v>4038.8183800291649</v>
      </c>
      <c r="CL171" s="24">
        <f t="shared" si="1373"/>
        <v>4047.1137617686759</v>
      </c>
      <c r="CM171" s="24">
        <f t="shared" si="1373"/>
        <v>4055.4262275147767</v>
      </c>
      <c r="CN171" s="24">
        <f t="shared" si="1373"/>
        <v>4063.7558125290898</v>
      </c>
      <c r="CO171" s="24">
        <f t="shared" si="1373"/>
        <v>4072.1025521461365</v>
      </c>
      <c r="CP171" s="24">
        <f t="shared" si="1373"/>
        <v>4080.4664817735079</v>
      </c>
      <c r="CQ171" s="24">
        <f t="shared" si="1373"/>
        <v>4088.8476368920115</v>
      </c>
      <c r="CR171" s="24">
        <f t="shared" si="1373"/>
        <v>4097.2460530558137</v>
      </c>
      <c r="CS171" s="24">
        <f t="shared" si="1373"/>
        <v>4105.6617658926025</v>
      </c>
      <c r="CT171" s="24">
        <f t="shared" si="1373"/>
        <v>4114.0948111037333</v>
      </c>
      <c r="CU171" s="24">
        <f t="shared" si="1373"/>
        <v>4122.5452244643857</v>
      </c>
      <c r="CV171" s="24">
        <f t="shared" si="1373"/>
        <v>4131.0130418237113</v>
      </c>
      <c r="CW171" s="24">
        <f t="shared" ref="CW171:EI171" si="1374">+$E$171*CW166</f>
        <v>4139.4982991049974</v>
      </c>
      <c r="CX171" s="24">
        <f t="shared" si="1374"/>
        <v>4148.0010323058023</v>
      </c>
      <c r="CY171" s="24">
        <f t="shared" si="1374"/>
        <v>4156.5212774981273</v>
      </c>
      <c r="CZ171" s="24">
        <f t="shared" si="1374"/>
        <v>4165.0590708285617</v>
      </c>
      <c r="DA171" s="24">
        <f t="shared" si="1374"/>
        <v>4173.6144485184359</v>
      </c>
      <c r="DB171" s="24">
        <f t="shared" si="1374"/>
        <v>4182.187446863988</v>
      </c>
      <c r="DC171" s="24">
        <f t="shared" si="1374"/>
        <v>4190.7781022364998</v>
      </c>
      <c r="DD171" s="24">
        <f t="shared" si="1374"/>
        <v>4199.386451082466</v>
      </c>
      <c r="DE171" s="24">
        <f t="shared" si="1374"/>
        <v>4208.0125299237516</v>
      </c>
      <c r="DF171" s="24">
        <f t="shared" si="1374"/>
        <v>4216.6563753577366</v>
      </c>
      <c r="DG171" s="24">
        <f t="shared" si="1374"/>
        <v>4225.3180240574811</v>
      </c>
      <c r="DH171" s="24">
        <f t="shared" si="1374"/>
        <v>4233.9975127718799</v>
      </c>
      <c r="DI171" s="24">
        <f t="shared" si="1374"/>
        <v>4242.6948783258176</v>
      </c>
      <c r="DJ171" s="24">
        <f t="shared" si="1374"/>
        <v>4251.4101576203311</v>
      </c>
      <c r="DK171" s="24">
        <f t="shared" si="1374"/>
        <v>4260.1433876327592</v>
      </c>
      <c r="DL171" s="24">
        <f t="shared" si="1374"/>
        <v>4268.8946054169101</v>
      </c>
      <c r="DM171" s="24">
        <f t="shared" si="1374"/>
        <v>4277.6638481032114</v>
      </c>
      <c r="DN171" s="24">
        <f t="shared" si="1374"/>
        <v>4286.4511528988714</v>
      </c>
      <c r="DO171" s="24">
        <f t="shared" si="1374"/>
        <v>4295.2565570880433</v>
      </c>
      <c r="DP171" s="24">
        <f t="shared" si="1374"/>
        <v>4304.0800980319764</v>
      </c>
      <c r="DQ171" s="24">
        <f t="shared" si="1374"/>
        <v>4312.921813169185</v>
      </c>
      <c r="DR171" s="24">
        <f t="shared" si="1374"/>
        <v>4321.7817400155918</v>
      </c>
      <c r="DS171" s="24">
        <f t="shared" si="1374"/>
        <v>4330.6599161647118</v>
      </c>
      <c r="DT171" s="24">
        <f t="shared" si="1374"/>
        <v>4339.556379287792</v>
      </c>
      <c r="DU171" s="24">
        <f t="shared" si="1374"/>
        <v>4348.4711671339865</v>
      </c>
      <c r="DV171" s="24">
        <f t="shared" si="1374"/>
        <v>4357.4043175305096</v>
      </c>
      <c r="DW171" s="24">
        <f t="shared" si="1374"/>
        <v>4366.3558683828023</v>
      </c>
      <c r="DX171" s="24">
        <f t="shared" si="1374"/>
        <v>4375.3258576746875</v>
      </c>
      <c r="DY171" s="24">
        <f t="shared" si="1374"/>
        <v>4384.3143234685413</v>
      </c>
      <c r="DZ171" s="24">
        <f t="shared" si="1374"/>
        <v>4393.321303905449</v>
      </c>
      <c r="EA171" s="24">
        <f t="shared" si="1374"/>
        <v>4402.3468372053721</v>
      </c>
      <c r="EB171" s="24">
        <f t="shared" si="1374"/>
        <v>4411.3909616673081</v>
      </c>
      <c r="EC171" s="24">
        <f t="shared" si="1374"/>
        <v>4420.4537156694596</v>
      </c>
      <c r="ED171" s="24">
        <f t="shared" si="1374"/>
        <v>4429.5351376693907</v>
      </c>
      <c r="EE171" s="24">
        <f t="shared" si="1374"/>
        <v>4438.6352662041982</v>
      </c>
      <c r="EF171" s="24">
        <f t="shared" si="1374"/>
        <v>4447.7541398906715</v>
      </c>
      <c r="EG171" s="24">
        <f t="shared" si="1374"/>
        <v>4456.8917974254609</v>
      </c>
      <c r="EH171" s="24">
        <f t="shared" si="1374"/>
        <v>4466.0482775852443</v>
      </c>
      <c r="EI171" s="24">
        <f t="shared" si="1374"/>
        <v>4475.2236192268829</v>
      </c>
      <c r="EJ171" s="24"/>
      <c r="EK171" s="24"/>
      <c r="EL171" s="24"/>
      <c r="EM171" s="1" t="s">
        <v>191</v>
      </c>
    </row>
    <row r="172" spans="4:143" x14ac:dyDescent="0.45">
      <c r="D172" s="2" t="s">
        <v>215</v>
      </c>
      <c r="E172" s="176"/>
      <c r="F172" s="176"/>
      <c r="G172" s="176">
        <f t="shared" ref="G172:AL172" si="1375">SUM(G169:G171)</f>
        <v>0</v>
      </c>
      <c r="H172" s="176">
        <f t="shared" si="1375"/>
        <v>0</v>
      </c>
      <c r="I172" s="176">
        <f t="shared" si="1375"/>
        <v>0</v>
      </c>
      <c r="J172" s="176">
        <f t="shared" si="1375"/>
        <v>0</v>
      </c>
      <c r="K172" s="176">
        <f t="shared" si="1375"/>
        <v>0</v>
      </c>
      <c r="L172" s="176">
        <f t="shared" si="1375"/>
        <v>0</v>
      </c>
      <c r="M172" s="176">
        <f t="shared" si="1375"/>
        <v>0</v>
      </c>
      <c r="N172" s="176">
        <f t="shared" si="1375"/>
        <v>0</v>
      </c>
      <c r="O172" s="176">
        <f t="shared" si="1375"/>
        <v>0</v>
      </c>
      <c r="P172" s="176">
        <f t="shared" si="1375"/>
        <v>0</v>
      </c>
      <c r="Q172" s="176">
        <f t="shared" si="1375"/>
        <v>0</v>
      </c>
      <c r="R172" s="176">
        <f t="shared" si="1375"/>
        <v>0</v>
      </c>
      <c r="S172" s="176">
        <f t="shared" si="1375"/>
        <v>0</v>
      </c>
      <c r="T172" s="176">
        <f t="shared" si="1375"/>
        <v>0</v>
      </c>
      <c r="U172" s="176">
        <f t="shared" si="1375"/>
        <v>0</v>
      </c>
      <c r="V172" s="176">
        <f t="shared" si="1375"/>
        <v>0</v>
      </c>
      <c r="W172" s="176">
        <f t="shared" si="1375"/>
        <v>0</v>
      </c>
      <c r="X172" s="176">
        <f t="shared" si="1375"/>
        <v>0</v>
      </c>
      <c r="Y172" s="176">
        <f t="shared" si="1375"/>
        <v>0</v>
      </c>
      <c r="Z172" s="176">
        <f t="shared" si="1375"/>
        <v>0</v>
      </c>
      <c r="AA172" s="176">
        <f t="shared" si="1375"/>
        <v>0</v>
      </c>
      <c r="AB172" s="176">
        <f t="shared" si="1375"/>
        <v>0</v>
      </c>
      <c r="AC172" s="176">
        <f t="shared" si="1375"/>
        <v>0</v>
      </c>
      <c r="AD172" s="176">
        <f t="shared" si="1375"/>
        <v>0</v>
      </c>
      <c r="AE172" s="176">
        <f t="shared" si="1375"/>
        <v>0</v>
      </c>
      <c r="AF172" s="176">
        <f t="shared" si="1375"/>
        <v>0</v>
      </c>
      <c r="AG172" s="176">
        <f t="shared" si="1375"/>
        <v>0</v>
      </c>
      <c r="AH172" s="176">
        <f t="shared" si="1375"/>
        <v>0</v>
      </c>
      <c r="AI172" s="176">
        <f t="shared" si="1375"/>
        <v>0</v>
      </c>
      <c r="AJ172" s="176">
        <f t="shared" si="1375"/>
        <v>0</v>
      </c>
      <c r="AK172" s="176">
        <f t="shared" si="1375"/>
        <v>0</v>
      </c>
      <c r="AL172" s="176">
        <f t="shared" si="1375"/>
        <v>0</v>
      </c>
      <c r="AM172" s="176">
        <f t="shared" ref="AM172:BR172" si="1376">SUM(AM169:AM171)</f>
        <v>0</v>
      </c>
      <c r="AN172" s="176">
        <f t="shared" si="1376"/>
        <v>5045216.6092191814</v>
      </c>
      <c r="AO172" s="176">
        <f t="shared" si="1376"/>
        <v>34239.190506482439</v>
      </c>
      <c r="AP172" s="176">
        <f t="shared" si="1376"/>
        <v>34639.630593152891</v>
      </c>
      <c r="AQ172" s="176">
        <f t="shared" si="1376"/>
        <v>35040.936968339527</v>
      </c>
      <c r="AR172" s="176">
        <f t="shared" si="1376"/>
        <v>35443.111490207128</v>
      </c>
      <c r="AS172" s="176">
        <f t="shared" si="1376"/>
        <v>35846.156020880851</v>
      </c>
      <c r="AT172" s="176">
        <f t="shared" si="1376"/>
        <v>36250.072426454361</v>
      </c>
      <c r="AU172" s="176">
        <f t="shared" si="1376"/>
        <v>36654.862576998363</v>
      </c>
      <c r="AV172" s="176">
        <f t="shared" si="1376"/>
        <v>37060.528346569088</v>
      </c>
      <c r="AW172" s="176">
        <f t="shared" si="1376"/>
        <v>37467.071613216453</v>
      </c>
      <c r="AX172" s="176">
        <f t="shared" si="1376"/>
        <v>37874.494258992774</v>
      </c>
      <c r="AY172" s="176">
        <f t="shared" si="1376"/>
        <v>38282.798169961279</v>
      </c>
      <c r="AZ172" s="176">
        <f t="shared" si="1376"/>
        <v>38691.985236204535</v>
      </c>
      <c r="BA172" s="176">
        <f t="shared" si="1376"/>
        <v>39102.057351832627</v>
      </c>
      <c r="BB172" s="176">
        <f t="shared" si="1376"/>
        <v>39513.016414992642</v>
      </c>
      <c r="BC172" s="176">
        <f t="shared" si="1376"/>
        <v>39924.864327876203</v>
      </c>
      <c r="BD172" s="176">
        <f t="shared" si="1376"/>
        <v>40337.602996728609</v>
      </c>
      <c r="BE172" s="176">
        <f t="shared" si="1376"/>
        <v>40751.234331857144</v>
      </c>
      <c r="BF172" s="176">
        <f t="shared" si="1376"/>
        <v>41165.760247639999</v>
      </c>
      <c r="BG172" s="176">
        <f t="shared" si="1376"/>
        <v>41581.182662534819</v>
      </c>
      <c r="BH172" s="176">
        <f t="shared" si="1376"/>
        <v>41997.503499087121</v>
      </c>
      <c r="BI172" s="176">
        <f t="shared" si="1376"/>
        <v>42414.724683939217</v>
      </c>
      <c r="BJ172" s="176">
        <f t="shared" si="1376"/>
        <v>42832.848147838682</v>
      </c>
      <c r="BK172" s="176">
        <f t="shared" si="1376"/>
        <v>43251.875825647359</v>
      </c>
      <c r="BL172" s="176">
        <f t="shared" si="1376"/>
        <v>43671.809656349753</v>
      </c>
      <c r="BM172" s="176">
        <f t="shared" si="1376"/>
        <v>44092.651583062099</v>
      </c>
      <c r="BN172" s="176">
        <f t="shared" si="1376"/>
        <v>44514.4035530408</v>
      </c>
      <c r="BO172" s="176">
        <f t="shared" si="1376"/>
        <v>13054972.986111909</v>
      </c>
      <c r="BP172" s="176">
        <f t="shared" si="1376"/>
        <v>0</v>
      </c>
      <c r="BQ172" s="176">
        <f t="shared" si="1376"/>
        <v>5537.7781757210087</v>
      </c>
      <c r="BR172" s="176">
        <f t="shared" si="1376"/>
        <v>5549.151026559447</v>
      </c>
      <c r="BS172" s="176">
        <f t="shared" ref="BS172:CX172" si="1377">SUM(BS169:BS171)</f>
        <v>5560.5472971920826</v>
      </c>
      <c r="BT172" s="176">
        <f t="shared" si="1377"/>
        <v>5571.9670359540842</v>
      </c>
      <c r="BU172" s="176">
        <f t="shared" si="1377"/>
        <v>5583.4102912805483</v>
      </c>
      <c r="BV172" s="176">
        <f t="shared" si="1377"/>
        <v>5594.8771117067226</v>
      </c>
      <c r="BW172" s="176">
        <f t="shared" si="1377"/>
        <v>5606.3675458682083</v>
      </c>
      <c r="BX172" s="176">
        <f t="shared" si="1377"/>
        <v>5617.8816425011637</v>
      </c>
      <c r="BY172" s="176">
        <f t="shared" si="1377"/>
        <v>5629.4194504425104</v>
      </c>
      <c r="BZ172" s="176">
        <f t="shared" si="1377"/>
        <v>5640.9810186301556</v>
      </c>
      <c r="CA172" s="176">
        <f t="shared" si="1377"/>
        <v>5652.5663961031923</v>
      </c>
      <c r="CB172" s="176">
        <f t="shared" si="1377"/>
        <v>5664.175632002105</v>
      </c>
      <c r="CC172" s="176">
        <f t="shared" si="1377"/>
        <v>5675.8087755689839</v>
      </c>
      <c r="CD172" s="176">
        <f t="shared" si="1377"/>
        <v>5687.4658761477385</v>
      </c>
      <c r="CE172" s="176">
        <f t="shared" si="1377"/>
        <v>5699.146983184306</v>
      </c>
      <c r="CF172" s="176">
        <f t="shared" si="1377"/>
        <v>5710.8521462268545</v>
      </c>
      <c r="CG172" s="176">
        <f t="shared" si="1377"/>
        <v>5722.5814149260132</v>
      </c>
      <c r="CH172" s="176">
        <f t="shared" si="1377"/>
        <v>5734.3348390350629</v>
      </c>
      <c r="CI172" s="176">
        <f t="shared" si="1377"/>
        <v>5746.1124684101615</v>
      </c>
      <c r="CJ172" s="176">
        <f t="shared" si="1377"/>
        <v>5757.9143530105612</v>
      </c>
      <c r="CK172" s="176">
        <f t="shared" si="1377"/>
        <v>5769.7405428988077</v>
      </c>
      <c r="CL172" s="176">
        <f t="shared" si="1377"/>
        <v>5781.5910882409662</v>
      </c>
      <c r="CM172" s="176">
        <f t="shared" si="1377"/>
        <v>5793.4660393068243</v>
      </c>
      <c r="CN172" s="176">
        <f t="shared" si="1377"/>
        <v>5805.3654464701285</v>
      </c>
      <c r="CO172" s="176">
        <f t="shared" si="1377"/>
        <v>5817.2893602087661</v>
      </c>
      <c r="CP172" s="176">
        <f t="shared" si="1377"/>
        <v>5829.2378311050115</v>
      </c>
      <c r="CQ172" s="176">
        <f t="shared" si="1377"/>
        <v>5841.2109098457313</v>
      </c>
      <c r="CR172" s="176">
        <f t="shared" si="1377"/>
        <v>5853.208647222591</v>
      </c>
      <c r="CS172" s="176">
        <f t="shared" si="1377"/>
        <v>5865.2310941322894</v>
      </c>
      <c r="CT172" s="176">
        <f t="shared" si="1377"/>
        <v>5877.2783015767618</v>
      </c>
      <c r="CU172" s="176">
        <f t="shared" si="1377"/>
        <v>5889.3503206634086</v>
      </c>
      <c r="CV172" s="176">
        <f t="shared" si="1377"/>
        <v>5901.4472026053018</v>
      </c>
      <c r="CW172" s="176">
        <f t="shared" si="1377"/>
        <v>5913.5689987214246</v>
      </c>
      <c r="CX172" s="176">
        <f t="shared" si="1377"/>
        <v>5925.7157604368604</v>
      </c>
      <c r="CY172" s="176">
        <f t="shared" ref="CY172:ED172" si="1378">SUM(CY169:CY171)</f>
        <v>5937.8875392830396</v>
      </c>
      <c r="CZ172" s="176">
        <f t="shared" si="1378"/>
        <v>5950.0843868979455</v>
      </c>
      <c r="DA172" s="176">
        <f t="shared" si="1378"/>
        <v>5962.3063550263369</v>
      </c>
      <c r="DB172" s="176">
        <f t="shared" si="1378"/>
        <v>5974.5534955199828</v>
      </c>
      <c r="DC172" s="176">
        <f t="shared" si="1378"/>
        <v>5986.8258603378572</v>
      </c>
      <c r="DD172" s="176">
        <f t="shared" si="1378"/>
        <v>5999.1235015463799</v>
      </c>
      <c r="DE172" s="176">
        <f t="shared" si="1378"/>
        <v>6011.4464713196448</v>
      </c>
      <c r="DF172" s="176">
        <f t="shared" si="1378"/>
        <v>6023.7948219396239</v>
      </c>
      <c r="DG172" s="176">
        <f t="shared" si="1378"/>
        <v>6036.1686057964016</v>
      </c>
      <c r="DH172" s="176">
        <f t="shared" si="1378"/>
        <v>6048.5678753884004</v>
      </c>
      <c r="DI172" s="176">
        <f t="shared" si="1378"/>
        <v>6060.9926833225963</v>
      </c>
      <c r="DJ172" s="176">
        <f t="shared" si="1378"/>
        <v>6073.4430823147586</v>
      </c>
      <c r="DK172" s="176">
        <f t="shared" si="1378"/>
        <v>6085.9191251896564</v>
      </c>
      <c r="DL172" s="176">
        <f t="shared" si="1378"/>
        <v>6098.4208648813001</v>
      </c>
      <c r="DM172" s="176">
        <f t="shared" si="1378"/>
        <v>6110.9483544331597</v>
      </c>
      <c r="DN172" s="176">
        <f t="shared" si="1378"/>
        <v>6123.5016469983875</v>
      </c>
      <c r="DO172" s="176">
        <f t="shared" si="1378"/>
        <v>6136.0807958400619</v>
      </c>
      <c r="DP172" s="176">
        <f t="shared" si="1378"/>
        <v>6148.6858543313947</v>
      </c>
      <c r="DQ172" s="176">
        <f t="shared" si="1378"/>
        <v>6161.3168759559785</v>
      </c>
      <c r="DR172" s="176">
        <f t="shared" si="1378"/>
        <v>6173.9739143079878</v>
      </c>
      <c r="DS172" s="176">
        <f t="shared" si="1378"/>
        <v>6186.6570230924453</v>
      </c>
      <c r="DT172" s="176">
        <f t="shared" si="1378"/>
        <v>6199.3662561254168</v>
      </c>
      <c r="DU172" s="176">
        <f t="shared" si="1378"/>
        <v>6212.1016673342665</v>
      </c>
      <c r="DV172" s="176">
        <f t="shared" si="1378"/>
        <v>6224.8633107578707</v>
      </c>
      <c r="DW172" s="176">
        <f t="shared" si="1378"/>
        <v>6237.6512405468602</v>
      </c>
      <c r="DX172" s="176">
        <f t="shared" si="1378"/>
        <v>6250.4655109638388</v>
      </c>
      <c r="DY172" s="176">
        <f t="shared" si="1378"/>
        <v>6263.3061763836304</v>
      </c>
      <c r="DZ172" s="176">
        <f t="shared" si="1378"/>
        <v>6276.1732912934986</v>
      </c>
      <c r="EA172" s="176">
        <f t="shared" si="1378"/>
        <v>6289.0669102933889</v>
      </c>
      <c r="EB172" s="176">
        <f t="shared" si="1378"/>
        <v>6301.9870880961544</v>
      </c>
      <c r="EC172" s="176">
        <f t="shared" si="1378"/>
        <v>6314.9338795277999</v>
      </c>
      <c r="ED172" s="176">
        <f t="shared" si="1378"/>
        <v>6327.907339527701</v>
      </c>
      <c r="EE172" s="176">
        <f t="shared" ref="EE172:EI172" si="1379">SUM(EE169:EE171)</f>
        <v>6340.907523148855</v>
      </c>
      <c r="EF172" s="176">
        <f t="shared" si="1379"/>
        <v>6353.9344855581021</v>
      </c>
      <c r="EG172" s="176">
        <f t="shared" si="1379"/>
        <v>6366.9882820363728</v>
      </c>
      <c r="EH172" s="176">
        <f t="shared" si="1379"/>
        <v>6380.0689679789202</v>
      </c>
      <c r="EI172" s="176">
        <f t="shared" si="1379"/>
        <v>6393.1765988955467</v>
      </c>
      <c r="EJ172" s="24"/>
      <c r="EK172" s="24"/>
      <c r="EL172" s="24"/>
      <c r="EM172" s="1" t="s">
        <v>191</v>
      </c>
    </row>
    <row r="173" spans="4:143" x14ac:dyDescent="0.45"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4"/>
      <c r="CA173" s="24"/>
      <c r="CB173" s="24"/>
      <c r="CC173" s="24"/>
      <c r="CD173" s="24"/>
      <c r="CE173" s="24"/>
      <c r="CF173" s="24"/>
      <c r="CG173" s="24"/>
      <c r="CH173" s="24"/>
      <c r="CI173" s="24"/>
      <c r="CJ173" s="24"/>
      <c r="CK173" s="24"/>
      <c r="CL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C173" s="24"/>
      <c r="DD173" s="24"/>
      <c r="DE173" s="24"/>
      <c r="DF173" s="24"/>
      <c r="DG173" s="24"/>
      <c r="DH173" s="24"/>
      <c r="DI173" s="24"/>
      <c r="DJ173" s="24"/>
      <c r="DK173" s="24"/>
      <c r="DL173" s="24"/>
      <c r="DM173" s="24"/>
      <c r="DN173" s="24"/>
      <c r="DO173" s="24"/>
      <c r="DP173" s="24"/>
      <c r="DQ173" s="24"/>
      <c r="DR173" s="24"/>
      <c r="DS173" s="24"/>
      <c r="DT173" s="24"/>
      <c r="DU173" s="24"/>
      <c r="DV173" s="24"/>
      <c r="DW173" s="24"/>
      <c r="DX173" s="24"/>
      <c r="DY173" s="24"/>
      <c r="DZ173" s="24"/>
      <c r="EA173" s="24"/>
      <c r="EB173" s="24"/>
      <c r="EC173" s="24"/>
      <c r="ED173" s="24"/>
      <c r="EE173" s="24"/>
      <c r="EF173" s="24"/>
      <c r="EG173" s="24"/>
      <c r="EH173" s="24"/>
      <c r="EI173" s="24"/>
      <c r="EJ173" s="24"/>
      <c r="EK173" s="24"/>
      <c r="EL173" s="24"/>
      <c r="EM173" s="1" t="s">
        <v>191</v>
      </c>
    </row>
    <row r="174" spans="4:143" x14ac:dyDescent="0.45"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4"/>
      <c r="CA174" s="24"/>
      <c r="CB174" s="24"/>
      <c r="CC174" s="24"/>
      <c r="CD174" s="24"/>
      <c r="CE174" s="24"/>
      <c r="CF174" s="24"/>
      <c r="CG174" s="24"/>
      <c r="CH174" s="24"/>
      <c r="CI174" s="24"/>
      <c r="CJ174" s="24"/>
      <c r="CK174" s="24"/>
      <c r="CL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C174" s="24"/>
      <c r="DD174" s="24"/>
      <c r="DE174" s="24"/>
      <c r="DF174" s="24"/>
      <c r="DG174" s="24"/>
      <c r="DH174" s="24"/>
      <c r="DI174" s="24"/>
      <c r="DJ174" s="24"/>
      <c r="DK174" s="24"/>
      <c r="DL174" s="24"/>
      <c r="DM174" s="24"/>
      <c r="DN174" s="24"/>
      <c r="DO174" s="24"/>
      <c r="DP174" s="24"/>
      <c r="DQ174" s="24"/>
      <c r="DR174" s="24"/>
      <c r="DS174" s="24"/>
      <c r="DT174" s="24"/>
      <c r="DU174" s="24"/>
      <c r="DV174" s="24"/>
      <c r="DW174" s="24"/>
      <c r="DX174" s="24"/>
      <c r="DY174" s="24"/>
      <c r="DZ174" s="24"/>
      <c r="EA174" s="24"/>
      <c r="EB174" s="24"/>
      <c r="EC174" s="24"/>
      <c r="ED174" s="24"/>
      <c r="EE174" s="24"/>
      <c r="EF174" s="24"/>
      <c r="EG174" s="24"/>
      <c r="EH174" s="24"/>
      <c r="EI174" s="24"/>
      <c r="EJ174" s="24"/>
      <c r="EK174" s="24"/>
      <c r="EL174" s="24"/>
      <c r="EM174" s="1" t="s">
        <v>191</v>
      </c>
    </row>
    <row r="175" spans="4:143" x14ac:dyDescent="0.45"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4"/>
      <c r="BZ175" s="24"/>
      <c r="CA175" s="24"/>
      <c r="CB175" s="24"/>
      <c r="CC175" s="24"/>
      <c r="CD175" s="24"/>
      <c r="CE175" s="24"/>
      <c r="CF175" s="24"/>
      <c r="CG175" s="24"/>
      <c r="CH175" s="24"/>
      <c r="CI175" s="24"/>
      <c r="CJ175" s="24"/>
      <c r="CK175" s="24"/>
      <c r="CL175" s="24"/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C175" s="24"/>
      <c r="DD175" s="24"/>
      <c r="DE175" s="24"/>
      <c r="DF175" s="24"/>
      <c r="DG175" s="24"/>
      <c r="DH175" s="24"/>
      <c r="DI175" s="24"/>
      <c r="DJ175" s="24"/>
      <c r="DK175" s="24"/>
      <c r="DL175" s="24"/>
      <c r="DM175" s="24"/>
      <c r="DN175" s="24"/>
      <c r="DO175" s="24"/>
      <c r="DP175" s="24"/>
      <c r="DQ175" s="24"/>
      <c r="DR175" s="24"/>
      <c r="DS175" s="24"/>
      <c r="DT175" s="24"/>
      <c r="DU175" s="24"/>
      <c r="DV175" s="24"/>
      <c r="DW175" s="24"/>
      <c r="DX175" s="24"/>
      <c r="DY175" s="24"/>
      <c r="DZ175" s="24"/>
      <c r="EA175" s="24"/>
      <c r="EB175" s="24"/>
      <c r="EC175" s="24"/>
      <c r="ED175" s="24"/>
      <c r="EE175" s="24"/>
      <c r="EF175" s="24"/>
      <c r="EG175" s="24"/>
      <c r="EH175" s="24"/>
      <c r="EI175" s="24"/>
      <c r="EJ175" s="24"/>
      <c r="EK175" s="24"/>
      <c r="EL175" s="24"/>
      <c r="EM175" s="1" t="s">
        <v>191</v>
      </c>
    </row>
    <row r="176" spans="4:143" x14ac:dyDescent="0.45"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4"/>
      <c r="CA176" s="24"/>
      <c r="CB176" s="24"/>
      <c r="CC176" s="24"/>
      <c r="CD176" s="24"/>
      <c r="CE176" s="24"/>
      <c r="CF176" s="24"/>
      <c r="CG176" s="24"/>
      <c r="CH176" s="24"/>
      <c r="CI176" s="24"/>
      <c r="CJ176" s="24"/>
      <c r="CK176" s="24"/>
      <c r="CL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C176" s="24"/>
      <c r="DD176" s="24"/>
      <c r="DE176" s="24"/>
      <c r="DF176" s="24"/>
      <c r="DG176" s="24"/>
      <c r="DH176" s="24"/>
      <c r="DI176" s="24"/>
      <c r="DJ176" s="24"/>
      <c r="DK176" s="24"/>
      <c r="DL176" s="24"/>
      <c r="DM176" s="24"/>
      <c r="DN176" s="24"/>
      <c r="DO176" s="24"/>
      <c r="DP176" s="24"/>
      <c r="DQ176" s="24"/>
      <c r="DR176" s="24"/>
      <c r="DS176" s="24"/>
      <c r="DT176" s="24"/>
      <c r="DU176" s="24"/>
      <c r="DV176" s="24"/>
      <c r="DW176" s="24"/>
      <c r="DX176" s="24"/>
      <c r="DY176" s="24"/>
      <c r="DZ176" s="24"/>
      <c r="EA176" s="24"/>
      <c r="EB176" s="24"/>
      <c r="EC176" s="24"/>
      <c r="ED176" s="24"/>
      <c r="EE176" s="24"/>
      <c r="EF176" s="24"/>
      <c r="EG176" s="24"/>
      <c r="EH176" s="24"/>
      <c r="EI176" s="24"/>
      <c r="EJ176" s="24"/>
      <c r="EK176" s="24"/>
      <c r="EL176" s="24"/>
      <c r="EM176" s="1" t="s">
        <v>191</v>
      </c>
    </row>
    <row r="177" spans="5:143" x14ac:dyDescent="0.45"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4"/>
      <c r="CA177" s="24"/>
      <c r="CB177" s="24"/>
      <c r="CC177" s="24"/>
      <c r="CD177" s="24"/>
      <c r="CE177" s="24"/>
      <c r="CF177" s="24"/>
      <c r="CG177" s="24"/>
      <c r="CH177" s="24"/>
      <c r="CI177" s="24"/>
      <c r="CJ177" s="24"/>
      <c r="CK177" s="24"/>
      <c r="CL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C177" s="24"/>
      <c r="DD177" s="24"/>
      <c r="DE177" s="24"/>
      <c r="DF177" s="24"/>
      <c r="DG177" s="24"/>
      <c r="DH177" s="24"/>
      <c r="DI177" s="24"/>
      <c r="DJ177" s="24"/>
      <c r="DK177" s="24"/>
      <c r="DL177" s="24"/>
      <c r="DM177" s="24"/>
      <c r="DN177" s="24"/>
      <c r="DO177" s="24"/>
      <c r="DP177" s="24"/>
      <c r="DQ177" s="24"/>
      <c r="DR177" s="24"/>
      <c r="DS177" s="24"/>
      <c r="DT177" s="24"/>
      <c r="DU177" s="24"/>
      <c r="DV177" s="24"/>
      <c r="DW177" s="24"/>
      <c r="DX177" s="24"/>
      <c r="DY177" s="24"/>
      <c r="DZ177" s="24"/>
      <c r="EA177" s="24"/>
      <c r="EB177" s="24"/>
      <c r="EC177" s="24"/>
      <c r="ED177" s="24"/>
      <c r="EE177" s="24"/>
      <c r="EF177" s="24"/>
      <c r="EG177" s="24"/>
      <c r="EH177" s="24"/>
      <c r="EI177" s="24"/>
      <c r="EJ177" s="24"/>
      <c r="EK177" s="24"/>
      <c r="EL177" s="24"/>
      <c r="EM177" s="1" t="s">
        <v>191</v>
      </c>
    </row>
    <row r="178" spans="5:143" x14ac:dyDescent="0.45"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  <c r="CA178" s="24"/>
      <c r="CB178" s="24"/>
      <c r="CC178" s="24"/>
      <c r="CD178" s="24"/>
      <c r="CE178" s="24"/>
      <c r="CF178" s="24"/>
      <c r="CG178" s="24"/>
      <c r="CH178" s="24"/>
      <c r="CI178" s="24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C178" s="24"/>
      <c r="DD178" s="24"/>
      <c r="DE178" s="24"/>
      <c r="DF178" s="24"/>
      <c r="DG178" s="24"/>
      <c r="DH178" s="24"/>
      <c r="DI178" s="24"/>
      <c r="DJ178" s="24"/>
      <c r="DK178" s="24"/>
      <c r="DL178" s="24"/>
      <c r="DM178" s="24"/>
      <c r="DN178" s="24"/>
      <c r="DO178" s="24"/>
      <c r="DP178" s="24"/>
      <c r="DQ178" s="24"/>
      <c r="DR178" s="24"/>
      <c r="DS178" s="24"/>
      <c r="DT178" s="24"/>
      <c r="DU178" s="24"/>
      <c r="DV178" s="24"/>
      <c r="DW178" s="24"/>
      <c r="DX178" s="24"/>
      <c r="DY178" s="24"/>
      <c r="DZ178" s="24"/>
      <c r="EA178" s="24"/>
      <c r="EB178" s="24"/>
      <c r="EC178" s="24"/>
      <c r="ED178" s="24"/>
      <c r="EE178" s="24"/>
      <c r="EF178" s="24"/>
      <c r="EG178" s="24"/>
      <c r="EH178" s="24"/>
      <c r="EI178" s="24"/>
      <c r="EJ178" s="24"/>
      <c r="EK178" s="24"/>
      <c r="EL178" s="24"/>
      <c r="EM178" s="1" t="s">
        <v>191</v>
      </c>
    </row>
    <row r="179" spans="5:143" x14ac:dyDescent="0.45"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4"/>
      <c r="CA179" s="24"/>
      <c r="CB179" s="24"/>
      <c r="CC179" s="24"/>
      <c r="CD179" s="24"/>
      <c r="CE179" s="24"/>
      <c r="CF179" s="24"/>
      <c r="CG179" s="24"/>
      <c r="CH179" s="24"/>
      <c r="CI179" s="24"/>
      <c r="CJ179" s="24"/>
      <c r="CK179" s="24"/>
      <c r="CL179" s="24"/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C179" s="24"/>
      <c r="DD179" s="24"/>
      <c r="DE179" s="24"/>
      <c r="DF179" s="24"/>
      <c r="DG179" s="24"/>
      <c r="DH179" s="24"/>
      <c r="DI179" s="24"/>
      <c r="DJ179" s="24"/>
      <c r="DK179" s="24"/>
      <c r="DL179" s="24"/>
      <c r="DM179" s="24"/>
      <c r="DN179" s="24"/>
      <c r="DO179" s="24"/>
      <c r="DP179" s="24"/>
      <c r="DQ179" s="24"/>
      <c r="DR179" s="24"/>
      <c r="DS179" s="24"/>
      <c r="DT179" s="24"/>
      <c r="DU179" s="24"/>
      <c r="DV179" s="24"/>
      <c r="DW179" s="24"/>
      <c r="DX179" s="24"/>
      <c r="DY179" s="24"/>
      <c r="DZ179" s="24"/>
      <c r="EA179" s="24"/>
      <c r="EB179" s="24"/>
      <c r="EC179" s="24"/>
      <c r="ED179" s="24"/>
      <c r="EE179" s="24"/>
      <c r="EF179" s="24"/>
      <c r="EG179" s="24"/>
      <c r="EH179" s="24"/>
      <c r="EI179" s="24"/>
      <c r="EJ179" s="24"/>
      <c r="EK179" s="24"/>
      <c r="EL179" s="24"/>
      <c r="EM179" s="1" t="s">
        <v>191</v>
      </c>
    </row>
    <row r="180" spans="5:143" x14ac:dyDescent="0.45"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4"/>
      <c r="CA180" s="24"/>
      <c r="CB180" s="24"/>
      <c r="CC180" s="24"/>
      <c r="CD180" s="24"/>
      <c r="CE180" s="24"/>
      <c r="CF180" s="24"/>
      <c r="CG180" s="24"/>
      <c r="CH180" s="24"/>
      <c r="CI180" s="24"/>
      <c r="CJ180" s="24"/>
      <c r="CK180" s="24"/>
      <c r="CL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C180" s="24"/>
      <c r="DD180" s="24"/>
      <c r="DE180" s="24"/>
      <c r="DF180" s="24"/>
      <c r="DG180" s="24"/>
      <c r="DH180" s="24"/>
      <c r="DI180" s="24"/>
      <c r="DJ180" s="24"/>
      <c r="DK180" s="24"/>
      <c r="DL180" s="24"/>
      <c r="DM180" s="24"/>
      <c r="DN180" s="24"/>
      <c r="DO180" s="24"/>
      <c r="DP180" s="24"/>
      <c r="DQ180" s="24"/>
      <c r="DR180" s="24"/>
      <c r="DS180" s="24"/>
      <c r="DT180" s="24"/>
      <c r="DU180" s="24"/>
      <c r="DV180" s="24"/>
      <c r="DW180" s="24"/>
      <c r="DX180" s="24"/>
      <c r="DY180" s="24"/>
      <c r="DZ180" s="24"/>
      <c r="EA180" s="24"/>
      <c r="EB180" s="24"/>
      <c r="EC180" s="24"/>
      <c r="ED180" s="24"/>
      <c r="EE180" s="24"/>
      <c r="EF180" s="24"/>
      <c r="EG180" s="24"/>
      <c r="EH180" s="24"/>
      <c r="EI180" s="24"/>
      <c r="EJ180" s="24"/>
      <c r="EK180" s="24"/>
      <c r="EL180" s="24"/>
      <c r="EM180" s="1" t="s">
        <v>191</v>
      </c>
    </row>
    <row r="181" spans="5:143" x14ac:dyDescent="0.45"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4"/>
      <c r="CA181" s="24"/>
      <c r="CB181" s="24"/>
      <c r="CC181" s="24"/>
      <c r="CD181" s="24"/>
      <c r="CE181" s="24"/>
      <c r="CF181" s="24"/>
      <c r="CG181" s="24"/>
      <c r="CH181" s="24"/>
      <c r="CI181" s="24"/>
      <c r="CJ181" s="24"/>
      <c r="CK181" s="24"/>
      <c r="CL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C181" s="24"/>
      <c r="DD181" s="24"/>
      <c r="DE181" s="24"/>
      <c r="DF181" s="24"/>
      <c r="DG181" s="24"/>
      <c r="DH181" s="24"/>
      <c r="DI181" s="24"/>
      <c r="DJ181" s="24"/>
      <c r="DK181" s="24"/>
      <c r="DL181" s="24"/>
      <c r="DM181" s="24"/>
      <c r="DN181" s="24"/>
      <c r="DO181" s="24"/>
      <c r="DP181" s="24"/>
      <c r="DQ181" s="24"/>
      <c r="DR181" s="24"/>
      <c r="DS181" s="24"/>
      <c r="DT181" s="24"/>
      <c r="DU181" s="24"/>
      <c r="DV181" s="24"/>
      <c r="DW181" s="24"/>
      <c r="DX181" s="24"/>
      <c r="DY181" s="24"/>
      <c r="DZ181" s="24"/>
      <c r="EA181" s="24"/>
      <c r="EB181" s="24"/>
      <c r="EC181" s="24"/>
      <c r="ED181" s="24"/>
      <c r="EE181" s="24"/>
      <c r="EF181" s="24"/>
      <c r="EG181" s="24"/>
      <c r="EH181" s="24"/>
      <c r="EI181" s="24"/>
      <c r="EJ181" s="24"/>
      <c r="EK181" s="24"/>
      <c r="EL181" s="24"/>
      <c r="EM181" s="1" t="s">
        <v>191</v>
      </c>
    </row>
    <row r="182" spans="5:143" x14ac:dyDescent="0.45"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  <c r="CA182" s="24"/>
      <c r="CB182" s="24"/>
      <c r="CC182" s="24"/>
      <c r="CD182" s="24"/>
      <c r="CE182" s="24"/>
      <c r="CF182" s="24"/>
      <c r="CG182" s="24"/>
      <c r="CH182" s="24"/>
      <c r="CI182" s="24"/>
      <c r="CJ182" s="24"/>
      <c r="CK182" s="24"/>
      <c r="CL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C182" s="24"/>
      <c r="DD182" s="24"/>
      <c r="DE182" s="24"/>
      <c r="DF182" s="24"/>
      <c r="DG182" s="24"/>
      <c r="DH182" s="24"/>
      <c r="DI182" s="24"/>
      <c r="DJ182" s="24"/>
      <c r="DK182" s="24"/>
      <c r="DL182" s="24"/>
      <c r="DM182" s="24"/>
      <c r="DN182" s="24"/>
      <c r="DO182" s="24"/>
      <c r="DP182" s="24"/>
      <c r="DQ182" s="24"/>
      <c r="DR182" s="24"/>
      <c r="DS182" s="24"/>
      <c r="DT182" s="24"/>
      <c r="DU182" s="24"/>
      <c r="DV182" s="24"/>
      <c r="DW182" s="24"/>
      <c r="DX182" s="24"/>
      <c r="DY182" s="24"/>
      <c r="DZ182" s="24"/>
      <c r="EA182" s="24"/>
      <c r="EB182" s="24"/>
      <c r="EC182" s="24"/>
      <c r="ED182" s="24"/>
      <c r="EE182" s="24"/>
      <c r="EF182" s="24"/>
      <c r="EG182" s="24"/>
      <c r="EH182" s="24"/>
      <c r="EI182" s="24"/>
      <c r="EJ182" s="24"/>
      <c r="EK182" s="24"/>
      <c r="EL182" s="24"/>
      <c r="EM182" s="1" t="s">
        <v>191</v>
      </c>
    </row>
    <row r="183" spans="5:143" x14ac:dyDescent="0.45"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B183" s="24"/>
      <c r="CC183" s="24"/>
      <c r="CD183" s="24"/>
      <c r="CE183" s="24"/>
      <c r="CF183" s="24"/>
      <c r="CG183" s="24"/>
      <c r="CH183" s="24"/>
      <c r="CI183" s="24"/>
      <c r="CJ183" s="24"/>
      <c r="CK183" s="24"/>
      <c r="CL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C183" s="24"/>
      <c r="DD183" s="24"/>
      <c r="DE183" s="24"/>
      <c r="DF183" s="24"/>
      <c r="DG183" s="24"/>
      <c r="DH183" s="24"/>
      <c r="DI183" s="24"/>
      <c r="DJ183" s="24"/>
      <c r="DK183" s="24"/>
      <c r="DL183" s="24"/>
      <c r="DM183" s="24"/>
      <c r="DN183" s="24"/>
      <c r="DO183" s="24"/>
      <c r="DP183" s="24"/>
      <c r="DQ183" s="24"/>
      <c r="DR183" s="24"/>
      <c r="DS183" s="24"/>
      <c r="DT183" s="24"/>
      <c r="DU183" s="24"/>
      <c r="DV183" s="24"/>
      <c r="DW183" s="24"/>
      <c r="DX183" s="24"/>
      <c r="DY183" s="24"/>
      <c r="DZ183" s="24"/>
      <c r="EA183" s="24"/>
      <c r="EB183" s="24"/>
      <c r="EC183" s="24"/>
      <c r="ED183" s="24"/>
      <c r="EE183" s="24"/>
      <c r="EF183" s="24"/>
      <c r="EG183" s="24"/>
      <c r="EH183" s="24"/>
      <c r="EI183" s="24"/>
      <c r="EJ183" s="24"/>
      <c r="EK183" s="24"/>
      <c r="EL183" s="24"/>
      <c r="EM183" s="1" t="s">
        <v>191</v>
      </c>
    </row>
    <row r="184" spans="5:143" x14ac:dyDescent="0.45"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4"/>
      <c r="CA184" s="24"/>
      <c r="CB184" s="24"/>
      <c r="CC184" s="24"/>
      <c r="CD184" s="24"/>
      <c r="CE184" s="24"/>
      <c r="CF184" s="24"/>
      <c r="CG184" s="24"/>
      <c r="CH184" s="24"/>
      <c r="CI184" s="24"/>
      <c r="CJ184" s="24"/>
      <c r="CK184" s="24"/>
      <c r="CL184" s="24"/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  <c r="DA184" s="24"/>
      <c r="DB184" s="24"/>
      <c r="DC184" s="24"/>
      <c r="DD184" s="24"/>
      <c r="DE184" s="24"/>
      <c r="DF184" s="24"/>
      <c r="DG184" s="24"/>
      <c r="DH184" s="24"/>
      <c r="DI184" s="24"/>
      <c r="DJ184" s="24"/>
      <c r="DK184" s="24"/>
      <c r="DL184" s="24"/>
      <c r="DM184" s="24"/>
      <c r="DN184" s="24"/>
      <c r="DO184" s="24"/>
      <c r="DP184" s="24"/>
      <c r="DQ184" s="24"/>
      <c r="DR184" s="24"/>
      <c r="DS184" s="24"/>
      <c r="DT184" s="24"/>
      <c r="DU184" s="24"/>
      <c r="DV184" s="24"/>
      <c r="DW184" s="24"/>
      <c r="DX184" s="24"/>
      <c r="DY184" s="24"/>
      <c r="DZ184" s="24"/>
      <c r="EA184" s="24"/>
      <c r="EB184" s="24"/>
      <c r="EC184" s="24"/>
      <c r="ED184" s="24"/>
      <c r="EE184" s="24"/>
      <c r="EF184" s="24"/>
      <c r="EG184" s="24"/>
      <c r="EH184" s="24"/>
      <c r="EI184" s="24"/>
      <c r="EJ184" s="24"/>
      <c r="EK184" s="24"/>
      <c r="EL184" s="24"/>
      <c r="EM184" s="1" t="s">
        <v>191</v>
      </c>
    </row>
    <row r="185" spans="5:143" x14ac:dyDescent="0.45"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B185" s="24"/>
      <c r="CC185" s="24"/>
      <c r="CD185" s="24"/>
      <c r="CE185" s="24"/>
      <c r="CF185" s="24"/>
      <c r="CG185" s="24"/>
      <c r="CH185" s="24"/>
      <c r="CI185" s="24"/>
      <c r="CJ185" s="24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C185" s="24"/>
      <c r="DD185" s="24"/>
      <c r="DE185" s="24"/>
      <c r="DF185" s="24"/>
      <c r="DG185" s="24"/>
      <c r="DH185" s="24"/>
      <c r="DI185" s="24"/>
      <c r="DJ185" s="24"/>
      <c r="DK185" s="24"/>
      <c r="DL185" s="24"/>
      <c r="DM185" s="24"/>
      <c r="DN185" s="24"/>
      <c r="DO185" s="24"/>
      <c r="DP185" s="24"/>
      <c r="DQ185" s="24"/>
      <c r="DR185" s="24"/>
      <c r="DS185" s="24"/>
      <c r="DT185" s="24"/>
      <c r="DU185" s="24"/>
      <c r="DV185" s="24"/>
      <c r="DW185" s="24"/>
      <c r="DX185" s="24"/>
      <c r="DY185" s="24"/>
      <c r="DZ185" s="24"/>
      <c r="EA185" s="24"/>
      <c r="EB185" s="24"/>
      <c r="EC185" s="24"/>
      <c r="ED185" s="24"/>
      <c r="EE185" s="24"/>
      <c r="EF185" s="24"/>
      <c r="EG185" s="24"/>
      <c r="EH185" s="24"/>
      <c r="EI185" s="24"/>
      <c r="EJ185" s="24"/>
      <c r="EK185" s="24"/>
      <c r="EL185" s="24"/>
      <c r="EM185" s="1" t="s">
        <v>191</v>
      </c>
    </row>
    <row r="186" spans="5:143" x14ac:dyDescent="0.45"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4"/>
      <c r="CA186" s="24"/>
      <c r="CB186" s="24"/>
      <c r="CC186" s="24"/>
      <c r="CD186" s="24"/>
      <c r="CE186" s="24"/>
      <c r="CF186" s="24"/>
      <c r="CG186" s="24"/>
      <c r="CH186" s="24"/>
      <c r="CI186" s="24"/>
      <c r="CJ186" s="24"/>
      <c r="CK186" s="24"/>
      <c r="CL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C186" s="24"/>
      <c r="DD186" s="24"/>
      <c r="DE186" s="24"/>
      <c r="DF186" s="24"/>
      <c r="DG186" s="24"/>
      <c r="DH186" s="24"/>
      <c r="DI186" s="24"/>
      <c r="DJ186" s="24"/>
      <c r="DK186" s="24"/>
      <c r="DL186" s="24"/>
      <c r="DM186" s="24"/>
      <c r="DN186" s="24"/>
      <c r="DO186" s="24"/>
      <c r="DP186" s="24"/>
      <c r="DQ186" s="24"/>
      <c r="DR186" s="24"/>
      <c r="DS186" s="24"/>
      <c r="DT186" s="24"/>
      <c r="DU186" s="24"/>
      <c r="DV186" s="24"/>
      <c r="DW186" s="24"/>
      <c r="DX186" s="24"/>
      <c r="DY186" s="24"/>
      <c r="DZ186" s="24"/>
      <c r="EA186" s="24"/>
      <c r="EB186" s="24"/>
      <c r="EC186" s="24"/>
      <c r="ED186" s="24"/>
      <c r="EE186" s="24"/>
      <c r="EF186" s="24"/>
      <c r="EG186" s="24"/>
      <c r="EH186" s="24"/>
      <c r="EI186" s="24"/>
      <c r="EJ186" s="24"/>
      <c r="EK186" s="24"/>
      <c r="EL186" s="24"/>
      <c r="EM186" s="1" t="s">
        <v>191</v>
      </c>
    </row>
    <row r="187" spans="5:143" x14ac:dyDescent="0.45"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4"/>
      <c r="CA187" s="24"/>
      <c r="CB187" s="24"/>
      <c r="CC187" s="24"/>
      <c r="CD187" s="24"/>
      <c r="CE187" s="24"/>
      <c r="CF187" s="24"/>
      <c r="CG187" s="24"/>
      <c r="CH187" s="24"/>
      <c r="CI187" s="24"/>
      <c r="CJ187" s="24"/>
      <c r="CK187" s="24"/>
      <c r="CL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C187" s="24"/>
      <c r="DD187" s="24"/>
      <c r="DE187" s="24"/>
      <c r="DF187" s="24"/>
      <c r="DG187" s="24"/>
      <c r="DH187" s="24"/>
      <c r="DI187" s="24"/>
      <c r="DJ187" s="24"/>
      <c r="DK187" s="24"/>
      <c r="DL187" s="24"/>
      <c r="DM187" s="24"/>
      <c r="DN187" s="24"/>
      <c r="DO187" s="24"/>
      <c r="DP187" s="24"/>
      <c r="DQ187" s="24"/>
      <c r="DR187" s="24"/>
      <c r="DS187" s="24"/>
      <c r="DT187" s="24"/>
      <c r="DU187" s="24"/>
      <c r="DV187" s="24"/>
      <c r="DW187" s="24"/>
      <c r="DX187" s="24"/>
      <c r="DY187" s="24"/>
      <c r="DZ187" s="24"/>
      <c r="EA187" s="24"/>
      <c r="EB187" s="24"/>
      <c r="EC187" s="24"/>
      <c r="ED187" s="24"/>
      <c r="EE187" s="24"/>
      <c r="EF187" s="24"/>
      <c r="EG187" s="24"/>
      <c r="EH187" s="24"/>
      <c r="EI187" s="24"/>
      <c r="EJ187" s="24"/>
      <c r="EK187" s="24"/>
      <c r="EL187" s="24"/>
      <c r="EM187" s="24"/>
    </row>
    <row r="188" spans="5:143" x14ac:dyDescent="0.45"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6"/>
      <c r="EE188" s="6"/>
      <c r="EF188" s="6"/>
      <c r="EG188" s="6"/>
      <c r="EH188" s="6"/>
      <c r="EI188" s="6"/>
    </row>
    <row r="189" spans="5:143" x14ac:dyDescent="0.45"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6"/>
      <c r="EE189" s="6"/>
      <c r="EF189" s="6"/>
      <c r="EG189" s="6"/>
      <c r="EH189" s="6"/>
      <c r="EI189" s="6"/>
    </row>
    <row r="190" spans="5:143" x14ac:dyDescent="0.45"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EF190" s="6"/>
      <c r="EG190" s="6"/>
      <c r="EH190" s="6"/>
      <c r="EI190" s="6"/>
    </row>
    <row r="191" spans="5:143" x14ac:dyDescent="0.45"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EF191" s="6"/>
      <c r="EG191" s="6"/>
      <c r="EH191" s="6"/>
      <c r="EI191" s="6"/>
    </row>
    <row r="192" spans="5:143" x14ac:dyDescent="0.45"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EF192" s="6"/>
      <c r="EG192" s="6"/>
      <c r="EH192" s="6"/>
      <c r="EI192" s="6"/>
    </row>
    <row r="193" spans="7:139" x14ac:dyDescent="0.45"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  <c r="EB193" s="6"/>
      <c r="EC193" s="6"/>
      <c r="ED193" s="6"/>
      <c r="EE193" s="6"/>
      <c r="EF193" s="6"/>
      <c r="EG193" s="6"/>
      <c r="EH193" s="6"/>
      <c r="EI193" s="6"/>
    </row>
    <row r="194" spans="7:139" x14ac:dyDescent="0.45"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6"/>
      <c r="EE194" s="6"/>
      <c r="EF194" s="6"/>
      <c r="EG194" s="6"/>
      <c r="EH194" s="6"/>
      <c r="EI194" s="6"/>
    </row>
    <row r="195" spans="7:139" x14ac:dyDescent="0.45"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6"/>
      <c r="EE195" s="6"/>
      <c r="EF195" s="6"/>
      <c r="EG195" s="6"/>
      <c r="EH195" s="6"/>
      <c r="EI195" s="6"/>
    </row>
    <row r="196" spans="7:139" x14ac:dyDescent="0.45"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6"/>
      <c r="EE196" s="6"/>
      <c r="EF196" s="6"/>
      <c r="EG196" s="6"/>
      <c r="EH196" s="6"/>
      <c r="EI196" s="6"/>
    </row>
    <row r="197" spans="7:139" x14ac:dyDescent="0.45"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6"/>
      <c r="EE197" s="6"/>
      <c r="EF197" s="6"/>
      <c r="EG197" s="6"/>
      <c r="EH197" s="6"/>
      <c r="EI197" s="6"/>
    </row>
    <row r="198" spans="7:139" x14ac:dyDescent="0.45"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DS198" s="6"/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6"/>
      <c r="EE198" s="6"/>
      <c r="EF198" s="6"/>
      <c r="EG198" s="6"/>
      <c r="EH198" s="6"/>
      <c r="EI198" s="6"/>
    </row>
    <row r="199" spans="7:139" x14ac:dyDescent="0.45"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6"/>
      <c r="EE199" s="6"/>
      <c r="EF199" s="6"/>
      <c r="EG199" s="6"/>
      <c r="EH199" s="6"/>
      <c r="EI199" s="6"/>
    </row>
    <row r="200" spans="7:139" x14ac:dyDescent="0.45"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  <c r="DS200" s="6"/>
      <c r="DT200" s="6"/>
      <c r="DU200" s="6"/>
      <c r="DV200" s="6"/>
      <c r="DW200" s="6"/>
      <c r="DX200" s="6"/>
      <c r="DY200" s="6"/>
      <c r="DZ200" s="6"/>
      <c r="EA200" s="6"/>
      <c r="EB200" s="6"/>
      <c r="EC200" s="6"/>
      <c r="ED200" s="6"/>
      <c r="EE200" s="6"/>
      <c r="EF200" s="6"/>
      <c r="EG200" s="6"/>
      <c r="EH200" s="6"/>
      <c r="EI200" s="6"/>
    </row>
    <row r="201" spans="7:139" x14ac:dyDescent="0.45"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6"/>
      <c r="EE201" s="6"/>
      <c r="EF201" s="6"/>
      <c r="EG201" s="6"/>
      <c r="EH201" s="6"/>
      <c r="EI201" s="6"/>
    </row>
    <row r="202" spans="7:139" x14ac:dyDescent="0.45"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6"/>
      <c r="DW202" s="6"/>
      <c r="DX202" s="6"/>
      <c r="DY202" s="6"/>
      <c r="DZ202" s="6"/>
      <c r="EA202" s="6"/>
      <c r="EB202" s="6"/>
      <c r="EC202" s="6"/>
      <c r="ED202" s="6"/>
      <c r="EE202" s="6"/>
      <c r="EF202" s="6"/>
      <c r="EG202" s="6"/>
      <c r="EH202" s="6"/>
      <c r="EI202" s="6"/>
    </row>
    <row r="203" spans="7:139" x14ac:dyDescent="0.45"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6"/>
      <c r="EE203" s="6"/>
      <c r="EF203" s="6"/>
      <c r="EG203" s="6"/>
      <c r="EH203" s="6"/>
      <c r="EI203" s="6"/>
    </row>
    <row r="204" spans="7:139" x14ac:dyDescent="0.45"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  <c r="EB204" s="6"/>
      <c r="EC204" s="6"/>
      <c r="ED204" s="6"/>
      <c r="EE204" s="6"/>
      <c r="EF204" s="6"/>
      <c r="EG204" s="6"/>
      <c r="EH204" s="6"/>
      <c r="EI204" s="6"/>
    </row>
    <row r="205" spans="7:139" x14ac:dyDescent="0.45"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6"/>
      <c r="EC205" s="6"/>
      <c r="ED205" s="6"/>
      <c r="EE205" s="6"/>
      <c r="EF205" s="6"/>
      <c r="EG205" s="6"/>
      <c r="EH205" s="6"/>
      <c r="EI205" s="6"/>
    </row>
    <row r="206" spans="7:139" x14ac:dyDescent="0.45"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/>
      <c r="EB206" s="6"/>
      <c r="EC206" s="6"/>
      <c r="ED206" s="6"/>
      <c r="EE206" s="6"/>
      <c r="EF206" s="6"/>
      <c r="EG206" s="6"/>
      <c r="EH206" s="6"/>
      <c r="EI206" s="6"/>
    </row>
    <row r="207" spans="7:139" x14ac:dyDescent="0.45"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6"/>
      <c r="EB207" s="6"/>
      <c r="EC207" s="6"/>
      <c r="ED207" s="6"/>
      <c r="EE207" s="6"/>
      <c r="EF207" s="6"/>
      <c r="EG207" s="6"/>
      <c r="EH207" s="6"/>
      <c r="EI207" s="6"/>
    </row>
    <row r="208" spans="7:139" x14ac:dyDescent="0.45"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6"/>
      <c r="EC208" s="6"/>
      <c r="ED208" s="6"/>
      <c r="EE208" s="6"/>
      <c r="EF208" s="6"/>
      <c r="EG208" s="6"/>
      <c r="EH208" s="6"/>
      <c r="EI208" s="6"/>
    </row>
    <row r="209" spans="7:139" x14ac:dyDescent="0.45"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/>
      <c r="DY209" s="6"/>
      <c r="DZ209" s="6"/>
      <c r="EA209" s="6"/>
      <c r="EB209" s="6"/>
      <c r="EC209" s="6"/>
      <c r="ED209" s="6"/>
      <c r="EE209" s="6"/>
      <c r="EF209" s="6"/>
      <c r="EG209" s="6"/>
      <c r="EH209" s="6"/>
      <c r="EI209" s="6"/>
    </row>
    <row r="210" spans="7:139" x14ac:dyDescent="0.45"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6"/>
      <c r="EE210" s="6"/>
      <c r="EF210" s="6"/>
      <c r="EG210" s="6"/>
      <c r="EH210" s="6"/>
      <c r="EI210" s="6"/>
    </row>
    <row r="211" spans="7:139" x14ac:dyDescent="0.45"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6"/>
      <c r="DW211" s="6"/>
      <c r="DX211" s="6"/>
      <c r="DY211" s="6"/>
      <c r="DZ211" s="6"/>
      <c r="EA211" s="6"/>
      <c r="EB211" s="6"/>
      <c r="EC211" s="6"/>
      <c r="ED211" s="6"/>
      <c r="EE211" s="6"/>
      <c r="EF211" s="6"/>
      <c r="EG211" s="6"/>
      <c r="EH211" s="6"/>
      <c r="EI211" s="6"/>
    </row>
    <row r="212" spans="7:139" x14ac:dyDescent="0.45"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6"/>
      <c r="EC212" s="6"/>
      <c r="ED212" s="6"/>
      <c r="EE212" s="6"/>
      <c r="EF212" s="6"/>
      <c r="EG212" s="6"/>
      <c r="EH212" s="6"/>
      <c r="EI212" s="6"/>
    </row>
    <row r="213" spans="7:139" x14ac:dyDescent="0.45"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6"/>
      <c r="DW213" s="6"/>
      <c r="DX213" s="6"/>
      <c r="DY213" s="6"/>
      <c r="DZ213" s="6"/>
      <c r="EA213" s="6"/>
      <c r="EB213" s="6"/>
      <c r="EC213" s="6"/>
      <c r="ED213" s="6"/>
      <c r="EE213" s="6"/>
      <c r="EF213" s="6"/>
      <c r="EG213" s="6"/>
      <c r="EH213" s="6"/>
      <c r="EI213" s="6"/>
    </row>
    <row r="214" spans="7:139" x14ac:dyDescent="0.45"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6"/>
      <c r="EC214" s="6"/>
      <c r="ED214" s="6"/>
      <c r="EE214" s="6"/>
      <c r="EF214" s="6"/>
      <c r="EG214" s="6"/>
      <c r="EH214" s="6"/>
      <c r="EI214" s="6"/>
    </row>
    <row r="215" spans="7:139" x14ac:dyDescent="0.45"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6"/>
      <c r="DY215" s="6"/>
      <c r="DZ215" s="6"/>
      <c r="EA215" s="6"/>
      <c r="EB215" s="6"/>
      <c r="EC215" s="6"/>
      <c r="ED215" s="6"/>
      <c r="EE215" s="6"/>
      <c r="EF215" s="6"/>
      <c r="EG215" s="6"/>
      <c r="EH215" s="6"/>
      <c r="EI215" s="6"/>
    </row>
    <row r="216" spans="7:139" x14ac:dyDescent="0.45"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6"/>
      <c r="EC216" s="6"/>
      <c r="ED216" s="6"/>
      <c r="EE216" s="6"/>
      <c r="EF216" s="6"/>
      <c r="EG216" s="6"/>
      <c r="EH216" s="6"/>
      <c r="EI216" s="6"/>
    </row>
    <row r="217" spans="7:139" x14ac:dyDescent="0.45"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6"/>
      <c r="EE217" s="6"/>
      <c r="EF217" s="6"/>
      <c r="EG217" s="6"/>
      <c r="EH217" s="6"/>
      <c r="EI217" s="6"/>
    </row>
    <row r="218" spans="7:139" x14ac:dyDescent="0.45"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6"/>
      <c r="EC218" s="6"/>
      <c r="ED218" s="6"/>
      <c r="EE218" s="6"/>
      <c r="EF218" s="6"/>
      <c r="EG218" s="6"/>
      <c r="EH218" s="6"/>
      <c r="EI218" s="6"/>
    </row>
    <row r="219" spans="7:139" x14ac:dyDescent="0.45"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/>
      <c r="DY219" s="6"/>
      <c r="DZ219" s="6"/>
      <c r="EA219" s="6"/>
      <c r="EB219" s="6"/>
      <c r="EC219" s="6"/>
      <c r="ED219" s="6"/>
      <c r="EE219" s="6"/>
      <c r="EF219" s="6"/>
      <c r="EG219" s="6"/>
      <c r="EH219" s="6"/>
      <c r="EI219" s="6"/>
    </row>
    <row r="220" spans="7:139" x14ac:dyDescent="0.45"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6"/>
      <c r="DW220" s="6"/>
      <c r="DX220" s="6"/>
      <c r="DY220" s="6"/>
      <c r="DZ220" s="6"/>
      <c r="EA220" s="6"/>
      <c r="EB220" s="6"/>
      <c r="EC220" s="6"/>
      <c r="ED220" s="6"/>
      <c r="EE220" s="6"/>
      <c r="EF220" s="6"/>
      <c r="EG220" s="6"/>
      <c r="EH220" s="6"/>
      <c r="EI220" s="6"/>
    </row>
    <row r="221" spans="7:139" x14ac:dyDescent="0.45"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/>
      <c r="DZ221" s="6"/>
      <c r="EA221" s="6"/>
      <c r="EB221" s="6"/>
      <c r="EC221" s="6"/>
      <c r="ED221" s="6"/>
      <c r="EE221" s="6"/>
      <c r="EF221" s="6"/>
      <c r="EG221" s="6"/>
      <c r="EH221" s="6"/>
      <c r="EI221" s="6"/>
    </row>
    <row r="222" spans="7:139" x14ac:dyDescent="0.45"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6"/>
      <c r="EE222" s="6"/>
      <c r="EF222" s="6"/>
      <c r="EG222" s="6"/>
      <c r="EH222" s="6"/>
      <c r="EI222" s="6"/>
    </row>
    <row r="223" spans="7:139" x14ac:dyDescent="0.45"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/>
      <c r="DY223" s="6"/>
      <c r="DZ223" s="6"/>
      <c r="EA223" s="6"/>
      <c r="EB223" s="6"/>
      <c r="EC223" s="6"/>
      <c r="ED223" s="6"/>
      <c r="EE223" s="6"/>
      <c r="EF223" s="6"/>
      <c r="EG223" s="6"/>
      <c r="EH223" s="6"/>
      <c r="EI223" s="6"/>
    </row>
    <row r="224" spans="7:139" x14ac:dyDescent="0.45"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6"/>
      <c r="EE224" s="6"/>
      <c r="EF224" s="6"/>
      <c r="EG224" s="6"/>
      <c r="EH224" s="6"/>
      <c r="EI224" s="6"/>
    </row>
    <row r="225" spans="7:139" x14ac:dyDescent="0.45"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6"/>
      <c r="DY225" s="6"/>
      <c r="DZ225" s="6"/>
      <c r="EA225" s="6"/>
      <c r="EB225" s="6"/>
      <c r="EC225" s="6"/>
      <c r="ED225" s="6"/>
      <c r="EE225" s="6"/>
      <c r="EF225" s="6"/>
      <c r="EG225" s="6"/>
      <c r="EH225" s="6"/>
      <c r="EI225" s="6"/>
    </row>
    <row r="226" spans="7:139" x14ac:dyDescent="0.45"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6"/>
      <c r="EE226" s="6"/>
      <c r="EF226" s="6"/>
      <c r="EG226" s="6"/>
      <c r="EH226" s="6"/>
      <c r="EI226" s="6"/>
    </row>
    <row r="227" spans="7:139" x14ac:dyDescent="0.45"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6"/>
      <c r="DY227" s="6"/>
      <c r="DZ227" s="6"/>
      <c r="EA227" s="6"/>
      <c r="EB227" s="6"/>
      <c r="EC227" s="6"/>
      <c r="ED227" s="6"/>
      <c r="EE227" s="6"/>
      <c r="EF227" s="6"/>
      <c r="EG227" s="6"/>
      <c r="EH227" s="6"/>
      <c r="EI227" s="6"/>
    </row>
    <row r="228" spans="7:139" x14ac:dyDescent="0.45"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6"/>
      <c r="DY228" s="6"/>
      <c r="DZ228" s="6"/>
      <c r="EA228" s="6"/>
      <c r="EB228" s="6"/>
      <c r="EC228" s="6"/>
      <c r="ED228" s="6"/>
      <c r="EE228" s="6"/>
      <c r="EF228" s="6"/>
      <c r="EG228" s="6"/>
      <c r="EH228" s="6"/>
      <c r="EI228" s="6"/>
    </row>
    <row r="229" spans="7:139" x14ac:dyDescent="0.45"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/>
      <c r="DZ229" s="6"/>
      <c r="EA229" s="6"/>
      <c r="EB229" s="6"/>
      <c r="EC229" s="6"/>
      <c r="ED229" s="6"/>
      <c r="EE229" s="6"/>
      <c r="EF229" s="6"/>
      <c r="EG229" s="6"/>
      <c r="EH229" s="6"/>
      <c r="EI229" s="6"/>
    </row>
    <row r="230" spans="7:139" x14ac:dyDescent="0.45"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6"/>
      <c r="DY230" s="6"/>
      <c r="DZ230" s="6"/>
      <c r="EA230" s="6"/>
      <c r="EB230" s="6"/>
      <c r="EC230" s="6"/>
      <c r="ED230" s="6"/>
      <c r="EE230" s="6"/>
      <c r="EF230" s="6"/>
      <c r="EG230" s="6"/>
      <c r="EH230" s="6"/>
      <c r="EI230" s="6"/>
    </row>
    <row r="231" spans="7:139" x14ac:dyDescent="0.45"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6"/>
      <c r="DY231" s="6"/>
      <c r="DZ231" s="6"/>
      <c r="EA231" s="6"/>
      <c r="EB231" s="6"/>
      <c r="EC231" s="6"/>
      <c r="ED231" s="6"/>
      <c r="EE231" s="6"/>
      <c r="EF231" s="6"/>
      <c r="EG231" s="6"/>
      <c r="EH231" s="6"/>
      <c r="EI231" s="6"/>
    </row>
    <row r="232" spans="7:139" x14ac:dyDescent="0.45"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/>
      <c r="DZ232" s="6"/>
      <c r="EA232" s="6"/>
      <c r="EB232" s="6"/>
      <c r="EC232" s="6"/>
      <c r="ED232" s="6"/>
      <c r="EE232" s="6"/>
      <c r="EF232" s="6"/>
      <c r="EG232" s="6"/>
      <c r="EH232" s="6"/>
      <c r="EI232" s="6"/>
    </row>
    <row r="233" spans="7:139" x14ac:dyDescent="0.45"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  <c r="EB233" s="6"/>
      <c r="EC233" s="6"/>
      <c r="ED233" s="6"/>
      <c r="EE233" s="6"/>
      <c r="EF233" s="6"/>
      <c r="EG233" s="6"/>
      <c r="EH233" s="6"/>
      <c r="EI233" s="6"/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75142-EC4B-4DDC-80D4-698513F702A9}">
  <sheetPr>
    <tabColor theme="4"/>
  </sheetPr>
  <dimension ref="A1:W205"/>
  <sheetViews>
    <sheetView showGridLines="0" tabSelected="1" zoomScale="115" zoomScaleNormal="115" workbookViewId="0">
      <selection activeCell="N4" sqref="N4"/>
    </sheetView>
  </sheetViews>
  <sheetFormatPr defaultColWidth="9.1328125" defaultRowHeight="12.75" x14ac:dyDescent="0.45"/>
  <cols>
    <col min="1" max="1" width="9.3984375" style="1" bestFit="1" customWidth="1"/>
    <col min="2" max="2" width="9.1328125" style="1"/>
    <col min="3" max="3" width="11.265625" style="1" customWidth="1"/>
    <col min="4" max="4" width="16.265625" style="1" bestFit="1" customWidth="1"/>
    <col min="5" max="5" width="13.3984375" style="1" bestFit="1" customWidth="1"/>
    <col min="6" max="6" width="11.73046875" style="6" customWidth="1"/>
    <col min="7" max="7" width="11.3984375" style="1" customWidth="1"/>
    <col min="8" max="8" width="12.73046875" style="1" customWidth="1"/>
    <col min="9" max="9" width="10.73046875" style="1" customWidth="1"/>
    <col min="10" max="10" width="11.86328125" style="1" bestFit="1" customWidth="1"/>
    <col min="11" max="11" width="10.73046875" style="1" customWidth="1"/>
    <col min="12" max="13" width="12.73046875" style="1" customWidth="1"/>
    <col min="14" max="16" width="12" style="1" bestFit="1" customWidth="1"/>
    <col min="17" max="17" width="9.1328125" style="1"/>
    <col min="18" max="18" width="12" style="1" bestFit="1" customWidth="1"/>
    <col min="19" max="20" width="9.3984375" style="1" bestFit="1" customWidth="1"/>
    <col min="21" max="16384" width="9.1328125" style="1"/>
  </cols>
  <sheetData>
    <row r="1" spans="1:19" x14ac:dyDescent="0.45">
      <c r="A1" s="508" t="s">
        <v>458</v>
      </c>
    </row>
    <row r="2" spans="1:19" x14ac:dyDescent="0.45">
      <c r="B2" s="1" t="s">
        <v>9</v>
      </c>
      <c r="F2" s="17">
        <v>45838</v>
      </c>
      <c r="I2" s="8" t="s">
        <v>34</v>
      </c>
      <c r="K2" s="47"/>
      <c r="N2" s="229" t="s">
        <v>286</v>
      </c>
      <c r="O2" s="230" t="s">
        <v>288</v>
      </c>
      <c r="P2" s="230" t="s">
        <v>287</v>
      </c>
      <c r="Q2" s="231"/>
      <c r="R2" s="231"/>
      <c r="S2" s="232"/>
    </row>
    <row r="3" spans="1:19" x14ac:dyDescent="0.45">
      <c r="I3" s="3" t="s">
        <v>32</v>
      </c>
      <c r="J3" s="3"/>
      <c r="K3" s="300">
        <v>0.1</v>
      </c>
      <c r="L3" s="10">
        <f>+F5</f>
        <v>848931.37959519401</v>
      </c>
      <c r="M3" s="6"/>
      <c r="N3" s="286" t="s">
        <v>323</v>
      </c>
      <c r="O3" s="287">
        <f>+G22</f>
        <v>15000000</v>
      </c>
      <c r="P3" s="288"/>
      <c r="Q3" s="3"/>
      <c r="R3" s="3"/>
      <c r="S3" s="149"/>
    </row>
    <row r="4" spans="1:19" x14ac:dyDescent="0.45">
      <c r="B4" s="2" t="s">
        <v>0</v>
      </c>
      <c r="C4" s="2"/>
      <c r="D4" s="2"/>
      <c r="E4" s="318"/>
      <c r="F4" s="168" t="s">
        <v>179</v>
      </c>
      <c r="G4" s="45" t="s">
        <v>180</v>
      </c>
      <c r="I4" s="2" t="s">
        <v>33</v>
      </c>
      <c r="J4" s="2"/>
      <c r="K4" s="301">
        <f>1-K3</f>
        <v>0.9</v>
      </c>
      <c r="L4" s="5">
        <f>+F6</f>
        <v>7640382.4163567526</v>
      </c>
      <c r="N4" s="233" t="s">
        <v>330</v>
      </c>
      <c r="O4" s="289"/>
      <c r="P4" s="290"/>
      <c r="S4" s="170"/>
    </row>
    <row r="5" spans="1:19" x14ac:dyDescent="0.45">
      <c r="B5" s="1" t="s">
        <v>32</v>
      </c>
      <c r="E5" s="185"/>
      <c r="F5" s="24">
        <f>+F8-SUM(F6:F7)</f>
        <v>848931.37959519401</v>
      </c>
      <c r="G5" s="163">
        <f>+F5/$F$8</f>
        <v>4.3007137348882368E-2</v>
      </c>
      <c r="I5" s="8" t="s">
        <v>35</v>
      </c>
      <c r="J5" s="8"/>
      <c r="K5" s="302">
        <f>SUM(K3:K4)</f>
        <v>1</v>
      </c>
      <c r="L5" s="11">
        <f>SUM(L3:L4)</f>
        <v>8489313.7959519476</v>
      </c>
      <c r="N5" s="233"/>
      <c r="O5" s="289"/>
      <c r="P5" s="234"/>
      <c r="S5" s="170"/>
    </row>
    <row r="6" spans="1:19" x14ac:dyDescent="0.45">
      <c r="B6" s="1" t="s">
        <v>33</v>
      </c>
      <c r="E6" s="185"/>
      <c r="F6" s="24">
        <f>(F8-SUM(F7:F7))*K4</f>
        <v>7640382.4163567526</v>
      </c>
      <c r="G6" s="163">
        <f>+F6/$F$8</f>
        <v>0.38706423613994168</v>
      </c>
      <c r="K6" s="47"/>
      <c r="N6" s="233"/>
      <c r="O6" s="289"/>
      <c r="P6" s="234"/>
      <c r="S6" s="170"/>
    </row>
    <row r="7" spans="1:19" x14ac:dyDescent="0.45">
      <c r="B7" s="6" t="str">
        <f>+B27</f>
        <v>Acquisition Loan</v>
      </c>
      <c r="E7" s="185"/>
      <c r="F7" s="24">
        <f>+G31</f>
        <v>11250000</v>
      </c>
      <c r="G7" s="163">
        <f>+F7/$F$8</f>
        <v>0.56992862651117593</v>
      </c>
      <c r="K7" s="47"/>
      <c r="L7" s="505"/>
      <c r="N7" s="233"/>
      <c r="O7" s="289"/>
      <c r="P7" s="234"/>
      <c r="S7" s="170"/>
    </row>
    <row r="8" spans="1:19" x14ac:dyDescent="0.45">
      <c r="A8" s="6" t="b">
        <f>F8=SUM(F5:F7)</f>
        <v>1</v>
      </c>
      <c r="B8" s="4" t="s">
        <v>1</v>
      </c>
      <c r="C8" s="4"/>
      <c r="D8" s="4"/>
      <c r="E8" s="319"/>
      <c r="F8" s="26">
        <f>+F17</f>
        <v>19739313.795951948</v>
      </c>
      <c r="G8" s="167">
        <f>+F8/$F$8</f>
        <v>1</v>
      </c>
      <c r="I8" s="279" t="s">
        <v>177</v>
      </c>
      <c r="J8" s="280"/>
      <c r="K8" s="283">
        <f>+E183</f>
        <v>0.33942088484764099</v>
      </c>
      <c r="L8" s="506"/>
      <c r="N8" s="137"/>
      <c r="O8" s="289"/>
      <c r="P8" s="234"/>
      <c r="S8" s="170"/>
    </row>
    <row r="9" spans="1:19" x14ac:dyDescent="0.45">
      <c r="E9" s="185"/>
      <c r="F9" s="24"/>
      <c r="I9" s="281" t="s">
        <v>178</v>
      </c>
      <c r="J9" s="282"/>
      <c r="K9" s="303">
        <f>+E184</f>
        <v>2.7836218136190367</v>
      </c>
      <c r="L9" s="507"/>
      <c r="N9" s="139"/>
      <c r="O9" s="291"/>
      <c r="P9" s="292"/>
      <c r="Q9" s="2"/>
      <c r="R9" s="2"/>
      <c r="S9" s="293"/>
    </row>
    <row r="10" spans="1:19" x14ac:dyDescent="0.45">
      <c r="B10" s="2" t="s">
        <v>2</v>
      </c>
      <c r="C10" s="2"/>
      <c r="D10" s="2"/>
      <c r="E10" s="318"/>
      <c r="F10" s="177" t="s">
        <v>179</v>
      </c>
      <c r="G10" s="45" t="s">
        <v>180</v>
      </c>
      <c r="K10" s="47"/>
    </row>
    <row r="11" spans="1:19" x14ac:dyDescent="0.45">
      <c r="B11" s="1" t="s">
        <v>4</v>
      </c>
      <c r="E11" s="185"/>
      <c r="F11" s="24">
        <f>+G23</f>
        <v>15000000</v>
      </c>
      <c r="G11" s="163">
        <f t="shared" ref="G11:G17" si="0">+F11/$F$17</f>
        <v>0.75990483534823461</v>
      </c>
      <c r="I11" s="24"/>
      <c r="K11" s="47"/>
      <c r="L11" s="427"/>
    </row>
    <row r="12" spans="1:19" x14ac:dyDescent="0.45">
      <c r="B12" s="1" t="s">
        <v>21</v>
      </c>
      <c r="E12" s="185"/>
      <c r="F12" s="24">
        <f>+'Closing Costs'!E19</f>
        <v>1062339.075</v>
      </c>
      <c r="G12" s="163">
        <f t="shared" si="0"/>
        <v>5.381843999145805E-2</v>
      </c>
      <c r="I12" s="24"/>
      <c r="K12" s="47"/>
      <c r="L12" s="427"/>
    </row>
    <row r="13" spans="1:19" x14ac:dyDescent="0.45">
      <c r="B13" s="1" t="s">
        <v>28</v>
      </c>
      <c r="E13" s="185"/>
      <c r="F13" s="24">
        <f>+'Legal and Pre-Dev'!E12</f>
        <v>29925</v>
      </c>
      <c r="G13" s="163">
        <f t="shared" si="0"/>
        <v>1.5160101465197279E-3</v>
      </c>
      <c r="I13" s="24"/>
      <c r="J13" s="24"/>
      <c r="L13" s="427"/>
    </row>
    <row r="14" spans="1:19" x14ac:dyDescent="0.45">
      <c r="B14" s="1" t="s">
        <v>89</v>
      </c>
      <c r="E14" s="185"/>
      <c r="F14" s="24">
        <f>+Reserves!E12</f>
        <v>789126.75999868661</v>
      </c>
      <c r="G14" s="163">
        <f t="shared" si="0"/>
        <v>3.9977416041712517E-2</v>
      </c>
      <c r="I14" s="24"/>
      <c r="J14" s="24"/>
    </row>
    <row r="15" spans="1:19" x14ac:dyDescent="0.45">
      <c r="B15" s="1" t="s">
        <v>5</v>
      </c>
      <c r="E15" s="185"/>
      <c r="F15" s="24">
        <f>+'Hard Costs'!E16</f>
        <v>2577300</v>
      </c>
      <c r="G15" s="163">
        <f t="shared" si="0"/>
        <v>0.13056684880953368</v>
      </c>
      <c r="I15" s="24"/>
    </row>
    <row r="16" spans="1:19" x14ac:dyDescent="0.45">
      <c r="B16" s="1" t="s">
        <v>230</v>
      </c>
      <c r="E16" s="185"/>
      <c r="F16" s="24">
        <f>+L31</f>
        <v>280622.9609532617</v>
      </c>
      <c r="G16" s="163">
        <f t="shared" si="0"/>
        <v>1.4216449662541493E-2</v>
      </c>
      <c r="I16" s="24"/>
    </row>
    <row r="17" spans="1:19" x14ac:dyDescent="0.45">
      <c r="A17" s="6" t="b">
        <f>F17=SUM(F11:F16)</f>
        <v>1</v>
      </c>
      <c r="B17" s="4" t="s">
        <v>3</v>
      </c>
      <c r="C17" s="4"/>
      <c r="D17" s="4"/>
      <c r="E17" s="319"/>
      <c r="F17" s="26">
        <f>SUM(F11:F16)</f>
        <v>19739313.795951948</v>
      </c>
      <c r="G17" s="167">
        <f t="shared" si="0"/>
        <v>1</v>
      </c>
      <c r="L17" s="136"/>
      <c r="M17" s="172"/>
    </row>
    <row r="18" spans="1:19" x14ac:dyDescent="0.45">
      <c r="F18" s="307"/>
      <c r="L18" s="136"/>
      <c r="M18" s="172"/>
    </row>
    <row r="19" spans="1:19" x14ac:dyDescent="0.45">
      <c r="L19" s="6"/>
      <c r="M19" s="163"/>
    </row>
    <row r="20" spans="1:19" x14ac:dyDescent="0.45">
      <c r="I20" s="1" t="s">
        <v>325</v>
      </c>
      <c r="L20" s="163" cm="1">
        <f t="array" ref="L20">+INDEX(Model!69:69,,MATCH(G144+3,Model!4:4,0))*12/L5</f>
        <v>13.381843157026456</v>
      </c>
    </row>
    <row r="21" spans="1:19" x14ac:dyDescent="0.45">
      <c r="B21" s="148" t="s">
        <v>102</v>
      </c>
      <c r="C21" s="3"/>
      <c r="D21" s="3"/>
      <c r="E21" s="3"/>
      <c r="F21" s="10"/>
      <c r="G21" s="3"/>
      <c r="H21" s="3"/>
      <c r="I21" s="3" t="s">
        <v>322</v>
      </c>
      <c r="J21" s="3"/>
      <c r="K21" s="3"/>
      <c r="L21" s="272">
        <f>('NOI Walk'!H54*12)/G23</f>
        <v>6.4367595932444482E-2</v>
      </c>
    </row>
    <row r="22" spans="1:19" x14ac:dyDescent="0.45">
      <c r="B22" s="137" t="s">
        <v>323</v>
      </c>
      <c r="G22" s="9">
        <v>15000000</v>
      </c>
      <c r="I22" s="1" t="s">
        <v>321</v>
      </c>
      <c r="L22" s="165" cm="1">
        <f t="array" ref="L22">+INDEX(Model!69:69,,MATCH(1,Model!4:4,0))*12/L5</f>
        <v>-2.7743125163486922E-2</v>
      </c>
    </row>
    <row r="23" spans="1:19" x14ac:dyDescent="0.45">
      <c r="B23" s="137" t="s">
        <v>181</v>
      </c>
      <c r="E23" s="284">
        <f>+G23/D124</f>
        <v>192307.69230769231</v>
      </c>
      <c r="F23" s="246">
        <f>+G23/O3-1</f>
        <v>0</v>
      </c>
      <c r="G23" s="9">
        <v>15000000</v>
      </c>
      <c r="I23" s="1" t="s">
        <v>94</v>
      </c>
      <c r="L23" s="150">
        <f>SUM(E46:E123)+'Retail Assumptions'!F19</f>
        <v>49950</v>
      </c>
      <c r="N23" s="8" t="str">
        <f>"Max "&amp;B27</f>
        <v>Max Acquisition Loan</v>
      </c>
    </row>
    <row r="24" spans="1:19" x14ac:dyDescent="0.45">
      <c r="B24" s="137" t="s">
        <v>30</v>
      </c>
      <c r="G24" s="27">
        <v>0</v>
      </c>
      <c r="I24" s="1" t="s">
        <v>95</v>
      </c>
      <c r="L24" s="215">
        <f>+L23/G25</f>
        <v>0.9081818181818182</v>
      </c>
      <c r="N24" s="1" t="str">
        <f>"Stabilized Annualized NOI in Month "&amp;1</f>
        <v>Stabilized Annualized NOI in Month 1</v>
      </c>
      <c r="R24" s="6" cm="1">
        <f t="array" ref="R24">INDEX('NOI Walk'!$H$67:$EI$67,,MATCH(1,'NOI Walk'!$H$16:$EI$16,0))*12</f>
        <v>965513.93898666732</v>
      </c>
      <c r="S24" s="6"/>
    </row>
    <row r="25" spans="1:19" x14ac:dyDescent="0.45">
      <c r="B25" s="139" t="s">
        <v>26</v>
      </c>
      <c r="C25" s="2"/>
      <c r="D25" s="2"/>
      <c r="E25" s="2"/>
      <c r="F25" s="5"/>
      <c r="G25" s="209">
        <v>55000</v>
      </c>
      <c r="H25" s="2"/>
      <c r="I25" s="2" t="s">
        <v>294</v>
      </c>
      <c r="J25" s="2"/>
      <c r="K25" s="2"/>
      <c r="L25" s="240" cm="1">
        <f t="array" ref="L25">INDEX('NOI Walk'!$H$67:$EI$67,,MATCH(Assumptions!G144+1,'NOI Walk'!$H$16:$EI$16,0))*12/F17</f>
        <v>9.5658551353041604E-2</v>
      </c>
      <c r="N25" s="1" t="s">
        <v>227</v>
      </c>
      <c r="R25" s="157">
        <v>0.25</v>
      </c>
    </row>
    <row r="26" spans="1:19" x14ac:dyDescent="0.45">
      <c r="G26" s="9"/>
      <c r="N26" s="3" t="s">
        <v>228</v>
      </c>
      <c r="O26" s="4"/>
      <c r="P26" s="4"/>
      <c r="Q26" s="4"/>
      <c r="R26" s="10">
        <f>+R24/R25/L27</f>
        <v>36407269.278049164</v>
      </c>
    </row>
    <row r="27" spans="1:19" x14ac:dyDescent="0.45">
      <c r="B27" s="151" t="s">
        <v>338</v>
      </c>
      <c r="C27" s="3"/>
      <c r="D27" s="3"/>
      <c r="E27" s="3"/>
      <c r="F27" s="3"/>
      <c r="G27" s="3"/>
      <c r="H27" s="3"/>
      <c r="I27" s="3" t="s">
        <v>279</v>
      </c>
      <c r="J27" s="3"/>
      <c r="K27" s="3"/>
      <c r="L27" s="247">
        <f>IFERROR(PMT(L29,L30,-1),L29)</f>
        <v>0.10607924825263391</v>
      </c>
    </row>
    <row r="28" spans="1:19" x14ac:dyDescent="0.45">
      <c r="B28" s="137" t="s">
        <v>103</v>
      </c>
      <c r="G28" s="153">
        <v>0</v>
      </c>
      <c r="I28" s="1" t="s">
        <v>127</v>
      </c>
      <c r="L28" s="154">
        <v>0.02</v>
      </c>
      <c r="N28" s="1" t="s">
        <v>246</v>
      </c>
      <c r="R28" s="19">
        <f>+G23</f>
        <v>15000000</v>
      </c>
    </row>
    <row r="29" spans="1:19" x14ac:dyDescent="0.45">
      <c r="B29" s="137" t="s">
        <v>244</v>
      </c>
      <c r="G29" s="64">
        <f>+G31/G23</f>
        <v>0.75</v>
      </c>
      <c r="I29" s="1" t="s">
        <v>29</v>
      </c>
      <c r="K29" s="248">
        <f>(L29-'1-month Term SOFR'!Q16)*10000</f>
        <v>596.375</v>
      </c>
      <c r="L29" s="155">
        <v>0.1</v>
      </c>
      <c r="M29" s="40"/>
      <c r="N29" s="1" t="s">
        <v>276</v>
      </c>
      <c r="R29" s="238">
        <v>0.75</v>
      </c>
    </row>
    <row r="30" spans="1:19" x14ac:dyDescent="0.45">
      <c r="B30" s="137" t="s">
        <v>245</v>
      </c>
      <c r="G30" s="54">
        <v>0</v>
      </c>
      <c r="I30" s="1" t="s">
        <v>278</v>
      </c>
      <c r="L30" s="237">
        <v>30</v>
      </c>
      <c r="M30" s="6"/>
      <c r="N30" s="3" t="s">
        <v>229</v>
      </c>
      <c r="O30" s="4"/>
      <c r="P30" s="4"/>
      <c r="Q30" s="4"/>
      <c r="R30" s="10">
        <f>+R29*R28</f>
        <v>11250000</v>
      </c>
    </row>
    <row r="31" spans="1:19" x14ac:dyDescent="0.45">
      <c r="B31" s="139" t="s">
        <v>128</v>
      </c>
      <c r="C31" s="2"/>
      <c r="D31" s="2"/>
      <c r="E31" s="2"/>
      <c r="F31" s="5"/>
      <c r="G31" s="46">
        <f>+R33</f>
        <v>11250000</v>
      </c>
      <c r="H31" s="2"/>
      <c r="I31" s="2" t="s">
        <v>230</v>
      </c>
      <c r="J31" s="2"/>
      <c r="K31" s="2"/>
      <c r="L31" s="162">
        <f>-Model!B53</f>
        <v>280622.9609532617</v>
      </c>
      <c r="N31" s="1" t="s">
        <v>409</v>
      </c>
      <c r="R31" s="6">
        <f>+G30*F15</f>
        <v>0</v>
      </c>
    </row>
    <row r="32" spans="1:19" x14ac:dyDescent="0.45">
      <c r="F32" s="1"/>
      <c r="L32" s="235"/>
    </row>
    <row r="33" spans="1:23" x14ac:dyDescent="0.45">
      <c r="B33" s="151" t="s">
        <v>47</v>
      </c>
      <c r="C33" s="3"/>
      <c r="D33" s="3"/>
      <c r="E33" s="4"/>
      <c r="F33" s="152"/>
      <c r="G33" s="4"/>
      <c r="H33" s="3"/>
      <c r="I33" s="4" t="s">
        <v>66</v>
      </c>
      <c r="J33" s="3"/>
      <c r="K33" s="3"/>
      <c r="L33" s="149"/>
      <c r="N33" s="198" t="str">
        <f>+N23</f>
        <v>Max Acquisition Loan</v>
      </c>
      <c r="O33" s="199"/>
      <c r="P33" s="199"/>
      <c r="Q33" s="199"/>
      <c r="R33" s="200">
        <f>MIN(R30+R31,R26)</f>
        <v>11250000</v>
      </c>
    </row>
    <row r="34" spans="1:23" x14ac:dyDescent="0.45">
      <c r="B34" s="137" t="s">
        <v>163</v>
      </c>
      <c r="G34" s="156" t="s">
        <v>300</v>
      </c>
      <c r="I34" s="1" t="s">
        <v>67</v>
      </c>
      <c r="K34" s="157">
        <v>1.25</v>
      </c>
      <c r="L34" s="138">
        <f>+L38/K34/L39</f>
        <v>20678404.454956274</v>
      </c>
    </row>
    <row r="35" spans="1:23" x14ac:dyDescent="0.45">
      <c r="B35" s="137" t="s">
        <v>64</v>
      </c>
      <c r="G35" s="285">
        <f>+G36-G144</f>
        <v>3</v>
      </c>
      <c r="I35" s="1" t="s">
        <v>275</v>
      </c>
      <c r="K35" s="158">
        <v>0.09</v>
      </c>
      <c r="L35" s="138">
        <f>+L38/K35</f>
        <v>21072209.818557665</v>
      </c>
    </row>
    <row r="36" spans="1:23" x14ac:dyDescent="0.45">
      <c r="B36" s="137" t="s">
        <v>65</v>
      </c>
      <c r="G36" s="27">
        <v>33</v>
      </c>
      <c r="I36" s="1" t="s">
        <v>276</v>
      </c>
      <c r="J36" s="159">
        <v>0.06</v>
      </c>
      <c r="K36" s="158">
        <v>0.75</v>
      </c>
      <c r="L36" s="138">
        <f>+L38/J36*K36</f>
        <v>23706236.045877375</v>
      </c>
    </row>
    <row r="37" spans="1:23" x14ac:dyDescent="0.45">
      <c r="B37" s="137" t="s">
        <v>161</v>
      </c>
      <c r="G37" s="262" cm="1">
        <f t="array" ref="G37">G38/10000+INDEX(Model!$G$76:$EI$76,,MATCH(Assumptions!G36,Model!$G$4:$EI$4,0))</f>
        <v>6.18393E-2</v>
      </c>
      <c r="I37" s="4" t="s">
        <v>68</v>
      </c>
      <c r="J37" s="4"/>
      <c r="K37" s="4"/>
      <c r="L37" s="160">
        <f>MIN(L34:L36)</f>
        <v>20678404.454956274</v>
      </c>
    </row>
    <row r="38" spans="1:23" x14ac:dyDescent="0.45">
      <c r="B38" s="137" t="s">
        <v>160</v>
      </c>
      <c r="G38" s="263">
        <v>250</v>
      </c>
      <c r="I38" s="1" t="str">
        <f>"Annualized NOI in Month "&amp;G36</f>
        <v>Annualized NOI in Month 33</v>
      </c>
      <c r="L38" s="138" cm="1">
        <f t="array" ref="L38">INDEX('NOI Walk'!$H$67:$EI$67,,MATCH(Assumptions!G36,'NOI Walk'!$H$16:$EI$16,0))*12</f>
        <v>1896498.8836701899</v>
      </c>
      <c r="R38" s="6"/>
      <c r="S38" s="6"/>
      <c r="T38" s="6"/>
    </row>
    <row r="39" spans="1:23" x14ac:dyDescent="0.45">
      <c r="B39" s="137" t="s">
        <v>278</v>
      </c>
      <c r="G39" s="264">
        <v>30</v>
      </c>
      <c r="I39" s="1" t="s">
        <v>289</v>
      </c>
      <c r="L39" s="165">
        <f>+PMT(G37/12,G39*12,-1)*12</f>
        <v>7.3371188296517925E-2</v>
      </c>
      <c r="R39" s="6"/>
      <c r="S39" s="6"/>
      <c r="T39" s="6"/>
    </row>
    <row r="40" spans="1:23" x14ac:dyDescent="0.45">
      <c r="B40" s="137" t="s">
        <v>164</v>
      </c>
      <c r="G40" s="171">
        <v>0.01</v>
      </c>
      <c r="I40" s="1" t="s">
        <v>290</v>
      </c>
      <c r="L40" s="150">
        <f>+L37*(1-G40)</f>
        <v>20471620.410406712</v>
      </c>
      <c r="R40" s="6"/>
      <c r="S40" s="6"/>
      <c r="T40" s="6"/>
    </row>
    <row r="41" spans="1:23" x14ac:dyDescent="0.45">
      <c r="B41" s="139"/>
      <c r="C41" s="2"/>
      <c r="D41" s="2"/>
      <c r="E41" s="2"/>
      <c r="F41" s="5"/>
      <c r="G41" s="2"/>
      <c r="H41" s="2"/>
      <c r="I41" s="2" t="s">
        <v>312</v>
      </c>
      <c r="J41" s="2"/>
      <c r="K41" s="2"/>
      <c r="L41" s="162" cm="1">
        <f t="array" ref="L41">+INDEX(Model!G69:EI69,,MATCH(Assumptions!G36,Model!$G$4:$EI$4,0))</f>
        <v>9466888.8106841538</v>
      </c>
      <c r="R41" s="6"/>
      <c r="S41" s="6"/>
      <c r="T41" s="6"/>
    </row>
    <row r="42" spans="1:23" x14ac:dyDescent="0.45">
      <c r="R42" s="6"/>
    </row>
    <row r="43" spans="1:23" x14ac:dyDescent="0.45">
      <c r="G43" s="1" t="s">
        <v>335</v>
      </c>
      <c r="H43" s="163">
        <f>((I124-H124)*12)/'Hard Costs'!E14</f>
        <v>0.36212340080971644</v>
      </c>
    </row>
    <row r="44" spans="1:23" x14ac:dyDescent="0.45">
      <c r="B44" s="8" t="s">
        <v>69</v>
      </c>
      <c r="E44" s="235"/>
    </row>
    <row r="45" spans="1:23" x14ac:dyDescent="0.45">
      <c r="B45" s="2" t="s">
        <v>50</v>
      </c>
      <c r="C45" s="210" t="s">
        <v>291</v>
      </c>
      <c r="D45" s="44" t="s">
        <v>313</v>
      </c>
      <c r="E45" s="44" t="s">
        <v>249</v>
      </c>
      <c r="F45" s="44" t="s">
        <v>253</v>
      </c>
      <c r="G45" s="44" t="s">
        <v>253</v>
      </c>
      <c r="H45" s="45" t="s">
        <v>248</v>
      </c>
      <c r="I45" s="46" t="s">
        <v>247</v>
      </c>
      <c r="J45" s="46" t="s">
        <v>332</v>
      </c>
      <c r="K45" s="195"/>
      <c r="L45" s="2" t="s">
        <v>250</v>
      </c>
      <c r="M45" s="2"/>
      <c r="N45" s="45" t="s">
        <v>414</v>
      </c>
      <c r="O45" s="45" t="s">
        <v>413</v>
      </c>
      <c r="P45" s="45" t="s">
        <v>412</v>
      </c>
      <c r="Q45" s="292" t="s">
        <v>317</v>
      </c>
      <c r="R45" s="45" t="s">
        <v>318</v>
      </c>
      <c r="U45" s="8"/>
    </row>
    <row r="46" spans="1:23" ht="13.9" x14ac:dyDescent="0.4">
      <c r="A46" s="294">
        <v>1</v>
      </c>
      <c r="B46" s="250">
        <v>1</v>
      </c>
      <c r="C46" s="251">
        <v>1</v>
      </c>
      <c r="D46" s="268" t="s">
        <v>384</v>
      </c>
      <c r="E46" s="265">
        <v>825</v>
      </c>
      <c r="F46" s="13">
        <v>2</v>
      </c>
      <c r="G46" s="252">
        <f t="shared" ref="G46:G49" si="1">+EOMONTH($F$2,F46)</f>
        <v>45900</v>
      </c>
      <c r="H46" s="82">
        <v>1522.5</v>
      </c>
      <c r="I46" s="253">
        <f t="shared" ref="I46:I77" si="2">+IFERROR(IF(OR(C46=1,C46=2),INDEX($N$46:$N$51,MATCH(D46,$L$46:$L$51,0)),H46),H46)</f>
        <v>2800</v>
      </c>
      <c r="J46" s="253">
        <f>+I46*12</f>
        <v>33600</v>
      </c>
      <c r="K46" s="509">
        <f t="shared" ref="K46:K49" si="3">+I46/H46-1</f>
        <v>0.83908045977011492</v>
      </c>
      <c r="L46" s="267" t="s">
        <v>314</v>
      </c>
      <c r="M46" s="82"/>
      <c r="N46" s="82">
        <v>2000</v>
      </c>
      <c r="O46" s="254">
        <v>2.25</v>
      </c>
      <c r="P46" s="499">
        <f t="shared" ref="P46:P51" si="4">IFERROR(SUMIF($D$46:$D$123,L46,$I$46:$I$123)/SUMIF($D$46:$D$123,L46,$E$46:$E$123),0)</f>
        <v>0</v>
      </c>
      <c r="Q46" s="24">
        <f t="shared" ref="Q46:Q51" si="5">IFERROR(AVERAGEIF($D$46:$D$123,L46,$H$46:$H$123),0)</f>
        <v>0</v>
      </c>
      <c r="R46" s="24">
        <f t="shared" ref="R46:R51" si="6">IFERROR(AVERAGEIF($D$46:$D$123,L46,$I$46:$I$123),0)</f>
        <v>0</v>
      </c>
      <c r="S46" s="273"/>
      <c r="T46" s="274"/>
      <c r="U46" s="8"/>
      <c r="V46" s="258"/>
      <c r="W46" s="259"/>
    </row>
    <row r="47" spans="1:23" ht="13.9" x14ac:dyDescent="0.4">
      <c r="A47" s="294">
        <v>2</v>
      </c>
      <c r="B47" s="250">
        <f>+B46+1</f>
        <v>2</v>
      </c>
      <c r="C47" s="251">
        <v>1</v>
      </c>
      <c r="D47" s="268" t="s">
        <v>384</v>
      </c>
      <c r="E47" s="266">
        <v>825</v>
      </c>
      <c r="F47" s="13">
        <v>2</v>
      </c>
      <c r="G47" s="252">
        <f t="shared" si="1"/>
        <v>45900</v>
      </c>
      <c r="H47" s="82">
        <v>1764</v>
      </c>
      <c r="I47" s="253">
        <f t="shared" si="2"/>
        <v>2800</v>
      </c>
      <c r="J47" s="253">
        <f t="shared" ref="J47:J49" si="7">+I47*12</f>
        <v>33600</v>
      </c>
      <c r="K47" s="509">
        <f t="shared" si="3"/>
        <v>0.58730158730158721</v>
      </c>
      <c r="L47" s="269" t="s">
        <v>382</v>
      </c>
      <c r="M47" s="82"/>
      <c r="N47" s="82">
        <v>2400</v>
      </c>
      <c r="O47" s="254">
        <v>2</v>
      </c>
      <c r="P47" s="499">
        <f t="shared" si="4"/>
        <v>3.84</v>
      </c>
      <c r="Q47" s="24">
        <f t="shared" si="5"/>
        <v>1544.0186111111113</v>
      </c>
      <c r="R47" s="24">
        <f t="shared" si="6"/>
        <v>2400</v>
      </c>
      <c r="S47" s="273"/>
      <c r="T47" s="274"/>
      <c r="U47" s="274"/>
      <c r="V47" s="258"/>
      <c r="W47" s="259"/>
    </row>
    <row r="48" spans="1:23" ht="13.9" x14ac:dyDescent="0.4">
      <c r="A48" s="294">
        <v>3</v>
      </c>
      <c r="B48" s="250">
        <f t="shared" ref="B48:B111" si="8">+B47+1</f>
        <v>3</v>
      </c>
      <c r="C48" s="251">
        <v>1</v>
      </c>
      <c r="D48" s="268" t="s">
        <v>382</v>
      </c>
      <c r="E48" s="266">
        <v>625</v>
      </c>
      <c r="F48" s="13">
        <v>2</v>
      </c>
      <c r="G48" s="252">
        <f t="shared" si="1"/>
        <v>45900</v>
      </c>
      <c r="H48" s="82">
        <v>1457.71</v>
      </c>
      <c r="I48" s="253">
        <f t="shared" si="2"/>
        <v>2400</v>
      </c>
      <c r="J48" s="253">
        <f t="shared" si="7"/>
        <v>28800</v>
      </c>
      <c r="K48" s="509">
        <f t="shared" si="3"/>
        <v>0.64641801181304914</v>
      </c>
      <c r="L48" s="269" t="s">
        <v>384</v>
      </c>
      <c r="M48" s="82"/>
      <c r="N48" s="82">
        <v>2800</v>
      </c>
      <c r="O48" s="254">
        <v>1.9</v>
      </c>
      <c r="P48" s="499">
        <f t="shared" si="4"/>
        <v>3.393939393939394</v>
      </c>
      <c r="Q48" s="24">
        <f t="shared" si="5"/>
        <v>1891.2166666666665</v>
      </c>
      <c r="R48" s="24">
        <f t="shared" si="6"/>
        <v>2800</v>
      </c>
      <c r="S48" s="273"/>
      <c r="T48" s="274"/>
      <c r="U48" s="274"/>
      <c r="V48" s="258"/>
      <c r="W48" s="259"/>
    </row>
    <row r="49" spans="1:23" ht="13.9" x14ac:dyDescent="0.4">
      <c r="A49" s="294">
        <v>4</v>
      </c>
      <c r="B49" s="250">
        <f t="shared" si="8"/>
        <v>4</v>
      </c>
      <c r="C49" s="251">
        <v>1</v>
      </c>
      <c r="D49" s="268" t="s">
        <v>382</v>
      </c>
      <c r="E49" s="266">
        <v>625</v>
      </c>
      <c r="F49" s="13">
        <f t="shared" ref="F49:F80" si="9">+F46+1</f>
        <v>3</v>
      </c>
      <c r="G49" s="252">
        <f t="shared" si="1"/>
        <v>45930</v>
      </c>
      <c r="H49" s="82">
        <v>1680</v>
      </c>
      <c r="I49" s="253">
        <f t="shared" si="2"/>
        <v>2400</v>
      </c>
      <c r="J49" s="253">
        <f t="shared" si="7"/>
        <v>28800</v>
      </c>
      <c r="K49" s="509">
        <f t="shared" si="3"/>
        <v>0.4285714285714286</v>
      </c>
      <c r="L49" s="269" t="s">
        <v>386</v>
      </c>
      <c r="N49" s="82">
        <v>3500</v>
      </c>
      <c r="O49" s="254">
        <v>1.85</v>
      </c>
      <c r="P49" s="499">
        <f t="shared" si="4"/>
        <v>0</v>
      </c>
      <c r="Q49" s="24">
        <f t="shared" si="5"/>
        <v>0</v>
      </c>
      <c r="R49" s="24">
        <f t="shared" si="6"/>
        <v>0</v>
      </c>
      <c r="S49" s="275"/>
      <c r="T49" s="274"/>
      <c r="U49" s="274"/>
      <c r="V49" s="258"/>
      <c r="W49" s="259"/>
    </row>
    <row r="50" spans="1:23" ht="13.9" x14ac:dyDescent="0.4">
      <c r="A50" s="294">
        <v>5</v>
      </c>
      <c r="B50" s="250">
        <f t="shared" si="8"/>
        <v>5</v>
      </c>
      <c r="C50" s="251">
        <v>1</v>
      </c>
      <c r="D50" s="268" t="s">
        <v>382</v>
      </c>
      <c r="E50" s="266">
        <v>625</v>
      </c>
      <c r="F50" s="13">
        <f t="shared" si="9"/>
        <v>3</v>
      </c>
      <c r="G50" s="252">
        <f t="shared" ref="G50:G85" si="10">+EOMONTH($F$2,F50)</f>
        <v>45930</v>
      </c>
      <c r="H50" s="82">
        <v>1451.66</v>
      </c>
      <c r="I50" s="253">
        <f t="shared" si="2"/>
        <v>2400</v>
      </c>
      <c r="J50" s="253">
        <f t="shared" ref="J50:J85" si="11">+I50*12</f>
        <v>28800</v>
      </c>
      <c r="K50" s="509">
        <f t="shared" ref="K50:K85" si="12">+I50/H50-1</f>
        <v>0.65327969359216342</v>
      </c>
      <c r="L50" s="269" t="s">
        <v>455</v>
      </c>
      <c r="M50" s="82"/>
      <c r="N50" s="82">
        <v>3650</v>
      </c>
      <c r="O50" s="254">
        <v>1.8</v>
      </c>
      <c r="P50" s="499">
        <f t="shared" si="4"/>
        <v>0</v>
      </c>
      <c r="Q50" s="24">
        <f t="shared" si="5"/>
        <v>0</v>
      </c>
      <c r="R50" s="24">
        <f t="shared" si="6"/>
        <v>0</v>
      </c>
      <c r="S50" s="273"/>
      <c r="T50" s="274"/>
      <c r="U50" s="274"/>
      <c r="V50" s="258"/>
      <c r="W50" s="259"/>
    </row>
    <row r="51" spans="1:23" ht="13.9" x14ac:dyDescent="0.4">
      <c r="A51" s="294">
        <v>6</v>
      </c>
      <c r="B51" s="250">
        <f t="shared" si="8"/>
        <v>6</v>
      </c>
      <c r="C51" s="251">
        <v>1</v>
      </c>
      <c r="D51" s="268" t="s">
        <v>382</v>
      </c>
      <c r="E51" s="266">
        <v>625</v>
      </c>
      <c r="F51" s="13">
        <f t="shared" si="9"/>
        <v>3</v>
      </c>
      <c r="G51" s="252">
        <f t="shared" si="10"/>
        <v>45930</v>
      </c>
      <c r="H51" s="82">
        <v>1627.5</v>
      </c>
      <c r="I51" s="253">
        <f t="shared" si="2"/>
        <v>2400</v>
      </c>
      <c r="J51" s="253">
        <f t="shared" si="11"/>
        <v>28800</v>
      </c>
      <c r="K51" s="509">
        <f t="shared" si="12"/>
        <v>0.47465437788018439</v>
      </c>
      <c r="L51" s="270" t="s">
        <v>456</v>
      </c>
      <c r="M51" s="211"/>
      <c r="N51" s="211">
        <v>4000</v>
      </c>
      <c r="O51" s="255">
        <v>1.75</v>
      </c>
      <c r="P51" s="500">
        <f t="shared" si="4"/>
        <v>0</v>
      </c>
      <c r="Q51" s="176">
        <f t="shared" si="5"/>
        <v>0</v>
      </c>
      <c r="R51" s="176">
        <f t="shared" si="6"/>
        <v>0</v>
      </c>
      <c r="S51" s="273"/>
      <c r="T51" s="276"/>
      <c r="U51" s="235"/>
      <c r="V51" s="258"/>
      <c r="W51" s="259"/>
    </row>
    <row r="52" spans="1:23" ht="13.9" x14ac:dyDescent="0.45">
      <c r="A52" s="294">
        <v>7</v>
      </c>
      <c r="B52" s="250">
        <f t="shared" si="8"/>
        <v>7</v>
      </c>
      <c r="C52" s="251">
        <v>1</v>
      </c>
      <c r="D52" s="268" t="s">
        <v>382</v>
      </c>
      <c r="E52" s="266">
        <v>625</v>
      </c>
      <c r="F52" s="13">
        <f t="shared" si="9"/>
        <v>4</v>
      </c>
      <c r="G52" s="252">
        <f t="shared" si="10"/>
        <v>45961</v>
      </c>
      <c r="H52" s="82">
        <v>1881</v>
      </c>
      <c r="I52" s="253">
        <f t="shared" si="2"/>
        <v>2400</v>
      </c>
      <c r="J52" s="253">
        <f t="shared" si="11"/>
        <v>28800</v>
      </c>
      <c r="K52" s="509">
        <f t="shared" si="12"/>
        <v>0.27591706539074967</v>
      </c>
      <c r="L52" s="234" t="s">
        <v>307</v>
      </c>
      <c r="N52" s="6">
        <f>+J124+J134</f>
        <v>2275200</v>
      </c>
      <c r="Q52" s="261"/>
      <c r="R52" s="12"/>
      <c r="U52" s="235"/>
      <c r="V52" s="258"/>
      <c r="W52" s="259"/>
    </row>
    <row r="53" spans="1:23" ht="13.9" x14ac:dyDescent="0.45">
      <c r="A53" s="294">
        <v>8</v>
      </c>
      <c r="B53" s="250">
        <f t="shared" si="8"/>
        <v>8</v>
      </c>
      <c r="C53" s="251">
        <v>1</v>
      </c>
      <c r="D53" s="268" t="s">
        <v>382</v>
      </c>
      <c r="E53" s="266">
        <v>625</v>
      </c>
      <c r="F53" s="13">
        <f t="shared" si="9"/>
        <v>4</v>
      </c>
      <c r="G53" s="252">
        <f t="shared" si="10"/>
        <v>45961</v>
      </c>
      <c r="H53" s="82">
        <v>1417.5</v>
      </c>
      <c r="I53" s="253">
        <f t="shared" si="2"/>
        <v>2400</v>
      </c>
      <c r="J53" s="253">
        <f t="shared" si="11"/>
        <v>28800</v>
      </c>
      <c r="K53" s="509">
        <f t="shared" si="12"/>
        <v>0.69312169312169303</v>
      </c>
      <c r="L53" s="234" t="s">
        <v>306</v>
      </c>
      <c r="N53" s="9">
        <f>181800*12</f>
        <v>2181600</v>
      </c>
      <c r="Q53" s="261"/>
      <c r="R53" s="12"/>
      <c r="U53" s="235"/>
      <c r="V53" s="258"/>
      <c r="W53" s="259"/>
    </row>
    <row r="54" spans="1:23" ht="13.9" x14ac:dyDescent="0.45">
      <c r="A54" s="294">
        <v>20</v>
      </c>
      <c r="B54" s="250">
        <f t="shared" si="8"/>
        <v>9</v>
      </c>
      <c r="C54" s="251">
        <v>1</v>
      </c>
      <c r="D54" s="268" t="s">
        <v>382</v>
      </c>
      <c r="E54" s="266">
        <v>625</v>
      </c>
      <c r="F54" s="13">
        <f t="shared" si="9"/>
        <v>4</v>
      </c>
      <c r="G54" s="252">
        <f t="shared" si="10"/>
        <v>45961</v>
      </c>
      <c r="H54" s="82">
        <v>1650</v>
      </c>
      <c r="I54" s="253">
        <f t="shared" si="2"/>
        <v>2400</v>
      </c>
      <c r="J54" s="253">
        <f t="shared" si="11"/>
        <v>28800</v>
      </c>
      <c r="K54" s="509">
        <f t="shared" si="12"/>
        <v>0.45454545454545459</v>
      </c>
      <c r="L54" s="271" t="s">
        <v>308</v>
      </c>
      <c r="M54" s="83"/>
      <c r="N54" s="256">
        <f>+N52/N53-1</f>
        <v>4.2904290429042868E-2</v>
      </c>
      <c r="Q54" s="261"/>
      <c r="R54" s="12"/>
      <c r="U54" s="235"/>
      <c r="V54" s="258"/>
      <c r="W54" s="259"/>
    </row>
    <row r="55" spans="1:23" ht="13.9" x14ac:dyDescent="0.45">
      <c r="A55" s="294">
        <v>21</v>
      </c>
      <c r="B55" s="250">
        <f t="shared" si="8"/>
        <v>10</v>
      </c>
      <c r="C55" s="251">
        <v>1</v>
      </c>
      <c r="D55" s="268" t="s">
        <v>382</v>
      </c>
      <c r="E55" s="266">
        <v>625</v>
      </c>
      <c r="F55" s="13">
        <f t="shared" si="9"/>
        <v>5</v>
      </c>
      <c r="G55" s="252">
        <f t="shared" si="10"/>
        <v>45991</v>
      </c>
      <c r="H55" s="82">
        <v>1391.18</v>
      </c>
      <c r="I55" s="253">
        <f t="shared" si="2"/>
        <v>2400</v>
      </c>
      <c r="J55" s="253">
        <f t="shared" si="11"/>
        <v>28800</v>
      </c>
      <c r="K55" s="509">
        <f t="shared" si="12"/>
        <v>0.72515418565534295</v>
      </c>
      <c r="L55" s="271"/>
      <c r="M55" s="83"/>
      <c r="N55" s="256"/>
      <c r="Q55" s="261"/>
      <c r="R55" s="12"/>
      <c r="U55" s="235"/>
      <c r="V55" s="258"/>
      <c r="W55" s="259"/>
    </row>
    <row r="56" spans="1:23" ht="13.9" x14ac:dyDescent="0.45">
      <c r="A56" s="294">
        <v>22</v>
      </c>
      <c r="B56" s="250">
        <f t="shared" si="8"/>
        <v>11</v>
      </c>
      <c r="C56" s="251">
        <v>1</v>
      </c>
      <c r="D56" s="268" t="s">
        <v>382</v>
      </c>
      <c r="E56" s="266">
        <v>625</v>
      </c>
      <c r="F56" s="13">
        <f t="shared" si="9"/>
        <v>5</v>
      </c>
      <c r="G56" s="252">
        <f t="shared" si="10"/>
        <v>45991</v>
      </c>
      <c r="H56" s="82">
        <v>1391.25</v>
      </c>
      <c r="I56" s="253">
        <f t="shared" si="2"/>
        <v>2400</v>
      </c>
      <c r="J56" s="253">
        <f t="shared" si="11"/>
        <v>28800</v>
      </c>
      <c r="K56" s="509">
        <f t="shared" si="12"/>
        <v>0.72506738544474403</v>
      </c>
      <c r="L56" s="271"/>
      <c r="M56" s="83"/>
      <c r="N56" s="256"/>
      <c r="Q56" s="261"/>
      <c r="R56" s="12"/>
      <c r="U56" s="235"/>
      <c r="V56" s="258"/>
      <c r="W56" s="259"/>
    </row>
    <row r="57" spans="1:23" ht="13.9" x14ac:dyDescent="0.45">
      <c r="A57" s="294">
        <v>23</v>
      </c>
      <c r="B57" s="250">
        <f t="shared" si="8"/>
        <v>12</v>
      </c>
      <c r="C57" s="251">
        <v>1</v>
      </c>
      <c r="D57" s="268" t="s">
        <v>382</v>
      </c>
      <c r="E57" s="266">
        <v>625</v>
      </c>
      <c r="F57" s="13">
        <f t="shared" si="9"/>
        <v>5</v>
      </c>
      <c r="G57" s="252">
        <f t="shared" si="10"/>
        <v>45991</v>
      </c>
      <c r="H57" s="82">
        <v>1428</v>
      </c>
      <c r="I57" s="253">
        <f t="shared" si="2"/>
        <v>2400</v>
      </c>
      <c r="J57" s="253">
        <f t="shared" si="11"/>
        <v>28800</v>
      </c>
      <c r="K57" s="509">
        <f t="shared" si="12"/>
        <v>0.68067226890756305</v>
      </c>
      <c r="L57" s="271"/>
      <c r="M57" s="83"/>
      <c r="N57" s="256"/>
      <c r="Q57" s="261"/>
      <c r="R57" s="12"/>
      <c r="U57" s="235"/>
      <c r="V57" s="258"/>
      <c r="W57" s="259"/>
    </row>
    <row r="58" spans="1:23" ht="13.9" x14ac:dyDescent="0.45">
      <c r="A58" s="294">
        <v>24</v>
      </c>
      <c r="B58" s="250">
        <f t="shared" si="8"/>
        <v>13</v>
      </c>
      <c r="C58" s="251">
        <v>1</v>
      </c>
      <c r="D58" s="268" t="s">
        <v>382</v>
      </c>
      <c r="E58" s="266">
        <v>625</v>
      </c>
      <c r="F58" s="13">
        <f t="shared" si="9"/>
        <v>6</v>
      </c>
      <c r="G58" s="252">
        <f t="shared" si="10"/>
        <v>46022</v>
      </c>
      <c r="H58" s="82">
        <v>1391.25</v>
      </c>
      <c r="I58" s="253">
        <f t="shared" si="2"/>
        <v>2400</v>
      </c>
      <c r="J58" s="253">
        <f t="shared" si="11"/>
        <v>28800</v>
      </c>
      <c r="K58" s="509">
        <f t="shared" si="12"/>
        <v>0.72506738544474403</v>
      </c>
      <c r="L58" s="271"/>
      <c r="M58" s="83"/>
      <c r="N58" s="256"/>
      <c r="Q58" s="261"/>
      <c r="R58" s="12"/>
      <c r="U58" s="235"/>
      <c r="V58" s="258"/>
      <c r="W58" s="259"/>
    </row>
    <row r="59" spans="1:23" ht="13.9" x14ac:dyDescent="0.45">
      <c r="A59" s="294">
        <v>25</v>
      </c>
      <c r="B59" s="250">
        <f t="shared" si="8"/>
        <v>14</v>
      </c>
      <c r="C59" s="251">
        <v>1</v>
      </c>
      <c r="D59" s="268" t="s">
        <v>382</v>
      </c>
      <c r="E59" s="266">
        <v>625</v>
      </c>
      <c r="F59" s="13">
        <f t="shared" si="9"/>
        <v>6</v>
      </c>
      <c r="G59" s="252">
        <f t="shared" si="10"/>
        <v>46022</v>
      </c>
      <c r="H59" s="82">
        <v>1776.5</v>
      </c>
      <c r="I59" s="253">
        <f t="shared" si="2"/>
        <v>2400</v>
      </c>
      <c r="J59" s="253">
        <f t="shared" si="11"/>
        <v>28800</v>
      </c>
      <c r="K59" s="509">
        <f t="shared" si="12"/>
        <v>0.35097101041373491</v>
      </c>
      <c r="L59" s="271"/>
      <c r="M59" s="83"/>
      <c r="N59" s="256"/>
      <c r="Q59" s="261"/>
      <c r="R59" s="12"/>
      <c r="U59" s="235"/>
      <c r="V59" s="258"/>
      <c r="W59" s="259"/>
    </row>
    <row r="60" spans="1:23" ht="13.9" x14ac:dyDescent="0.45">
      <c r="A60" s="294">
        <v>26</v>
      </c>
      <c r="B60" s="250">
        <f t="shared" si="8"/>
        <v>15</v>
      </c>
      <c r="C60" s="251">
        <v>1</v>
      </c>
      <c r="D60" s="268" t="s">
        <v>382</v>
      </c>
      <c r="E60" s="266">
        <v>625</v>
      </c>
      <c r="F60" s="13">
        <f t="shared" si="9"/>
        <v>6</v>
      </c>
      <c r="G60" s="252">
        <f t="shared" si="10"/>
        <v>46022</v>
      </c>
      <c r="H60" s="82">
        <v>1365</v>
      </c>
      <c r="I60" s="253">
        <f t="shared" si="2"/>
        <v>2400</v>
      </c>
      <c r="J60" s="253">
        <f t="shared" si="11"/>
        <v>28800</v>
      </c>
      <c r="K60" s="509">
        <f t="shared" si="12"/>
        <v>0.75824175824175821</v>
      </c>
      <c r="L60" s="271"/>
      <c r="M60" s="83"/>
      <c r="N60" s="256"/>
      <c r="Q60" s="261"/>
      <c r="R60" s="12"/>
      <c r="U60" s="235"/>
      <c r="V60" s="258"/>
      <c r="W60" s="259"/>
    </row>
    <row r="61" spans="1:23" ht="13.9" x14ac:dyDescent="0.45">
      <c r="A61" s="294">
        <v>27</v>
      </c>
      <c r="B61" s="250">
        <f t="shared" si="8"/>
        <v>16</v>
      </c>
      <c r="C61" s="251">
        <v>1</v>
      </c>
      <c r="D61" s="268" t="s">
        <v>382</v>
      </c>
      <c r="E61" s="266">
        <v>625</v>
      </c>
      <c r="F61" s="13">
        <f t="shared" si="9"/>
        <v>7</v>
      </c>
      <c r="G61" s="252">
        <f t="shared" si="10"/>
        <v>46053</v>
      </c>
      <c r="H61" s="82">
        <v>1548.75</v>
      </c>
      <c r="I61" s="253">
        <f t="shared" si="2"/>
        <v>2400</v>
      </c>
      <c r="J61" s="253">
        <f t="shared" si="11"/>
        <v>28800</v>
      </c>
      <c r="K61" s="509">
        <f t="shared" si="12"/>
        <v>0.54963680387409197</v>
      </c>
      <c r="L61" s="271"/>
      <c r="M61" s="83"/>
      <c r="N61" s="256"/>
      <c r="Q61" s="261"/>
      <c r="R61" s="12"/>
      <c r="U61" s="235"/>
      <c r="V61" s="258"/>
      <c r="W61" s="259"/>
    </row>
    <row r="62" spans="1:23" ht="13.9" x14ac:dyDescent="0.45">
      <c r="A62" s="294">
        <v>28</v>
      </c>
      <c r="B62" s="250">
        <f t="shared" si="8"/>
        <v>17</v>
      </c>
      <c r="C62" s="251">
        <v>1</v>
      </c>
      <c r="D62" s="268" t="s">
        <v>382</v>
      </c>
      <c r="E62" s="266">
        <v>625</v>
      </c>
      <c r="F62" s="13">
        <f t="shared" si="9"/>
        <v>7</v>
      </c>
      <c r="G62" s="252">
        <f t="shared" si="10"/>
        <v>46053</v>
      </c>
      <c r="H62" s="82">
        <v>1417.5</v>
      </c>
      <c r="I62" s="253">
        <f t="shared" si="2"/>
        <v>2400</v>
      </c>
      <c r="J62" s="253">
        <f t="shared" si="11"/>
        <v>28800</v>
      </c>
      <c r="K62" s="509">
        <f t="shared" si="12"/>
        <v>0.69312169312169303</v>
      </c>
      <c r="L62" s="271"/>
      <c r="M62" s="83"/>
      <c r="N62" s="256"/>
      <c r="Q62" s="261"/>
      <c r="R62" s="12"/>
      <c r="U62" s="235"/>
      <c r="V62" s="258"/>
      <c r="W62" s="259"/>
    </row>
    <row r="63" spans="1:23" ht="13.9" x14ac:dyDescent="0.45">
      <c r="A63" s="294">
        <v>29</v>
      </c>
      <c r="B63" s="250">
        <f t="shared" si="8"/>
        <v>18</v>
      </c>
      <c r="C63" s="251">
        <v>1</v>
      </c>
      <c r="D63" s="268" t="s">
        <v>382</v>
      </c>
      <c r="E63" s="266">
        <v>625</v>
      </c>
      <c r="F63" s="13">
        <f t="shared" si="9"/>
        <v>7</v>
      </c>
      <c r="G63" s="252">
        <f t="shared" si="10"/>
        <v>46053</v>
      </c>
      <c r="H63" s="82">
        <v>1494.01</v>
      </c>
      <c r="I63" s="253">
        <f t="shared" si="2"/>
        <v>2400</v>
      </c>
      <c r="J63" s="253">
        <f t="shared" si="11"/>
        <v>28800</v>
      </c>
      <c r="K63" s="509">
        <f t="shared" si="12"/>
        <v>0.60641495036847148</v>
      </c>
      <c r="L63" s="271"/>
      <c r="M63" s="83"/>
      <c r="N63" s="256"/>
      <c r="Q63" s="261"/>
      <c r="R63" s="12"/>
      <c r="U63" s="235"/>
      <c r="V63" s="258"/>
      <c r="W63" s="259"/>
    </row>
    <row r="64" spans="1:23" ht="13.9" x14ac:dyDescent="0.45">
      <c r="A64" s="294">
        <v>30</v>
      </c>
      <c r="B64" s="250">
        <f t="shared" si="8"/>
        <v>19</v>
      </c>
      <c r="C64" s="251">
        <v>1</v>
      </c>
      <c r="D64" s="268" t="s">
        <v>382</v>
      </c>
      <c r="E64" s="266">
        <v>625</v>
      </c>
      <c r="F64" s="13">
        <f t="shared" si="9"/>
        <v>8</v>
      </c>
      <c r="G64" s="252">
        <f t="shared" si="10"/>
        <v>46081</v>
      </c>
      <c r="H64" s="82">
        <v>1548.75</v>
      </c>
      <c r="I64" s="253">
        <f t="shared" si="2"/>
        <v>2400</v>
      </c>
      <c r="J64" s="253">
        <f t="shared" si="11"/>
        <v>28800</v>
      </c>
      <c r="K64" s="509">
        <f t="shared" si="12"/>
        <v>0.54963680387409197</v>
      </c>
      <c r="L64" s="271"/>
      <c r="M64" s="83"/>
      <c r="N64" s="256"/>
      <c r="Q64" s="261"/>
      <c r="R64" s="12"/>
      <c r="U64" s="235"/>
      <c r="V64" s="258"/>
      <c r="W64" s="259"/>
    </row>
    <row r="65" spans="1:23" ht="13.9" x14ac:dyDescent="0.45">
      <c r="A65" s="294">
        <v>31</v>
      </c>
      <c r="B65" s="250">
        <f t="shared" si="8"/>
        <v>20</v>
      </c>
      <c r="C65" s="251">
        <v>1</v>
      </c>
      <c r="D65" s="268" t="s">
        <v>382</v>
      </c>
      <c r="E65" s="266">
        <v>625</v>
      </c>
      <c r="F65" s="13">
        <f t="shared" si="9"/>
        <v>8</v>
      </c>
      <c r="G65" s="252">
        <f t="shared" si="10"/>
        <v>46081</v>
      </c>
      <c r="H65" s="82">
        <v>1344</v>
      </c>
      <c r="I65" s="253">
        <f t="shared" si="2"/>
        <v>2400</v>
      </c>
      <c r="J65" s="253">
        <f t="shared" si="11"/>
        <v>28800</v>
      </c>
      <c r="K65" s="509">
        <f t="shared" si="12"/>
        <v>0.78571428571428581</v>
      </c>
      <c r="L65" s="271"/>
      <c r="M65" s="83"/>
      <c r="N65" s="256"/>
      <c r="Q65" s="261"/>
      <c r="R65" s="12"/>
      <c r="U65" s="235"/>
      <c r="V65" s="258"/>
      <c r="W65" s="259"/>
    </row>
    <row r="66" spans="1:23" ht="13.9" x14ac:dyDescent="0.45">
      <c r="A66" s="294">
        <v>32</v>
      </c>
      <c r="B66" s="250">
        <f t="shared" si="8"/>
        <v>21</v>
      </c>
      <c r="C66" s="251">
        <v>1</v>
      </c>
      <c r="D66" s="268" t="s">
        <v>382</v>
      </c>
      <c r="E66" s="266">
        <v>625</v>
      </c>
      <c r="F66" s="13">
        <f t="shared" si="9"/>
        <v>8</v>
      </c>
      <c r="G66" s="252">
        <f t="shared" si="10"/>
        <v>46081</v>
      </c>
      <c r="H66" s="82">
        <v>1700</v>
      </c>
      <c r="I66" s="253">
        <f t="shared" si="2"/>
        <v>2400</v>
      </c>
      <c r="J66" s="253">
        <f t="shared" si="11"/>
        <v>28800</v>
      </c>
      <c r="K66" s="509">
        <f t="shared" si="12"/>
        <v>0.41176470588235303</v>
      </c>
      <c r="L66" s="271"/>
      <c r="M66" s="83"/>
      <c r="N66" s="256"/>
      <c r="Q66" s="261"/>
      <c r="R66" s="12"/>
      <c r="U66" s="235"/>
      <c r="V66" s="258"/>
      <c r="W66" s="259"/>
    </row>
    <row r="67" spans="1:23" ht="13.9" x14ac:dyDescent="0.45">
      <c r="A67" s="294">
        <v>33</v>
      </c>
      <c r="B67" s="250">
        <f t="shared" si="8"/>
        <v>22</v>
      </c>
      <c r="C67" s="251">
        <v>1</v>
      </c>
      <c r="D67" s="268" t="s">
        <v>382</v>
      </c>
      <c r="E67" s="266">
        <v>625</v>
      </c>
      <c r="F67" s="13">
        <f t="shared" si="9"/>
        <v>9</v>
      </c>
      <c r="G67" s="252">
        <f t="shared" si="10"/>
        <v>46112</v>
      </c>
      <c r="H67" s="82">
        <v>1412.25</v>
      </c>
      <c r="I67" s="253">
        <f t="shared" si="2"/>
        <v>2400</v>
      </c>
      <c r="J67" s="253">
        <f t="shared" si="11"/>
        <v>28800</v>
      </c>
      <c r="K67" s="509">
        <f t="shared" si="12"/>
        <v>0.69941582580987793</v>
      </c>
      <c r="L67" s="271"/>
      <c r="M67" s="83"/>
      <c r="N67" s="256"/>
      <c r="Q67" s="261"/>
      <c r="R67" s="12"/>
      <c r="U67" s="235"/>
      <c r="V67" s="258"/>
      <c r="W67" s="259"/>
    </row>
    <row r="68" spans="1:23" ht="13.9" x14ac:dyDescent="0.45">
      <c r="A68" s="294">
        <v>34</v>
      </c>
      <c r="B68" s="250">
        <f t="shared" si="8"/>
        <v>23</v>
      </c>
      <c r="C68" s="251">
        <v>1</v>
      </c>
      <c r="D68" s="268" t="s">
        <v>382</v>
      </c>
      <c r="E68" s="266">
        <v>625</v>
      </c>
      <c r="F68" s="13">
        <f t="shared" si="9"/>
        <v>9</v>
      </c>
      <c r="G68" s="252">
        <f t="shared" si="10"/>
        <v>46112</v>
      </c>
      <c r="H68" s="82">
        <v>1522.5</v>
      </c>
      <c r="I68" s="253">
        <f t="shared" si="2"/>
        <v>2400</v>
      </c>
      <c r="J68" s="253">
        <f t="shared" si="11"/>
        <v>28800</v>
      </c>
      <c r="K68" s="509">
        <f t="shared" si="12"/>
        <v>0.57635467980295574</v>
      </c>
      <c r="L68" s="271"/>
      <c r="M68" s="83"/>
      <c r="N68" s="256"/>
      <c r="Q68" s="261"/>
      <c r="R68" s="12"/>
      <c r="U68" s="235"/>
      <c r="V68" s="258"/>
      <c r="W68" s="259"/>
    </row>
    <row r="69" spans="1:23" ht="13.9" x14ac:dyDescent="0.45">
      <c r="A69" s="294">
        <v>35</v>
      </c>
      <c r="B69" s="250">
        <f t="shared" si="8"/>
        <v>24</v>
      </c>
      <c r="C69" s="251">
        <v>1</v>
      </c>
      <c r="D69" s="268" t="s">
        <v>382</v>
      </c>
      <c r="E69" s="266">
        <v>625</v>
      </c>
      <c r="F69" s="13">
        <f t="shared" si="9"/>
        <v>9</v>
      </c>
      <c r="G69" s="252">
        <f t="shared" si="10"/>
        <v>46112</v>
      </c>
      <c r="H69" s="82">
        <v>1627.5</v>
      </c>
      <c r="I69" s="253">
        <f t="shared" si="2"/>
        <v>2400</v>
      </c>
      <c r="J69" s="253">
        <f t="shared" si="11"/>
        <v>28800</v>
      </c>
      <c r="K69" s="509">
        <f t="shared" si="12"/>
        <v>0.47465437788018439</v>
      </c>
      <c r="L69" s="271"/>
      <c r="M69" s="83"/>
      <c r="N69" s="256"/>
      <c r="Q69" s="261"/>
      <c r="R69" s="12"/>
      <c r="U69" s="235"/>
      <c r="V69" s="258"/>
      <c r="W69" s="259"/>
    </row>
    <row r="70" spans="1:23" ht="13.9" x14ac:dyDescent="0.45">
      <c r="A70" s="294">
        <v>36</v>
      </c>
      <c r="B70" s="250">
        <f t="shared" si="8"/>
        <v>25</v>
      </c>
      <c r="C70" s="251">
        <v>1</v>
      </c>
      <c r="D70" s="268" t="s">
        <v>382</v>
      </c>
      <c r="E70" s="266">
        <v>625</v>
      </c>
      <c r="F70" s="13">
        <f t="shared" si="9"/>
        <v>10</v>
      </c>
      <c r="G70" s="252">
        <f t="shared" si="10"/>
        <v>46142</v>
      </c>
      <c r="H70" s="82">
        <v>1522.5</v>
      </c>
      <c r="I70" s="253">
        <f t="shared" si="2"/>
        <v>2400</v>
      </c>
      <c r="J70" s="253">
        <f t="shared" si="11"/>
        <v>28800</v>
      </c>
      <c r="K70" s="509">
        <f t="shared" si="12"/>
        <v>0.57635467980295574</v>
      </c>
      <c r="L70" s="271"/>
      <c r="M70" s="83"/>
      <c r="N70" s="256"/>
      <c r="Q70" s="261"/>
      <c r="R70" s="12"/>
      <c r="U70" s="235"/>
      <c r="V70" s="258"/>
      <c r="W70" s="259"/>
    </row>
    <row r="71" spans="1:23" ht="13.9" x14ac:dyDescent="0.45">
      <c r="A71" s="294">
        <v>37</v>
      </c>
      <c r="B71" s="250">
        <f t="shared" si="8"/>
        <v>26</v>
      </c>
      <c r="C71" s="251">
        <v>1</v>
      </c>
      <c r="D71" s="268" t="s">
        <v>382</v>
      </c>
      <c r="E71" s="266">
        <v>625</v>
      </c>
      <c r="F71" s="13">
        <f t="shared" si="9"/>
        <v>10</v>
      </c>
      <c r="G71" s="252">
        <f t="shared" si="10"/>
        <v>46142</v>
      </c>
      <c r="H71" s="82">
        <v>1444.72</v>
      </c>
      <c r="I71" s="253">
        <f t="shared" si="2"/>
        <v>2400</v>
      </c>
      <c r="J71" s="253">
        <f t="shared" si="11"/>
        <v>28800</v>
      </c>
      <c r="K71" s="509">
        <f t="shared" si="12"/>
        <v>0.66122155158092921</v>
      </c>
      <c r="L71" s="271"/>
      <c r="M71" s="83"/>
      <c r="N71" s="256"/>
      <c r="Q71" s="261"/>
      <c r="R71" s="12"/>
      <c r="U71" s="235"/>
      <c r="V71" s="258"/>
      <c r="W71" s="259"/>
    </row>
    <row r="72" spans="1:23" ht="13.9" x14ac:dyDescent="0.45">
      <c r="A72" s="294">
        <v>38</v>
      </c>
      <c r="B72" s="250">
        <f t="shared" si="8"/>
        <v>27</v>
      </c>
      <c r="C72" s="251">
        <v>1</v>
      </c>
      <c r="D72" s="268" t="s">
        <v>382</v>
      </c>
      <c r="E72" s="266">
        <v>625</v>
      </c>
      <c r="F72" s="13">
        <f t="shared" si="9"/>
        <v>10</v>
      </c>
      <c r="G72" s="252">
        <f t="shared" si="10"/>
        <v>46142</v>
      </c>
      <c r="H72" s="82">
        <v>1785</v>
      </c>
      <c r="I72" s="253">
        <f t="shared" si="2"/>
        <v>2400</v>
      </c>
      <c r="J72" s="253">
        <f t="shared" si="11"/>
        <v>28800</v>
      </c>
      <c r="K72" s="509">
        <f t="shared" si="12"/>
        <v>0.34453781512605053</v>
      </c>
      <c r="L72" s="271"/>
      <c r="M72" s="83"/>
      <c r="N72" s="256"/>
      <c r="Q72" s="261"/>
      <c r="R72" s="12"/>
      <c r="U72" s="235"/>
      <c r="V72" s="258"/>
      <c r="W72" s="259"/>
    </row>
    <row r="73" spans="1:23" ht="13.9" x14ac:dyDescent="0.45">
      <c r="A73" s="294">
        <v>39</v>
      </c>
      <c r="B73" s="250">
        <f t="shared" si="8"/>
        <v>28</v>
      </c>
      <c r="C73" s="251">
        <v>1</v>
      </c>
      <c r="D73" s="268" t="s">
        <v>382</v>
      </c>
      <c r="E73" s="266">
        <v>625</v>
      </c>
      <c r="F73" s="13">
        <f t="shared" si="9"/>
        <v>11</v>
      </c>
      <c r="G73" s="252">
        <f t="shared" si="10"/>
        <v>46173</v>
      </c>
      <c r="H73" s="82">
        <v>1451.66</v>
      </c>
      <c r="I73" s="253">
        <f t="shared" si="2"/>
        <v>2400</v>
      </c>
      <c r="J73" s="253">
        <f t="shared" si="11"/>
        <v>28800</v>
      </c>
      <c r="K73" s="509">
        <f t="shared" si="12"/>
        <v>0.65327969359216342</v>
      </c>
      <c r="L73" s="271"/>
      <c r="M73" s="83"/>
      <c r="N73" s="256"/>
      <c r="Q73" s="261"/>
      <c r="R73" s="12"/>
      <c r="U73" s="235"/>
      <c r="V73" s="258"/>
      <c r="W73" s="259"/>
    </row>
    <row r="74" spans="1:23" ht="13.9" x14ac:dyDescent="0.45">
      <c r="A74" s="294">
        <v>40</v>
      </c>
      <c r="B74" s="250">
        <f t="shared" si="8"/>
        <v>29</v>
      </c>
      <c r="C74" s="251">
        <v>1</v>
      </c>
      <c r="D74" s="268" t="s">
        <v>382</v>
      </c>
      <c r="E74" s="266">
        <v>625</v>
      </c>
      <c r="F74" s="13">
        <f t="shared" si="9"/>
        <v>11</v>
      </c>
      <c r="G74" s="252">
        <f t="shared" si="10"/>
        <v>46173</v>
      </c>
      <c r="H74" s="82">
        <v>1548.75</v>
      </c>
      <c r="I74" s="253">
        <f t="shared" si="2"/>
        <v>2400</v>
      </c>
      <c r="J74" s="253">
        <f t="shared" si="11"/>
        <v>28800</v>
      </c>
      <c r="K74" s="509">
        <f t="shared" si="12"/>
        <v>0.54963680387409197</v>
      </c>
      <c r="L74" s="271"/>
      <c r="M74" s="83"/>
      <c r="N74" s="256"/>
      <c r="Q74" s="261"/>
      <c r="R74" s="12"/>
      <c r="U74" s="235"/>
      <c r="V74" s="258"/>
      <c r="W74" s="259"/>
    </row>
    <row r="75" spans="1:23" ht="13.9" x14ac:dyDescent="0.45">
      <c r="A75" s="294">
        <v>41</v>
      </c>
      <c r="B75" s="250">
        <f t="shared" si="8"/>
        <v>30</v>
      </c>
      <c r="C75" s="251">
        <v>1</v>
      </c>
      <c r="D75" s="268" t="s">
        <v>382</v>
      </c>
      <c r="E75" s="266">
        <v>625</v>
      </c>
      <c r="F75" s="13">
        <f t="shared" si="9"/>
        <v>11</v>
      </c>
      <c r="G75" s="252">
        <f t="shared" si="10"/>
        <v>46173</v>
      </c>
      <c r="H75" s="82">
        <v>1443.75</v>
      </c>
      <c r="I75" s="253">
        <f t="shared" si="2"/>
        <v>2400</v>
      </c>
      <c r="J75" s="253">
        <f t="shared" si="11"/>
        <v>28800</v>
      </c>
      <c r="K75" s="509">
        <f t="shared" si="12"/>
        <v>0.66233766233766245</v>
      </c>
      <c r="L75" s="271"/>
      <c r="M75" s="83"/>
      <c r="N75" s="256"/>
      <c r="Q75" s="261"/>
      <c r="R75" s="12"/>
      <c r="U75" s="235"/>
      <c r="V75" s="258"/>
      <c r="W75" s="259"/>
    </row>
    <row r="76" spans="1:23" ht="13.9" x14ac:dyDescent="0.45">
      <c r="A76" s="294">
        <v>42</v>
      </c>
      <c r="B76" s="250">
        <f t="shared" si="8"/>
        <v>31</v>
      </c>
      <c r="C76" s="251">
        <v>1</v>
      </c>
      <c r="D76" s="268" t="s">
        <v>382</v>
      </c>
      <c r="E76" s="266">
        <v>625</v>
      </c>
      <c r="F76" s="13">
        <f t="shared" si="9"/>
        <v>12</v>
      </c>
      <c r="G76" s="252">
        <f t="shared" si="10"/>
        <v>46203</v>
      </c>
      <c r="H76" s="82">
        <v>1391.25</v>
      </c>
      <c r="I76" s="253">
        <f t="shared" si="2"/>
        <v>2400</v>
      </c>
      <c r="J76" s="253">
        <f t="shared" si="11"/>
        <v>28800</v>
      </c>
      <c r="K76" s="509">
        <f t="shared" si="12"/>
        <v>0.72506738544474403</v>
      </c>
      <c r="L76" s="271"/>
      <c r="M76" s="83"/>
      <c r="N76" s="256"/>
      <c r="Q76" s="261"/>
      <c r="R76" s="12"/>
      <c r="U76" s="235"/>
      <c r="V76" s="258"/>
      <c r="W76" s="259"/>
    </row>
    <row r="77" spans="1:23" ht="13.9" x14ac:dyDescent="0.45">
      <c r="A77" s="294">
        <v>43</v>
      </c>
      <c r="B77" s="250">
        <f t="shared" si="8"/>
        <v>32</v>
      </c>
      <c r="C77" s="251">
        <v>1</v>
      </c>
      <c r="D77" s="268" t="s">
        <v>382</v>
      </c>
      <c r="E77" s="266">
        <v>625</v>
      </c>
      <c r="F77" s="13">
        <f t="shared" si="9"/>
        <v>12</v>
      </c>
      <c r="G77" s="252">
        <f t="shared" si="10"/>
        <v>46203</v>
      </c>
      <c r="H77" s="82">
        <v>1219</v>
      </c>
      <c r="I77" s="253">
        <f t="shared" si="2"/>
        <v>2400</v>
      </c>
      <c r="J77" s="253">
        <f t="shared" si="11"/>
        <v>28800</v>
      </c>
      <c r="K77" s="509">
        <f t="shared" si="12"/>
        <v>0.96882690730106646</v>
      </c>
      <c r="L77" s="271"/>
      <c r="M77" s="83"/>
      <c r="N77" s="256"/>
      <c r="Q77" s="261"/>
      <c r="R77" s="12"/>
      <c r="U77" s="235"/>
      <c r="V77" s="258"/>
      <c r="W77" s="259"/>
    </row>
    <row r="78" spans="1:23" ht="13.9" x14ac:dyDescent="0.45">
      <c r="A78" s="294">
        <v>44</v>
      </c>
      <c r="B78" s="250">
        <f t="shared" si="8"/>
        <v>33</v>
      </c>
      <c r="C78" s="251">
        <v>1</v>
      </c>
      <c r="D78" s="268" t="s">
        <v>382</v>
      </c>
      <c r="E78" s="266">
        <v>625</v>
      </c>
      <c r="F78" s="13">
        <f t="shared" si="9"/>
        <v>12</v>
      </c>
      <c r="G78" s="252">
        <f t="shared" si="10"/>
        <v>46203</v>
      </c>
      <c r="H78" s="82">
        <v>1600</v>
      </c>
      <c r="I78" s="253">
        <f t="shared" ref="I78:I102" si="13">+IFERROR(IF(OR(C78=1,C78=2),INDEX($N$46:$N$51,MATCH(D78,$L$46:$L$51,0)),H78),H78)</f>
        <v>2400</v>
      </c>
      <c r="J78" s="253">
        <f t="shared" si="11"/>
        <v>28800</v>
      </c>
      <c r="K78" s="509">
        <f t="shared" si="12"/>
        <v>0.5</v>
      </c>
      <c r="L78" s="271"/>
      <c r="M78" s="83"/>
      <c r="N78" s="256"/>
      <c r="Q78" s="261"/>
      <c r="R78" s="12"/>
      <c r="U78" s="235"/>
      <c r="V78" s="258"/>
      <c r="W78" s="259"/>
    </row>
    <row r="79" spans="1:23" ht="13.9" x14ac:dyDescent="0.45">
      <c r="A79" s="294">
        <v>45</v>
      </c>
      <c r="B79" s="250">
        <f t="shared" si="8"/>
        <v>34</v>
      </c>
      <c r="C79" s="251">
        <v>1</v>
      </c>
      <c r="D79" s="268" t="s">
        <v>382</v>
      </c>
      <c r="E79" s="266">
        <v>625</v>
      </c>
      <c r="F79" s="13">
        <f t="shared" si="9"/>
        <v>13</v>
      </c>
      <c r="G79" s="252">
        <f t="shared" si="10"/>
        <v>46234</v>
      </c>
      <c r="H79" s="82">
        <v>1344.1</v>
      </c>
      <c r="I79" s="253">
        <f t="shared" si="13"/>
        <v>2400</v>
      </c>
      <c r="J79" s="253">
        <f t="shared" si="11"/>
        <v>28800</v>
      </c>
      <c r="K79" s="509">
        <f t="shared" si="12"/>
        <v>0.78558142995312852</v>
      </c>
      <c r="L79" s="271"/>
      <c r="M79" s="83"/>
      <c r="N79" s="256"/>
      <c r="Q79" s="261"/>
      <c r="R79" s="12"/>
      <c r="U79" s="235"/>
      <c r="V79" s="258"/>
      <c r="W79" s="259"/>
    </row>
    <row r="80" spans="1:23" ht="13.9" x14ac:dyDescent="0.45">
      <c r="A80" s="294">
        <v>46</v>
      </c>
      <c r="B80" s="250">
        <f t="shared" si="8"/>
        <v>35</v>
      </c>
      <c r="C80" s="251">
        <v>1</v>
      </c>
      <c r="D80" s="268" t="s">
        <v>382</v>
      </c>
      <c r="E80" s="266">
        <v>625</v>
      </c>
      <c r="F80" s="13">
        <f t="shared" si="9"/>
        <v>13</v>
      </c>
      <c r="G80" s="252">
        <f t="shared" si="10"/>
        <v>46234</v>
      </c>
      <c r="H80" s="82">
        <v>1800</v>
      </c>
      <c r="I80" s="253">
        <f t="shared" si="13"/>
        <v>2400</v>
      </c>
      <c r="J80" s="253">
        <f t="shared" si="11"/>
        <v>28800</v>
      </c>
      <c r="K80" s="509">
        <f t="shared" si="12"/>
        <v>0.33333333333333326</v>
      </c>
      <c r="L80" s="271"/>
      <c r="M80" s="83"/>
      <c r="N80" s="256"/>
      <c r="Q80" s="261"/>
      <c r="R80" s="12"/>
      <c r="U80" s="235"/>
      <c r="V80" s="258"/>
      <c r="W80" s="259"/>
    </row>
    <row r="81" spans="1:23" ht="13.9" x14ac:dyDescent="0.45">
      <c r="A81" s="294">
        <v>47</v>
      </c>
      <c r="B81" s="250">
        <f t="shared" si="8"/>
        <v>36</v>
      </c>
      <c r="C81" s="251">
        <v>1</v>
      </c>
      <c r="D81" s="268" t="s">
        <v>382</v>
      </c>
      <c r="E81" s="266">
        <v>625</v>
      </c>
      <c r="F81" s="13">
        <f t="shared" ref="F81:F112" si="14">+F78+1</f>
        <v>13</v>
      </c>
      <c r="G81" s="252">
        <f t="shared" si="10"/>
        <v>46234</v>
      </c>
      <c r="H81" s="82">
        <v>1417.5</v>
      </c>
      <c r="I81" s="253">
        <f t="shared" si="13"/>
        <v>2400</v>
      </c>
      <c r="J81" s="253">
        <f t="shared" si="11"/>
        <v>28800</v>
      </c>
      <c r="K81" s="509">
        <f t="shared" si="12"/>
        <v>0.69312169312169303</v>
      </c>
      <c r="L81" s="271"/>
      <c r="M81" s="83"/>
      <c r="N81" s="256"/>
      <c r="Q81" s="261"/>
      <c r="R81" s="12"/>
      <c r="U81" s="235"/>
      <c r="V81" s="258"/>
      <c r="W81" s="259"/>
    </row>
    <row r="82" spans="1:23" ht="13.9" x14ac:dyDescent="0.45">
      <c r="A82" s="294">
        <v>48</v>
      </c>
      <c r="B82" s="250">
        <f t="shared" si="8"/>
        <v>37</v>
      </c>
      <c r="C82" s="251">
        <v>1</v>
      </c>
      <c r="D82" s="268" t="s">
        <v>382</v>
      </c>
      <c r="E82" s="266">
        <v>625</v>
      </c>
      <c r="F82" s="13">
        <f t="shared" si="14"/>
        <v>14</v>
      </c>
      <c r="G82" s="252">
        <f t="shared" si="10"/>
        <v>46265</v>
      </c>
      <c r="H82" s="82">
        <v>1601.25</v>
      </c>
      <c r="I82" s="253">
        <f t="shared" si="13"/>
        <v>2400</v>
      </c>
      <c r="J82" s="253">
        <f t="shared" si="11"/>
        <v>28800</v>
      </c>
      <c r="K82" s="509">
        <f t="shared" si="12"/>
        <v>0.49882903981264648</v>
      </c>
      <c r="L82" s="271"/>
      <c r="M82" s="83"/>
      <c r="N82" s="256"/>
      <c r="Q82" s="261"/>
      <c r="R82" s="12"/>
      <c r="U82" s="235"/>
      <c r="V82" s="258"/>
      <c r="W82" s="259"/>
    </row>
    <row r="83" spans="1:23" ht="13.9" x14ac:dyDescent="0.45">
      <c r="A83" s="294">
        <v>49</v>
      </c>
      <c r="B83" s="250">
        <f t="shared" si="8"/>
        <v>38</v>
      </c>
      <c r="C83" s="251">
        <v>1</v>
      </c>
      <c r="D83" s="268" t="s">
        <v>382</v>
      </c>
      <c r="E83" s="266">
        <v>625</v>
      </c>
      <c r="F83" s="13">
        <f t="shared" si="14"/>
        <v>14</v>
      </c>
      <c r="G83" s="252">
        <f t="shared" si="10"/>
        <v>46265</v>
      </c>
      <c r="H83" s="82">
        <v>1700</v>
      </c>
      <c r="I83" s="253">
        <f t="shared" si="13"/>
        <v>2400</v>
      </c>
      <c r="J83" s="253">
        <f t="shared" si="11"/>
        <v>28800</v>
      </c>
      <c r="K83" s="509">
        <f t="shared" si="12"/>
        <v>0.41176470588235303</v>
      </c>
      <c r="L83" s="271"/>
      <c r="M83" s="83"/>
      <c r="N83" s="256"/>
      <c r="Q83" s="261"/>
      <c r="R83" s="12"/>
      <c r="U83" s="235"/>
      <c r="V83" s="258"/>
      <c r="W83" s="259"/>
    </row>
    <row r="84" spans="1:23" ht="13.9" x14ac:dyDescent="0.45">
      <c r="A84" s="294" t="s">
        <v>449</v>
      </c>
      <c r="B84" s="250">
        <f t="shared" si="8"/>
        <v>39</v>
      </c>
      <c r="C84" s="251">
        <v>1</v>
      </c>
      <c r="D84" s="268" t="s">
        <v>384</v>
      </c>
      <c r="E84" s="266">
        <v>825</v>
      </c>
      <c r="F84" s="13">
        <f t="shared" si="14"/>
        <v>14</v>
      </c>
      <c r="G84" s="252">
        <f t="shared" si="10"/>
        <v>46265</v>
      </c>
      <c r="H84" s="82">
        <v>1391.25</v>
      </c>
      <c r="I84" s="253">
        <f t="shared" si="13"/>
        <v>2800</v>
      </c>
      <c r="J84" s="253">
        <f t="shared" si="11"/>
        <v>33600</v>
      </c>
      <c r="K84" s="509">
        <f t="shared" si="12"/>
        <v>1.0125786163522013</v>
      </c>
      <c r="L84" s="271"/>
      <c r="M84" s="83"/>
      <c r="N84" s="256"/>
      <c r="Q84" s="261"/>
      <c r="R84" s="12"/>
      <c r="U84" s="235"/>
      <c r="V84" s="258"/>
      <c r="W84" s="259"/>
    </row>
    <row r="85" spans="1:23" ht="13.9" x14ac:dyDescent="0.45">
      <c r="A85" s="294">
        <v>1</v>
      </c>
      <c r="B85" s="250">
        <f t="shared" si="8"/>
        <v>40</v>
      </c>
      <c r="C85" s="251">
        <v>1</v>
      </c>
      <c r="D85" s="268" t="s">
        <v>384</v>
      </c>
      <c r="E85" s="266">
        <v>825</v>
      </c>
      <c r="F85" s="13">
        <f t="shared" si="14"/>
        <v>15</v>
      </c>
      <c r="G85" s="252">
        <f t="shared" si="10"/>
        <v>46295</v>
      </c>
      <c r="H85" s="82">
        <v>2500</v>
      </c>
      <c r="I85" s="253">
        <f t="shared" si="13"/>
        <v>2800</v>
      </c>
      <c r="J85" s="253">
        <f t="shared" si="11"/>
        <v>33600</v>
      </c>
      <c r="K85" s="509">
        <f t="shared" si="12"/>
        <v>0.12000000000000011</v>
      </c>
      <c r="L85" s="271"/>
      <c r="M85" s="83"/>
      <c r="N85" s="256"/>
      <c r="Q85" s="261"/>
      <c r="R85" s="12"/>
      <c r="U85" s="235"/>
      <c r="V85" s="258"/>
      <c r="W85" s="259"/>
    </row>
    <row r="86" spans="1:23" ht="13.9" x14ac:dyDescent="0.45">
      <c r="A86" s="294">
        <v>2</v>
      </c>
      <c r="B86" s="250">
        <f t="shared" si="8"/>
        <v>41</v>
      </c>
      <c r="C86" s="251">
        <v>1</v>
      </c>
      <c r="D86" s="268" t="s">
        <v>384</v>
      </c>
      <c r="E86" s="266">
        <v>825</v>
      </c>
      <c r="F86" s="13">
        <f t="shared" si="14"/>
        <v>15</v>
      </c>
      <c r="G86" s="252">
        <f t="shared" ref="G86:G101" si="15">+EOMONTH($F$2,F86)</f>
        <v>46295</v>
      </c>
      <c r="H86" s="82">
        <v>2194.5</v>
      </c>
      <c r="I86" s="253">
        <f t="shared" si="13"/>
        <v>2800</v>
      </c>
      <c r="J86" s="253">
        <f t="shared" ref="J86:J101" si="16">+I86*12</f>
        <v>33600</v>
      </c>
      <c r="K86" s="509">
        <f t="shared" ref="K86:K101" si="17">+I86/H86-1</f>
        <v>0.27591706539074967</v>
      </c>
      <c r="L86" s="271"/>
      <c r="M86" s="83"/>
      <c r="N86" s="256"/>
      <c r="Q86" s="261"/>
      <c r="R86" s="12"/>
      <c r="U86" s="235"/>
      <c r="V86" s="258"/>
      <c r="W86" s="259"/>
    </row>
    <row r="87" spans="1:23" ht="13.9" x14ac:dyDescent="0.45">
      <c r="A87" s="294">
        <v>3</v>
      </c>
      <c r="B87" s="250">
        <f t="shared" si="8"/>
        <v>42</v>
      </c>
      <c r="C87" s="251">
        <v>1</v>
      </c>
      <c r="D87" s="268" t="s">
        <v>382</v>
      </c>
      <c r="E87" s="266">
        <v>625</v>
      </c>
      <c r="F87" s="13">
        <f t="shared" si="14"/>
        <v>15</v>
      </c>
      <c r="G87" s="252">
        <f t="shared" si="15"/>
        <v>46295</v>
      </c>
      <c r="H87" s="82">
        <v>1724.25</v>
      </c>
      <c r="I87" s="253">
        <f t="shared" si="13"/>
        <v>2400</v>
      </c>
      <c r="J87" s="253">
        <f t="shared" si="16"/>
        <v>28800</v>
      </c>
      <c r="K87" s="509">
        <f t="shared" si="17"/>
        <v>0.39190952588081784</v>
      </c>
      <c r="L87" s="271"/>
      <c r="M87" s="83"/>
      <c r="N87" s="256"/>
      <c r="Q87" s="261"/>
      <c r="R87" s="12"/>
      <c r="U87" s="235"/>
      <c r="V87" s="258"/>
      <c r="W87" s="259"/>
    </row>
    <row r="88" spans="1:23" ht="13.9" x14ac:dyDescent="0.45">
      <c r="A88" s="294">
        <v>4</v>
      </c>
      <c r="B88" s="250">
        <f t="shared" si="8"/>
        <v>43</v>
      </c>
      <c r="C88" s="251">
        <v>1</v>
      </c>
      <c r="D88" s="268" t="s">
        <v>382</v>
      </c>
      <c r="E88" s="266">
        <v>625</v>
      </c>
      <c r="F88" s="13">
        <f t="shared" si="14"/>
        <v>16</v>
      </c>
      <c r="G88" s="252">
        <f t="shared" si="15"/>
        <v>46326</v>
      </c>
      <c r="H88" s="82">
        <v>1755.6</v>
      </c>
      <c r="I88" s="253">
        <f t="shared" si="13"/>
        <v>2400</v>
      </c>
      <c r="J88" s="253">
        <f t="shared" si="16"/>
        <v>28800</v>
      </c>
      <c r="K88" s="509">
        <f t="shared" si="17"/>
        <v>0.36705399863294597</v>
      </c>
      <c r="L88" s="271"/>
      <c r="M88" s="83"/>
      <c r="N88" s="256"/>
      <c r="Q88" s="261"/>
      <c r="R88" s="12"/>
      <c r="U88" s="235"/>
      <c r="V88" s="258"/>
      <c r="W88" s="259"/>
    </row>
    <row r="89" spans="1:23" ht="13.9" x14ac:dyDescent="0.45">
      <c r="A89" s="294">
        <v>5</v>
      </c>
      <c r="B89" s="250">
        <f t="shared" si="8"/>
        <v>44</v>
      </c>
      <c r="C89" s="251">
        <v>1</v>
      </c>
      <c r="D89" s="268" t="s">
        <v>382</v>
      </c>
      <c r="E89" s="266">
        <v>625</v>
      </c>
      <c r="F89" s="13">
        <f t="shared" si="14"/>
        <v>16</v>
      </c>
      <c r="G89" s="252">
        <f t="shared" si="15"/>
        <v>46326</v>
      </c>
      <c r="H89" s="82">
        <v>1417.5</v>
      </c>
      <c r="I89" s="253">
        <f t="shared" si="13"/>
        <v>2400</v>
      </c>
      <c r="J89" s="253">
        <f t="shared" si="16"/>
        <v>28800</v>
      </c>
      <c r="K89" s="509">
        <f t="shared" si="17"/>
        <v>0.69312169312169303</v>
      </c>
      <c r="L89" s="271"/>
      <c r="M89" s="83"/>
      <c r="N89" s="256"/>
      <c r="Q89" s="261"/>
      <c r="R89" s="12"/>
      <c r="U89" s="235"/>
      <c r="V89" s="258"/>
      <c r="W89" s="259"/>
    </row>
    <row r="90" spans="1:23" ht="13.9" x14ac:dyDescent="0.45">
      <c r="A90" s="294">
        <v>6</v>
      </c>
      <c r="B90" s="250">
        <f t="shared" si="8"/>
        <v>45</v>
      </c>
      <c r="C90" s="251">
        <v>1</v>
      </c>
      <c r="D90" s="268" t="s">
        <v>382</v>
      </c>
      <c r="E90" s="266">
        <v>625</v>
      </c>
      <c r="F90" s="13">
        <f t="shared" si="14"/>
        <v>16</v>
      </c>
      <c r="G90" s="252">
        <f t="shared" si="15"/>
        <v>46326</v>
      </c>
      <c r="H90" s="82">
        <v>1601.25</v>
      </c>
      <c r="I90" s="253">
        <f t="shared" si="13"/>
        <v>2400</v>
      </c>
      <c r="J90" s="253">
        <f t="shared" si="16"/>
        <v>28800</v>
      </c>
      <c r="K90" s="509">
        <f t="shared" si="17"/>
        <v>0.49882903981264648</v>
      </c>
      <c r="L90" s="271"/>
      <c r="M90" s="83"/>
      <c r="N90" s="256"/>
      <c r="Q90" s="261"/>
      <c r="R90" s="12"/>
      <c r="U90" s="235"/>
      <c r="V90" s="258"/>
      <c r="W90" s="259"/>
    </row>
    <row r="91" spans="1:23" ht="13.9" x14ac:dyDescent="0.45">
      <c r="A91" s="294">
        <v>7</v>
      </c>
      <c r="B91" s="250">
        <f t="shared" si="8"/>
        <v>46</v>
      </c>
      <c r="C91" s="251">
        <v>1</v>
      </c>
      <c r="D91" s="268" t="s">
        <v>382</v>
      </c>
      <c r="E91" s="266">
        <v>625</v>
      </c>
      <c r="F91" s="13">
        <f t="shared" si="14"/>
        <v>17</v>
      </c>
      <c r="G91" s="252">
        <f t="shared" si="15"/>
        <v>46356</v>
      </c>
      <c r="H91" s="82">
        <v>1732.5</v>
      </c>
      <c r="I91" s="253">
        <f t="shared" si="13"/>
        <v>2400</v>
      </c>
      <c r="J91" s="253">
        <f t="shared" si="16"/>
        <v>28800</v>
      </c>
      <c r="K91" s="509">
        <f t="shared" si="17"/>
        <v>0.38528138528138522</v>
      </c>
      <c r="L91" s="271"/>
      <c r="M91" s="83"/>
      <c r="N91" s="256"/>
      <c r="Q91" s="261"/>
      <c r="R91" s="12"/>
      <c r="U91" s="235"/>
      <c r="V91" s="258"/>
      <c r="W91" s="259"/>
    </row>
    <row r="92" spans="1:23" ht="13.9" x14ac:dyDescent="0.45">
      <c r="A92" s="294">
        <v>8</v>
      </c>
      <c r="B92" s="250">
        <f t="shared" si="8"/>
        <v>47</v>
      </c>
      <c r="C92" s="251">
        <v>1</v>
      </c>
      <c r="D92" s="268" t="s">
        <v>382</v>
      </c>
      <c r="E92" s="266">
        <v>625</v>
      </c>
      <c r="F92" s="13">
        <f t="shared" si="14"/>
        <v>17</v>
      </c>
      <c r="G92" s="252">
        <f t="shared" si="15"/>
        <v>46356</v>
      </c>
      <c r="H92" s="82">
        <v>1443.75</v>
      </c>
      <c r="I92" s="253">
        <f t="shared" si="13"/>
        <v>2400</v>
      </c>
      <c r="J92" s="253">
        <f t="shared" si="16"/>
        <v>28800</v>
      </c>
      <c r="K92" s="509">
        <f t="shared" si="17"/>
        <v>0.66233766233766245</v>
      </c>
      <c r="L92" s="271"/>
      <c r="M92" s="83"/>
      <c r="N92" s="256"/>
      <c r="Q92" s="261"/>
      <c r="R92" s="12"/>
      <c r="U92" s="235"/>
      <c r="V92" s="258"/>
      <c r="W92" s="259"/>
    </row>
    <row r="93" spans="1:23" ht="13.9" x14ac:dyDescent="0.45">
      <c r="A93" s="294">
        <v>20</v>
      </c>
      <c r="B93" s="250">
        <f t="shared" si="8"/>
        <v>48</v>
      </c>
      <c r="C93" s="251">
        <v>1</v>
      </c>
      <c r="D93" s="268" t="s">
        <v>382</v>
      </c>
      <c r="E93" s="266">
        <v>625</v>
      </c>
      <c r="F93" s="13">
        <f t="shared" si="14"/>
        <v>17</v>
      </c>
      <c r="G93" s="252">
        <f t="shared" si="15"/>
        <v>46356</v>
      </c>
      <c r="H93" s="82">
        <v>1417.5</v>
      </c>
      <c r="I93" s="253">
        <f t="shared" si="13"/>
        <v>2400</v>
      </c>
      <c r="J93" s="253">
        <f t="shared" si="16"/>
        <v>28800</v>
      </c>
      <c r="K93" s="509">
        <f t="shared" si="17"/>
        <v>0.69312169312169303</v>
      </c>
      <c r="L93" s="271"/>
      <c r="M93" s="83"/>
      <c r="N93" s="256"/>
      <c r="Q93" s="261"/>
      <c r="R93" s="12"/>
      <c r="U93" s="235"/>
      <c r="V93" s="258"/>
      <c r="W93" s="259"/>
    </row>
    <row r="94" spans="1:23" ht="13.9" x14ac:dyDescent="0.45">
      <c r="A94" s="294">
        <v>21</v>
      </c>
      <c r="B94" s="250">
        <f t="shared" si="8"/>
        <v>49</v>
      </c>
      <c r="C94" s="251">
        <v>1</v>
      </c>
      <c r="D94" s="268" t="s">
        <v>382</v>
      </c>
      <c r="E94" s="266">
        <v>625</v>
      </c>
      <c r="F94" s="13">
        <f t="shared" si="14"/>
        <v>18</v>
      </c>
      <c r="G94" s="252">
        <f t="shared" si="15"/>
        <v>46387</v>
      </c>
      <c r="H94" s="82">
        <v>1700</v>
      </c>
      <c r="I94" s="253">
        <f t="shared" si="13"/>
        <v>2400</v>
      </c>
      <c r="J94" s="253">
        <f t="shared" si="16"/>
        <v>28800</v>
      </c>
      <c r="K94" s="509">
        <f t="shared" si="17"/>
        <v>0.41176470588235303</v>
      </c>
      <c r="L94" s="271"/>
      <c r="M94" s="83"/>
      <c r="N94" s="256"/>
      <c r="Q94" s="261"/>
      <c r="R94" s="12"/>
      <c r="U94" s="235"/>
      <c r="V94" s="258"/>
      <c r="W94" s="259"/>
    </row>
    <row r="95" spans="1:23" ht="13.9" x14ac:dyDescent="0.45">
      <c r="A95" s="294">
        <v>22</v>
      </c>
      <c r="B95" s="250">
        <f t="shared" si="8"/>
        <v>50</v>
      </c>
      <c r="C95" s="251">
        <v>1</v>
      </c>
      <c r="D95" s="268" t="s">
        <v>382</v>
      </c>
      <c r="E95" s="266">
        <v>625</v>
      </c>
      <c r="F95" s="13">
        <f t="shared" si="14"/>
        <v>18</v>
      </c>
      <c r="G95" s="252">
        <f t="shared" si="15"/>
        <v>46387</v>
      </c>
      <c r="H95" s="82">
        <v>1819.13</v>
      </c>
      <c r="I95" s="253">
        <f t="shared" si="13"/>
        <v>2400</v>
      </c>
      <c r="J95" s="253">
        <f t="shared" si="16"/>
        <v>28800</v>
      </c>
      <c r="K95" s="509">
        <f t="shared" si="17"/>
        <v>0.31931197880305406</v>
      </c>
      <c r="L95" s="271"/>
      <c r="M95" s="83"/>
      <c r="N95" s="256"/>
      <c r="Q95" s="261"/>
      <c r="R95" s="12"/>
      <c r="U95" s="235"/>
      <c r="V95" s="258"/>
      <c r="W95" s="259"/>
    </row>
    <row r="96" spans="1:23" ht="13.9" x14ac:dyDescent="0.45">
      <c r="A96" s="294">
        <v>23</v>
      </c>
      <c r="B96" s="250">
        <f t="shared" si="8"/>
        <v>51</v>
      </c>
      <c r="C96" s="251">
        <v>1</v>
      </c>
      <c r="D96" s="268" t="s">
        <v>382</v>
      </c>
      <c r="E96" s="266">
        <v>625</v>
      </c>
      <c r="F96" s="13">
        <f t="shared" si="14"/>
        <v>18</v>
      </c>
      <c r="G96" s="252">
        <f t="shared" si="15"/>
        <v>46387</v>
      </c>
      <c r="H96" s="82">
        <v>1481.9</v>
      </c>
      <c r="I96" s="253">
        <f t="shared" si="13"/>
        <v>2400</v>
      </c>
      <c r="J96" s="253">
        <f t="shared" si="16"/>
        <v>28800</v>
      </c>
      <c r="K96" s="509">
        <f t="shared" si="17"/>
        <v>0.61954247924961181</v>
      </c>
      <c r="L96" s="271"/>
      <c r="M96" s="83"/>
      <c r="N96" s="256"/>
      <c r="Q96" s="261"/>
      <c r="R96" s="12"/>
      <c r="U96" s="235"/>
      <c r="V96" s="258"/>
      <c r="W96" s="259"/>
    </row>
    <row r="97" spans="1:23" ht="13.9" x14ac:dyDescent="0.45">
      <c r="A97" s="294">
        <v>24</v>
      </c>
      <c r="B97" s="250">
        <f t="shared" si="8"/>
        <v>52</v>
      </c>
      <c r="C97" s="251">
        <v>1</v>
      </c>
      <c r="D97" s="268" t="s">
        <v>382</v>
      </c>
      <c r="E97" s="266">
        <v>625</v>
      </c>
      <c r="F97" s="13">
        <f t="shared" si="14"/>
        <v>19</v>
      </c>
      <c r="G97" s="252">
        <f t="shared" si="15"/>
        <v>46418</v>
      </c>
      <c r="H97" s="82">
        <v>1680</v>
      </c>
      <c r="I97" s="253">
        <f t="shared" si="13"/>
        <v>2400</v>
      </c>
      <c r="J97" s="253">
        <f t="shared" si="16"/>
        <v>28800</v>
      </c>
      <c r="K97" s="509">
        <f t="shared" si="17"/>
        <v>0.4285714285714286</v>
      </c>
      <c r="L97" s="271"/>
      <c r="M97" s="83"/>
      <c r="N97" s="256"/>
      <c r="Q97" s="261"/>
      <c r="R97" s="12"/>
      <c r="U97" s="235"/>
      <c r="V97" s="258"/>
      <c r="W97" s="259"/>
    </row>
    <row r="98" spans="1:23" ht="13.9" x14ac:dyDescent="0.45">
      <c r="A98" s="294">
        <v>25</v>
      </c>
      <c r="B98" s="250">
        <f t="shared" si="8"/>
        <v>53</v>
      </c>
      <c r="C98" s="251">
        <v>1</v>
      </c>
      <c r="D98" s="268" t="s">
        <v>382</v>
      </c>
      <c r="E98" s="266">
        <v>625</v>
      </c>
      <c r="F98" s="13">
        <f t="shared" si="14"/>
        <v>19</v>
      </c>
      <c r="G98" s="252">
        <f t="shared" si="15"/>
        <v>46418</v>
      </c>
      <c r="H98" s="82">
        <v>1439.57</v>
      </c>
      <c r="I98" s="253">
        <f t="shared" si="13"/>
        <v>2400</v>
      </c>
      <c r="J98" s="253">
        <f t="shared" si="16"/>
        <v>28800</v>
      </c>
      <c r="K98" s="509">
        <f t="shared" si="17"/>
        <v>0.6671645005105693</v>
      </c>
      <c r="L98" s="271"/>
      <c r="M98" s="83"/>
      <c r="N98" s="256"/>
      <c r="Q98" s="261"/>
      <c r="R98" s="12"/>
      <c r="U98" s="235"/>
      <c r="V98" s="258"/>
      <c r="W98" s="259"/>
    </row>
    <row r="99" spans="1:23" ht="13.9" x14ac:dyDescent="0.45">
      <c r="A99" s="294">
        <v>26</v>
      </c>
      <c r="B99" s="250">
        <f t="shared" si="8"/>
        <v>54</v>
      </c>
      <c r="C99" s="251">
        <v>1</v>
      </c>
      <c r="D99" s="268" t="s">
        <v>382</v>
      </c>
      <c r="E99" s="266">
        <v>625</v>
      </c>
      <c r="F99" s="13">
        <f t="shared" si="14"/>
        <v>19</v>
      </c>
      <c r="G99" s="252">
        <f t="shared" si="15"/>
        <v>46418</v>
      </c>
      <c r="H99" s="82">
        <v>1417.5</v>
      </c>
      <c r="I99" s="253">
        <f t="shared" si="13"/>
        <v>2400</v>
      </c>
      <c r="J99" s="253">
        <f t="shared" si="16"/>
        <v>28800</v>
      </c>
      <c r="K99" s="509">
        <f t="shared" si="17"/>
        <v>0.69312169312169303</v>
      </c>
      <c r="L99" s="271"/>
      <c r="M99" s="83"/>
      <c r="N99" s="256"/>
      <c r="Q99" s="261"/>
      <c r="R99" s="12"/>
      <c r="U99" s="235"/>
      <c r="V99" s="258"/>
      <c r="W99" s="259"/>
    </row>
    <row r="100" spans="1:23" ht="13.9" x14ac:dyDescent="0.45">
      <c r="A100" s="294">
        <v>27</v>
      </c>
      <c r="B100" s="250">
        <f t="shared" si="8"/>
        <v>55</v>
      </c>
      <c r="C100" s="251">
        <v>1</v>
      </c>
      <c r="D100" s="268" t="s">
        <v>382</v>
      </c>
      <c r="E100" s="266">
        <v>625</v>
      </c>
      <c r="F100" s="13">
        <f t="shared" si="14"/>
        <v>20</v>
      </c>
      <c r="G100" s="252">
        <f t="shared" si="15"/>
        <v>46446</v>
      </c>
      <c r="H100" s="82">
        <v>1416.58</v>
      </c>
      <c r="I100" s="253">
        <f t="shared" si="13"/>
        <v>2400</v>
      </c>
      <c r="J100" s="253">
        <f t="shared" si="16"/>
        <v>28800</v>
      </c>
      <c r="K100" s="509">
        <f t="shared" si="17"/>
        <v>0.6942212935379577</v>
      </c>
      <c r="L100" s="271"/>
      <c r="M100" s="83"/>
      <c r="N100" s="256"/>
      <c r="Q100" s="261"/>
      <c r="R100" s="12"/>
      <c r="U100" s="235"/>
      <c r="V100" s="258"/>
      <c r="W100" s="259"/>
    </row>
    <row r="101" spans="1:23" ht="13.9" x14ac:dyDescent="0.45">
      <c r="A101" s="294">
        <v>28</v>
      </c>
      <c r="B101" s="250">
        <f t="shared" si="8"/>
        <v>56</v>
      </c>
      <c r="C101" s="251">
        <v>1</v>
      </c>
      <c r="D101" s="268" t="s">
        <v>382</v>
      </c>
      <c r="E101" s="266">
        <v>625</v>
      </c>
      <c r="F101" s="13">
        <f t="shared" si="14"/>
        <v>20</v>
      </c>
      <c r="G101" s="252">
        <f t="shared" si="15"/>
        <v>46446</v>
      </c>
      <c r="H101" s="82">
        <v>1457.71</v>
      </c>
      <c r="I101" s="253">
        <f t="shared" si="13"/>
        <v>2400</v>
      </c>
      <c r="J101" s="253">
        <f t="shared" si="16"/>
        <v>28800</v>
      </c>
      <c r="K101" s="509">
        <f t="shared" si="17"/>
        <v>0.64641801181304914</v>
      </c>
      <c r="L101" s="271"/>
      <c r="M101" s="83"/>
      <c r="N101" s="256"/>
      <c r="Q101" s="261"/>
      <c r="R101" s="12"/>
      <c r="U101" s="235"/>
      <c r="V101" s="258"/>
      <c r="W101" s="259"/>
    </row>
    <row r="102" spans="1:23" ht="13.9" x14ac:dyDescent="0.45">
      <c r="A102" s="294">
        <v>29</v>
      </c>
      <c r="B102" s="250">
        <f t="shared" si="8"/>
        <v>57</v>
      </c>
      <c r="C102" s="251">
        <v>1</v>
      </c>
      <c r="D102" s="268" t="s">
        <v>382</v>
      </c>
      <c r="E102" s="266">
        <v>625</v>
      </c>
      <c r="F102" s="13">
        <f t="shared" si="14"/>
        <v>20</v>
      </c>
      <c r="G102" s="252">
        <f t="shared" ref="G102" si="18">+EOMONTH($F$2,F102)</f>
        <v>46446</v>
      </c>
      <c r="H102" s="82">
        <v>1627.5</v>
      </c>
      <c r="I102" s="253">
        <f t="shared" si="13"/>
        <v>2400</v>
      </c>
      <c r="J102" s="253">
        <f t="shared" ref="J102" si="19">+I102*12</f>
        <v>28800</v>
      </c>
      <c r="K102" s="509">
        <f t="shared" ref="K102" si="20">+I102/H102-1</f>
        <v>0.47465437788018439</v>
      </c>
      <c r="L102" s="271"/>
      <c r="M102" s="83"/>
      <c r="N102" s="256"/>
      <c r="Q102" s="261"/>
      <c r="R102" s="12"/>
      <c r="U102" s="235"/>
      <c r="V102" s="258"/>
      <c r="W102" s="259"/>
    </row>
    <row r="103" spans="1:23" ht="13.9" x14ac:dyDescent="0.45">
      <c r="A103" s="294">
        <v>30</v>
      </c>
      <c r="B103" s="250">
        <f t="shared" si="8"/>
        <v>58</v>
      </c>
      <c r="C103" s="251">
        <v>1</v>
      </c>
      <c r="D103" s="268" t="s">
        <v>382</v>
      </c>
      <c r="E103" s="266">
        <v>625</v>
      </c>
      <c r="F103" s="13">
        <f t="shared" si="14"/>
        <v>21</v>
      </c>
      <c r="G103" s="252">
        <f t="shared" ref="G103:G123" si="21">+EOMONTH($F$2,F103)</f>
        <v>46477</v>
      </c>
      <c r="H103" s="82">
        <v>1700</v>
      </c>
      <c r="I103" s="253">
        <f t="shared" ref="I103:I123" si="22">+IFERROR(IF(OR(C103=1,C103=2),INDEX($N$46:$N$51,MATCH(D103,$L$46:$L$51,0)),H103),H103)</f>
        <v>2400</v>
      </c>
      <c r="J103" s="253">
        <f t="shared" ref="J103:J123" si="23">+I103*12</f>
        <v>28800</v>
      </c>
      <c r="K103" s="509">
        <f t="shared" ref="K103:K123" si="24">+I103/H103-1</f>
        <v>0.41176470588235303</v>
      </c>
      <c r="L103" s="271"/>
      <c r="M103" s="83"/>
      <c r="N103" s="256"/>
      <c r="Q103" s="261"/>
      <c r="R103" s="12"/>
      <c r="U103" s="235"/>
      <c r="V103" s="258"/>
      <c r="W103" s="259"/>
    </row>
    <row r="104" spans="1:23" ht="13.9" x14ac:dyDescent="0.45">
      <c r="A104" s="294">
        <v>31</v>
      </c>
      <c r="B104" s="250">
        <f t="shared" si="8"/>
        <v>59</v>
      </c>
      <c r="C104" s="251">
        <v>1</v>
      </c>
      <c r="D104" s="268" t="s">
        <v>382</v>
      </c>
      <c r="E104" s="266">
        <v>625</v>
      </c>
      <c r="F104" s="13">
        <f t="shared" si="14"/>
        <v>21</v>
      </c>
      <c r="G104" s="252">
        <f t="shared" si="21"/>
        <v>46477</v>
      </c>
      <c r="H104" s="82">
        <v>1522.5</v>
      </c>
      <c r="I104" s="253">
        <f t="shared" si="22"/>
        <v>2400</v>
      </c>
      <c r="J104" s="253">
        <f t="shared" si="23"/>
        <v>28800</v>
      </c>
      <c r="K104" s="509">
        <f t="shared" si="24"/>
        <v>0.57635467980295574</v>
      </c>
      <c r="L104" s="271"/>
      <c r="M104" s="83"/>
      <c r="N104" s="256"/>
      <c r="Q104" s="261"/>
      <c r="R104" s="12"/>
      <c r="U104" s="235"/>
      <c r="V104" s="258"/>
      <c r="W104" s="259"/>
    </row>
    <row r="105" spans="1:23" ht="13.9" x14ac:dyDescent="0.45">
      <c r="A105" s="294">
        <v>32</v>
      </c>
      <c r="B105" s="250">
        <f t="shared" si="8"/>
        <v>60</v>
      </c>
      <c r="C105" s="251">
        <v>1</v>
      </c>
      <c r="D105" s="268" t="s">
        <v>382</v>
      </c>
      <c r="E105" s="266">
        <v>625</v>
      </c>
      <c r="F105" s="13">
        <f t="shared" si="14"/>
        <v>21</v>
      </c>
      <c r="G105" s="252">
        <f t="shared" si="21"/>
        <v>46477</v>
      </c>
      <c r="H105" s="82">
        <v>1451.66</v>
      </c>
      <c r="I105" s="253">
        <f t="shared" si="22"/>
        <v>2400</v>
      </c>
      <c r="J105" s="253">
        <f t="shared" si="23"/>
        <v>28800</v>
      </c>
      <c r="K105" s="509">
        <f t="shared" si="24"/>
        <v>0.65327969359216342</v>
      </c>
      <c r="L105" s="271"/>
      <c r="M105" s="83"/>
      <c r="N105" s="256"/>
      <c r="Q105" s="261"/>
      <c r="R105" s="12"/>
      <c r="U105" s="235"/>
      <c r="V105" s="258"/>
      <c r="W105" s="259"/>
    </row>
    <row r="106" spans="1:23" ht="13.9" x14ac:dyDescent="0.45">
      <c r="A106" s="294">
        <v>33</v>
      </c>
      <c r="B106" s="250">
        <f t="shared" si="8"/>
        <v>61</v>
      </c>
      <c r="C106" s="251">
        <v>1</v>
      </c>
      <c r="D106" s="268" t="s">
        <v>382</v>
      </c>
      <c r="E106" s="266">
        <v>625</v>
      </c>
      <c r="F106" s="13">
        <f t="shared" si="14"/>
        <v>22</v>
      </c>
      <c r="G106" s="252">
        <f t="shared" si="21"/>
        <v>46507</v>
      </c>
      <c r="H106" s="82">
        <v>1481.9</v>
      </c>
      <c r="I106" s="253">
        <f t="shared" si="22"/>
        <v>2400</v>
      </c>
      <c r="J106" s="253">
        <f t="shared" si="23"/>
        <v>28800</v>
      </c>
      <c r="K106" s="509">
        <f t="shared" si="24"/>
        <v>0.61954247924961181</v>
      </c>
      <c r="L106" s="271"/>
      <c r="M106" s="83"/>
      <c r="N106" s="256"/>
      <c r="Q106" s="261"/>
      <c r="R106" s="12"/>
      <c r="U106" s="235"/>
      <c r="V106" s="258"/>
      <c r="W106" s="259"/>
    </row>
    <row r="107" spans="1:23" ht="13.9" x14ac:dyDescent="0.45">
      <c r="A107" s="294">
        <v>34</v>
      </c>
      <c r="B107" s="250">
        <f t="shared" si="8"/>
        <v>62</v>
      </c>
      <c r="C107" s="251">
        <v>1</v>
      </c>
      <c r="D107" s="268" t="s">
        <v>382</v>
      </c>
      <c r="E107" s="266">
        <v>625</v>
      </c>
      <c r="F107" s="13">
        <f t="shared" si="14"/>
        <v>22</v>
      </c>
      <c r="G107" s="252">
        <f t="shared" si="21"/>
        <v>46507</v>
      </c>
      <c r="H107" s="82">
        <v>1700</v>
      </c>
      <c r="I107" s="253">
        <f t="shared" si="22"/>
        <v>2400</v>
      </c>
      <c r="J107" s="253">
        <f t="shared" si="23"/>
        <v>28800</v>
      </c>
      <c r="K107" s="509">
        <f t="shared" si="24"/>
        <v>0.41176470588235303</v>
      </c>
      <c r="L107" s="271"/>
      <c r="M107" s="83"/>
      <c r="N107" s="256"/>
      <c r="Q107" s="261"/>
      <c r="R107" s="12"/>
      <c r="U107" s="235"/>
      <c r="V107" s="258"/>
      <c r="W107" s="259"/>
    </row>
    <row r="108" spans="1:23" ht="13.9" x14ac:dyDescent="0.45">
      <c r="A108" s="294">
        <v>35</v>
      </c>
      <c r="B108" s="250">
        <f t="shared" si="8"/>
        <v>63</v>
      </c>
      <c r="C108" s="251">
        <v>1</v>
      </c>
      <c r="D108" s="268" t="s">
        <v>382</v>
      </c>
      <c r="E108" s="266">
        <v>625</v>
      </c>
      <c r="F108" s="13">
        <f t="shared" si="14"/>
        <v>22</v>
      </c>
      <c r="G108" s="252">
        <f t="shared" si="21"/>
        <v>46507</v>
      </c>
      <c r="H108" s="82">
        <v>1482</v>
      </c>
      <c r="I108" s="253">
        <f t="shared" si="22"/>
        <v>2400</v>
      </c>
      <c r="J108" s="253">
        <f t="shared" si="23"/>
        <v>28800</v>
      </c>
      <c r="K108" s="509">
        <f t="shared" si="24"/>
        <v>0.61943319838056676</v>
      </c>
      <c r="L108" s="271"/>
      <c r="M108" s="83"/>
      <c r="N108" s="256"/>
      <c r="Q108" s="261"/>
      <c r="R108" s="12"/>
      <c r="U108" s="235"/>
      <c r="V108" s="258"/>
      <c r="W108" s="259"/>
    </row>
    <row r="109" spans="1:23" ht="13.9" x14ac:dyDescent="0.45">
      <c r="A109" s="294">
        <v>36</v>
      </c>
      <c r="B109" s="250">
        <f t="shared" si="8"/>
        <v>64</v>
      </c>
      <c r="C109" s="251">
        <v>1</v>
      </c>
      <c r="D109" s="268" t="s">
        <v>382</v>
      </c>
      <c r="E109" s="266">
        <v>625</v>
      </c>
      <c r="F109" s="13">
        <f t="shared" si="14"/>
        <v>23</v>
      </c>
      <c r="G109" s="252">
        <f t="shared" si="21"/>
        <v>46538</v>
      </c>
      <c r="H109" s="82">
        <v>1785</v>
      </c>
      <c r="I109" s="253">
        <f t="shared" si="22"/>
        <v>2400</v>
      </c>
      <c r="J109" s="253">
        <f t="shared" si="23"/>
        <v>28800</v>
      </c>
      <c r="K109" s="509">
        <f t="shared" si="24"/>
        <v>0.34453781512605053</v>
      </c>
      <c r="L109" s="271"/>
      <c r="M109" s="83"/>
      <c r="N109" s="256"/>
      <c r="Q109" s="261"/>
      <c r="R109" s="12"/>
      <c r="U109" s="235"/>
      <c r="V109" s="258"/>
      <c r="W109" s="259"/>
    </row>
    <row r="110" spans="1:23" ht="13.9" x14ac:dyDescent="0.45">
      <c r="A110" s="294">
        <v>37</v>
      </c>
      <c r="B110" s="250">
        <f t="shared" si="8"/>
        <v>65</v>
      </c>
      <c r="C110" s="251">
        <v>1</v>
      </c>
      <c r="D110" s="268" t="s">
        <v>382</v>
      </c>
      <c r="E110" s="266">
        <v>625</v>
      </c>
      <c r="F110" s="13">
        <f t="shared" si="14"/>
        <v>23</v>
      </c>
      <c r="G110" s="252">
        <f t="shared" si="21"/>
        <v>46538</v>
      </c>
      <c r="H110" s="82">
        <v>1522.5</v>
      </c>
      <c r="I110" s="253">
        <f t="shared" si="22"/>
        <v>2400</v>
      </c>
      <c r="J110" s="253">
        <f t="shared" si="23"/>
        <v>28800</v>
      </c>
      <c r="K110" s="509">
        <f t="shared" si="24"/>
        <v>0.57635467980295574</v>
      </c>
      <c r="L110" s="271"/>
      <c r="M110" s="83"/>
      <c r="N110" s="256"/>
      <c r="Q110" s="261"/>
      <c r="R110" s="12"/>
      <c r="U110" s="235"/>
      <c r="V110" s="258"/>
      <c r="W110" s="259"/>
    </row>
    <row r="111" spans="1:23" ht="13.9" x14ac:dyDescent="0.45">
      <c r="A111" s="294">
        <v>38</v>
      </c>
      <c r="B111" s="250">
        <f t="shared" si="8"/>
        <v>66</v>
      </c>
      <c r="C111" s="251">
        <v>1</v>
      </c>
      <c r="D111" s="268" t="s">
        <v>382</v>
      </c>
      <c r="E111" s="266">
        <v>625</v>
      </c>
      <c r="F111" s="13">
        <f t="shared" si="14"/>
        <v>23</v>
      </c>
      <c r="G111" s="252">
        <f t="shared" si="21"/>
        <v>46538</v>
      </c>
      <c r="H111" s="82">
        <v>1575</v>
      </c>
      <c r="I111" s="253">
        <f t="shared" si="22"/>
        <v>2400</v>
      </c>
      <c r="J111" s="253">
        <f t="shared" si="23"/>
        <v>28800</v>
      </c>
      <c r="K111" s="509">
        <f t="shared" si="24"/>
        <v>0.52380952380952372</v>
      </c>
      <c r="L111" s="271"/>
      <c r="M111" s="83"/>
      <c r="N111" s="256"/>
      <c r="Q111" s="261"/>
      <c r="R111" s="12"/>
      <c r="U111" s="235"/>
      <c r="V111" s="258"/>
      <c r="W111" s="259"/>
    </row>
    <row r="112" spans="1:23" ht="13.9" x14ac:dyDescent="0.45">
      <c r="A112" s="294">
        <v>39</v>
      </c>
      <c r="B112" s="250">
        <f t="shared" ref="B112:B123" si="25">+B111+1</f>
        <v>67</v>
      </c>
      <c r="C112" s="251">
        <v>1</v>
      </c>
      <c r="D112" s="268" t="s">
        <v>382</v>
      </c>
      <c r="E112" s="266">
        <v>625</v>
      </c>
      <c r="F112" s="13">
        <f t="shared" si="14"/>
        <v>24</v>
      </c>
      <c r="G112" s="252">
        <f t="shared" si="21"/>
        <v>46568</v>
      </c>
      <c r="H112" s="82">
        <v>1607.47</v>
      </c>
      <c r="I112" s="253">
        <f t="shared" si="22"/>
        <v>2400</v>
      </c>
      <c r="J112" s="253">
        <f t="shared" si="23"/>
        <v>28800</v>
      </c>
      <c r="K112" s="509">
        <f t="shared" si="24"/>
        <v>0.49302941890050822</v>
      </c>
      <c r="L112" s="271"/>
      <c r="M112" s="83"/>
      <c r="N112" s="256"/>
      <c r="Q112" s="261"/>
      <c r="R112" s="12"/>
      <c r="U112" s="235"/>
      <c r="V112" s="258"/>
      <c r="W112" s="259"/>
    </row>
    <row r="113" spans="1:23" ht="13.9" x14ac:dyDescent="0.45">
      <c r="A113" s="294">
        <v>40</v>
      </c>
      <c r="B113" s="250">
        <f t="shared" si="25"/>
        <v>68</v>
      </c>
      <c r="C113" s="251">
        <v>1</v>
      </c>
      <c r="D113" s="268" t="s">
        <v>382</v>
      </c>
      <c r="E113" s="266">
        <v>625</v>
      </c>
      <c r="F113" s="13">
        <f t="shared" ref="F113:F123" si="26">+F110+1</f>
        <v>24</v>
      </c>
      <c r="G113" s="252">
        <f t="shared" si="21"/>
        <v>46568</v>
      </c>
      <c r="H113" s="82">
        <v>1470</v>
      </c>
      <c r="I113" s="253">
        <f t="shared" si="22"/>
        <v>2400</v>
      </c>
      <c r="J113" s="253">
        <f t="shared" si="23"/>
        <v>28800</v>
      </c>
      <c r="K113" s="509">
        <f t="shared" si="24"/>
        <v>0.63265306122448983</v>
      </c>
      <c r="L113" s="271"/>
      <c r="M113" s="83"/>
      <c r="N113" s="256"/>
      <c r="Q113" s="261"/>
      <c r="R113" s="12"/>
      <c r="U113" s="235"/>
      <c r="V113" s="258"/>
      <c r="W113" s="259"/>
    </row>
    <row r="114" spans="1:23" ht="13.9" x14ac:dyDescent="0.45">
      <c r="A114" s="294">
        <v>41</v>
      </c>
      <c r="B114" s="250">
        <f t="shared" si="25"/>
        <v>69</v>
      </c>
      <c r="C114" s="251">
        <v>1</v>
      </c>
      <c r="D114" s="268" t="s">
        <v>382</v>
      </c>
      <c r="E114" s="266">
        <v>625</v>
      </c>
      <c r="F114" s="13">
        <f t="shared" si="26"/>
        <v>24</v>
      </c>
      <c r="G114" s="252">
        <f t="shared" si="21"/>
        <v>46568</v>
      </c>
      <c r="H114" s="82">
        <v>1600</v>
      </c>
      <c r="I114" s="253">
        <f t="shared" si="22"/>
        <v>2400</v>
      </c>
      <c r="J114" s="253">
        <f t="shared" si="23"/>
        <v>28800</v>
      </c>
      <c r="K114" s="509">
        <f t="shared" si="24"/>
        <v>0.5</v>
      </c>
      <c r="L114" s="271"/>
      <c r="M114" s="83"/>
      <c r="N114" s="256"/>
      <c r="Q114" s="261"/>
      <c r="R114" s="12"/>
      <c r="U114" s="235"/>
      <c r="V114" s="258"/>
      <c r="W114" s="259"/>
    </row>
    <row r="115" spans="1:23" ht="13.9" x14ac:dyDescent="0.45">
      <c r="A115" s="294">
        <v>42</v>
      </c>
      <c r="B115" s="250">
        <f t="shared" si="25"/>
        <v>70</v>
      </c>
      <c r="C115" s="251">
        <v>1</v>
      </c>
      <c r="D115" s="268" t="s">
        <v>382</v>
      </c>
      <c r="E115" s="266">
        <v>625</v>
      </c>
      <c r="F115" s="13">
        <f t="shared" si="26"/>
        <v>25</v>
      </c>
      <c r="G115" s="252">
        <f t="shared" si="21"/>
        <v>46599</v>
      </c>
      <c r="H115" s="82">
        <v>1391.25</v>
      </c>
      <c r="I115" s="253">
        <f t="shared" si="22"/>
        <v>2400</v>
      </c>
      <c r="J115" s="253">
        <f t="shared" si="23"/>
        <v>28800</v>
      </c>
      <c r="K115" s="509">
        <f t="shared" si="24"/>
        <v>0.72506738544474403</v>
      </c>
      <c r="L115" s="271"/>
      <c r="M115" s="83"/>
      <c r="N115" s="256"/>
      <c r="Q115" s="261"/>
      <c r="R115" s="12"/>
      <c r="U115" s="235"/>
      <c r="V115" s="258"/>
      <c r="W115" s="259"/>
    </row>
    <row r="116" spans="1:23" ht="13.9" x14ac:dyDescent="0.45">
      <c r="A116" s="294">
        <v>43</v>
      </c>
      <c r="B116" s="250">
        <f t="shared" si="25"/>
        <v>71</v>
      </c>
      <c r="C116" s="251">
        <v>1</v>
      </c>
      <c r="D116" s="268" t="s">
        <v>382</v>
      </c>
      <c r="E116" s="266">
        <v>625</v>
      </c>
      <c r="F116" s="13">
        <f t="shared" si="26"/>
        <v>25</v>
      </c>
      <c r="G116" s="252">
        <f t="shared" si="21"/>
        <v>46599</v>
      </c>
      <c r="H116" s="82">
        <v>1640.39</v>
      </c>
      <c r="I116" s="253">
        <f t="shared" si="22"/>
        <v>2400</v>
      </c>
      <c r="J116" s="253">
        <f t="shared" si="23"/>
        <v>28800</v>
      </c>
      <c r="K116" s="509">
        <f t="shared" si="24"/>
        <v>0.46306670974585296</v>
      </c>
      <c r="L116" s="271"/>
      <c r="M116" s="83"/>
      <c r="N116" s="256"/>
      <c r="Q116" s="261"/>
      <c r="R116" s="12"/>
      <c r="U116" s="235"/>
      <c r="V116" s="258"/>
      <c r="W116" s="259"/>
    </row>
    <row r="117" spans="1:23" ht="13.9" x14ac:dyDescent="0.45">
      <c r="A117" s="294">
        <v>44</v>
      </c>
      <c r="B117" s="250">
        <f t="shared" si="25"/>
        <v>72</v>
      </c>
      <c r="C117" s="251">
        <v>1</v>
      </c>
      <c r="D117" s="268" t="s">
        <v>382</v>
      </c>
      <c r="E117" s="266">
        <v>625</v>
      </c>
      <c r="F117" s="13">
        <f t="shared" si="26"/>
        <v>25</v>
      </c>
      <c r="G117" s="252">
        <f t="shared" si="21"/>
        <v>46599</v>
      </c>
      <c r="H117" s="82">
        <v>1700</v>
      </c>
      <c r="I117" s="253">
        <f t="shared" si="22"/>
        <v>2400</v>
      </c>
      <c r="J117" s="253">
        <f t="shared" si="23"/>
        <v>28800</v>
      </c>
      <c r="K117" s="509">
        <f t="shared" si="24"/>
        <v>0.41176470588235303</v>
      </c>
      <c r="L117" s="271"/>
      <c r="M117" s="83"/>
      <c r="N117" s="256"/>
      <c r="Q117" s="261"/>
      <c r="R117" s="12"/>
      <c r="U117" s="235"/>
      <c r="V117" s="258"/>
      <c r="W117" s="259"/>
    </row>
    <row r="118" spans="1:23" ht="13.9" x14ac:dyDescent="0.45">
      <c r="A118" s="294">
        <v>45</v>
      </c>
      <c r="B118" s="250">
        <f t="shared" si="25"/>
        <v>73</v>
      </c>
      <c r="C118" s="251">
        <v>1</v>
      </c>
      <c r="D118" s="268" t="s">
        <v>382</v>
      </c>
      <c r="E118" s="266">
        <v>625</v>
      </c>
      <c r="F118" s="13">
        <f t="shared" si="26"/>
        <v>26</v>
      </c>
      <c r="G118" s="252">
        <f t="shared" si="21"/>
        <v>46630</v>
      </c>
      <c r="H118" s="82">
        <v>1672</v>
      </c>
      <c r="I118" s="253">
        <f t="shared" si="22"/>
        <v>2400</v>
      </c>
      <c r="J118" s="253">
        <f t="shared" si="23"/>
        <v>28800</v>
      </c>
      <c r="K118" s="509">
        <f t="shared" si="24"/>
        <v>0.43540669856459324</v>
      </c>
      <c r="L118" s="271"/>
      <c r="M118" s="83"/>
      <c r="N118" s="256"/>
      <c r="Q118" s="261"/>
      <c r="R118" s="12"/>
      <c r="U118" s="235"/>
      <c r="V118" s="258"/>
      <c r="W118" s="259"/>
    </row>
    <row r="119" spans="1:23" ht="13.9" x14ac:dyDescent="0.45">
      <c r="A119" s="294">
        <v>46</v>
      </c>
      <c r="B119" s="250">
        <f t="shared" si="25"/>
        <v>74</v>
      </c>
      <c r="C119" s="251">
        <v>1</v>
      </c>
      <c r="D119" s="268" t="s">
        <v>382</v>
      </c>
      <c r="E119" s="266">
        <v>625</v>
      </c>
      <c r="F119" s="13">
        <f t="shared" si="26"/>
        <v>26</v>
      </c>
      <c r="G119" s="252">
        <f t="shared" si="21"/>
        <v>46630</v>
      </c>
      <c r="H119" s="82">
        <v>1481.9</v>
      </c>
      <c r="I119" s="253">
        <f t="shared" si="22"/>
        <v>2400</v>
      </c>
      <c r="J119" s="253">
        <f t="shared" si="23"/>
        <v>28800</v>
      </c>
      <c r="K119" s="509">
        <f t="shared" si="24"/>
        <v>0.61954247924961181</v>
      </c>
      <c r="L119" s="271"/>
      <c r="M119" s="83"/>
      <c r="N119" s="256"/>
      <c r="Q119" s="261"/>
      <c r="R119" s="12"/>
      <c r="U119" s="235"/>
      <c r="V119" s="258"/>
      <c r="W119" s="259"/>
    </row>
    <row r="120" spans="1:23" ht="13.9" x14ac:dyDescent="0.45">
      <c r="A120" s="294">
        <v>47</v>
      </c>
      <c r="B120" s="250">
        <f t="shared" si="25"/>
        <v>75</v>
      </c>
      <c r="C120" s="251">
        <v>1</v>
      </c>
      <c r="D120" s="268" t="s">
        <v>382</v>
      </c>
      <c r="E120" s="266">
        <v>625</v>
      </c>
      <c r="F120" s="13">
        <f t="shared" si="26"/>
        <v>26</v>
      </c>
      <c r="G120" s="252">
        <f t="shared" si="21"/>
        <v>46630</v>
      </c>
      <c r="H120" s="82">
        <v>1459.5</v>
      </c>
      <c r="I120" s="253">
        <f t="shared" si="22"/>
        <v>2400</v>
      </c>
      <c r="J120" s="253">
        <f t="shared" si="23"/>
        <v>28800</v>
      </c>
      <c r="K120" s="509">
        <f t="shared" si="24"/>
        <v>0.644398766700925</v>
      </c>
      <c r="L120" s="271"/>
      <c r="M120" s="83"/>
      <c r="N120" s="256"/>
      <c r="Q120" s="261"/>
      <c r="R120" s="12"/>
      <c r="U120" s="235"/>
      <c r="V120" s="258"/>
      <c r="W120" s="259"/>
    </row>
    <row r="121" spans="1:23" ht="13.9" x14ac:dyDescent="0.45">
      <c r="A121" s="294">
        <v>48</v>
      </c>
      <c r="B121" s="250">
        <f t="shared" si="25"/>
        <v>76</v>
      </c>
      <c r="C121" s="251">
        <v>1</v>
      </c>
      <c r="D121" s="268" t="s">
        <v>382</v>
      </c>
      <c r="E121" s="266">
        <v>625</v>
      </c>
      <c r="F121" s="13">
        <f t="shared" si="26"/>
        <v>27</v>
      </c>
      <c r="G121" s="252">
        <f t="shared" si="21"/>
        <v>46660</v>
      </c>
      <c r="H121" s="82">
        <v>1700.74</v>
      </c>
      <c r="I121" s="253">
        <f t="shared" si="22"/>
        <v>2400</v>
      </c>
      <c r="J121" s="253">
        <f t="shared" si="23"/>
        <v>28800</v>
      </c>
      <c r="K121" s="509">
        <f t="shared" si="24"/>
        <v>0.41115044039653337</v>
      </c>
      <c r="L121" s="271"/>
      <c r="M121" s="83"/>
      <c r="N121" s="256"/>
      <c r="Q121" s="261"/>
      <c r="R121" s="12"/>
      <c r="U121" s="235"/>
      <c r="V121" s="258"/>
      <c r="W121" s="259"/>
    </row>
    <row r="122" spans="1:23" ht="13.9" x14ac:dyDescent="0.45">
      <c r="A122" s="294">
        <v>49</v>
      </c>
      <c r="B122" s="250">
        <f t="shared" si="25"/>
        <v>77</v>
      </c>
      <c r="C122" s="251">
        <v>1</v>
      </c>
      <c r="D122" s="268" t="s">
        <v>382</v>
      </c>
      <c r="E122" s="266">
        <v>625</v>
      </c>
      <c r="F122" s="13">
        <f t="shared" si="26"/>
        <v>27</v>
      </c>
      <c r="G122" s="252">
        <f t="shared" si="21"/>
        <v>46660</v>
      </c>
      <c r="H122" s="82">
        <v>1300</v>
      </c>
      <c r="I122" s="253">
        <f t="shared" si="22"/>
        <v>2400</v>
      </c>
      <c r="J122" s="253">
        <f t="shared" si="23"/>
        <v>28800</v>
      </c>
      <c r="K122" s="509">
        <f t="shared" si="24"/>
        <v>0.84615384615384626</v>
      </c>
      <c r="L122" s="271"/>
      <c r="M122" s="83"/>
      <c r="N122" s="256"/>
      <c r="Q122" s="261"/>
      <c r="R122" s="12"/>
      <c r="U122" s="235"/>
      <c r="V122" s="258"/>
      <c r="W122" s="259"/>
    </row>
    <row r="123" spans="1:23" ht="13.9" x14ac:dyDescent="0.45">
      <c r="A123" s="294" t="s">
        <v>449</v>
      </c>
      <c r="B123" s="250">
        <f t="shared" si="25"/>
        <v>78</v>
      </c>
      <c r="C123" s="251">
        <v>1</v>
      </c>
      <c r="D123" s="268" t="s">
        <v>384</v>
      </c>
      <c r="E123" s="266">
        <v>825</v>
      </c>
      <c r="F123" s="13">
        <f t="shared" si="26"/>
        <v>27</v>
      </c>
      <c r="G123" s="252">
        <f t="shared" si="21"/>
        <v>46660</v>
      </c>
      <c r="H123" s="82">
        <v>1975.05</v>
      </c>
      <c r="I123" s="253">
        <f t="shared" si="22"/>
        <v>2800</v>
      </c>
      <c r="J123" s="253">
        <f t="shared" si="23"/>
        <v>33600</v>
      </c>
      <c r="K123" s="509">
        <f t="shared" si="24"/>
        <v>0.4176856282119441</v>
      </c>
      <c r="L123" s="271"/>
      <c r="M123" s="83"/>
      <c r="N123" s="256"/>
      <c r="Q123" s="261"/>
      <c r="R123" s="12"/>
      <c r="U123" s="235"/>
      <c r="V123" s="258"/>
      <c r="W123" s="259"/>
    </row>
    <row r="124" spans="1:23" x14ac:dyDescent="0.45">
      <c r="A124" s="12"/>
      <c r="B124" s="28" t="s">
        <v>55</v>
      </c>
      <c r="C124" s="28"/>
      <c r="D124" s="295">
        <f>COUNTA(B46:B123)</f>
        <v>78</v>
      </c>
      <c r="E124" s="50">
        <f>SUM(E46:E123)/D124</f>
        <v>640.38461538461536</v>
      </c>
      <c r="F124" s="50"/>
      <c r="G124" s="50"/>
      <c r="H124" s="51">
        <f>SUM(H46:H123)</f>
        <v>122516.64000000003</v>
      </c>
      <c r="I124" s="51">
        <f>SUM(I46:I123)</f>
        <v>189600</v>
      </c>
      <c r="J124" s="51">
        <f>SUM(J46:J123)</f>
        <v>2275200</v>
      </c>
      <c r="K124" s="296"/>
      <c r="Q124" s="12"/>
    </row>
    <row r="125" spans="1:23" x14ac:dyDescent="0.45">
      <c r="G125" s="253"/>
      <c r="H125" s="163"/>
      <c r="I125" s="425"/>
      <c r="J125" s="47"/>
    </row>
    <row r="126" spans="1:23" x14ac:dyDescent="0.45">
      <c r="B126" s="2" t="s">
        <v>78</v>
      </c>
      <c r="C126" s="2"/>
      <c r="D126" s="45" t="s">
        <v>255</v>
      </c>
      <c r="E126" s="45" t="s">
        <v>92</v>
      </c>
      <c r="F126" s="44" t="s">
        <v>93</v>
      </c>
      <c r="G126" s="80" t="s">
        <v>91</v>
      </c>
      <c r="H126" s="45" t="s">
        <v>51</v>
      </c>
      <c r="I126" s="45" t="s">
        <v>52</v>
      </c>
      <c r="J126" s="45" t="s">
        <v>53</v>
      </c>
    </row>
    <row r="127" spans="1:23" x14ac:dyDescent="0.45">
      <c r="B127" s="1" t="s">
        <v>296</v>
      </c>
      <c r="D127" s="13">
        <v>1</v>
      </c>
      <c r="E127" s="52">
        <v>0.9</v>
      </c>
      <c r="F127" s="48">
        <v>24</v>
      </c>
      <c r="G127" s="81">
        <f t="shared" ref="G127:G130" si="27">ROUND(F127*E127,0)</f>
        <v>22</v>
      </c>
      <c r="H127" s="48">
        <v>75</v>
      </c>
      <c r="I127" s="53">
        <f>+H127*G127</f>
        <v>1650</v>
      </c>
      <c r="J127" s="53">
        <f>+I127*12</f>
        <v>19800</v>
      </c>
      <c r="K127" s="504"/>
    </row>
    <row r="128" spans="1:23" x14ac:dyDescent="0.45">
      <c r="B128" s="1" t="s">
        <v>274</v>
      </c>
      <c r="D128" s="13">
        <v>6</v>
      </c>
      <c r="E128" s="52">
        <v>0.75</v>
      </c>
      <c r="F128" s="48">
        <v>50</v>
      </c>
      <c r="G128" s="81">
        <f t="shared" si="27"/>
        <v>38</v>
      </c>
      <c r="H128" s="48">
        <v>30</v>
      </c>
      <c r="I128" s="53">
        <f>+H128*G128</f>
        <v>1140</v>
      </c>
      <c r="J128" s="53">
        <f>+I128*12</f>
        <v>13680</v>
      </c>
    </row>
    <row r="129" spans="2:16" x14ac:dyDescent="0.45">
      <c r="B129" s="1" t="s">
        <v>326</v>
      </c>
      <c r="D129" s="13">
        <v>1</v>
      </c>
      <c r="E129" s="52">
        <v>1</v>
      </c>
      <c r="F129" s="49">
        <f>+$D$124</f>
        <v>78</v>
      </c>
      <c r="G129" s="81">
        <f t="shared" si="27"/>
        <v>78</v>
      </c>
      <c r="H129" s="48">
        <v>11</v>
      </c>
      <c r="I129" s="53">
        <f>+H129*G129</f>
        <v>858</v>
      </c>
      <c r="J129" s="53">
        <f>+I129*12</f>
        <v>10296</v>
      </c>
      <c r="K129" s="504"/>
    </row>
    <row r="130" spans="2:16" x14ac:dyDescent="0.45">
      <c r="B130" s="1" t="s">
        <v>463</v>
      </c>
      <c r="D130" s="13">
        <v>1</v>
      </c>
      <c r="E130" s="52">
        <v>0.9</v>
      </c>
      <c r="F130" s="49">
        <f>+$D$124</f>
        <v>78</v>
      </c>
      <c r="G130" s="81">
        <f t="shared" si="27"/>
        <v>70</v>
      </c>
      <c r="H130" s="48">
        <v>100</v>
      </c>
      <c r="I130" s="53">
        <f>+H130*G130</f>
        <v>7000</v>
      </c>
      <c r="J130" s="53">
        <f>+I130*12</f>
        <v>84000</v>
      </c>
      <c r="K130" s="504"/>
    </row>
    <row r="131" spans="2:16" x14ac:dyDescent="0.45">
      <c r="B131" s="28" t="s">
        <v>54</v>
      </c>
      <c r="C131" s="28"/>
      <c r="D131" s="28"/>
      <c r="E131" s="28"/>
      <c r="F131" s="113"/>
      <c r="G131" s="28"/>
      <c r="H131" s="28"/>
      <c r="I131" s="114">
        <f>+SUM(I127:I130)</f>
        <v>10648</v>
      </c>
      <c r="J131" s="114">
        <f>+SUM(J127:J130)</f>
        <v>127776</v>
      </c>
    </row>
    <row r="133" spans="2:16" x14ac:dyDescent="0.45">
      <c r="B133" s="2" t="s">
        <v>96</v>
      </c>
      <c r="C133" s="2"/>
      <c r="D133" s="2"/>
      <c r="E133" s="2"/>
      <c r="F133" s="5"/>
      <c r="G133" s="2"/>
      <c r="H133" s="2"/>
      <c r="I133" s="45" t="str">
        <f>+I126</f>
        <v>Monthly</v>
      </c>
      <c r="J133" s="45" t="str">
        <f>+J126</f>
        <v>Annual</v>
      </c>
    </row>
    <row r="134" spans="2:16" x14ac:dyDescent="0.45">
      <c r="B134" s="141" t="s">
        <v>125</v>
      </c>
      <c r="C134" s="141"/>
      <c r="D134" s="141"/>
      <c r="E134" s="141"/>
      <c r="F134" s="143"/>
      <c r="G134" s="141"/>
      <c r="H134" s="141"/>
      <c r="I134" s="143">
        <f>+J134/12</f>
        <v>0</v>
      </c>
      <c r="J134" s="143">
        <f>+'Retail Assumptions'!J49</f>
        <v>0</v>
      </c>
    </row>
    <row r="136" spans="2:16" x14ac:dyDescent="0.45">
      <c r="B136" s="1" t="s">
        <v>70</v>
      </c>
      <c r="E136" s="14">
        <v>2.5000000000000001E-2</v>
      </c>
      <c r="G136" s="1" t="s">
        <v>72</v>
      </c>
      <c r="I136" s="14">
        <v>0.02</v>
      </c>
    </row>
    <row r="137" spans="2:16" x14ac:dyDescent="0.45">
      <c r="B137" s="1" t="s">
        <v>71</v>
      </c>
      <c r="E137" s="14">
        <v>0.02</v>
      </c>
      <c r="I137" s="144"/>
    </row>
    <row r="139" spans="2:16" x14ac:dyDescent="0.45">
      <c r="B139" s="8" t="s">
        <v>48</v>
      </c>
      <c r="I139" s="8" t="s">
        <v>56</v>
      </c>
      <c r="N139" s="8" t="s">
        <v>63</v>
      </c>
    </row>
    <row r="140" spans="2:16" x14ac:dyDescent="0.45">
      <c r="B140" s="1" t="s">
        <v>256</v>
      </c>
      <c r="G140" s="43">
        <v>2</v>
      </c>
      <c r="I140" s="1" t="s">
        <v>57</v>
      </c>
      <c r="L140" s="161">
        <v>0</v>
      </c>
      <c r="N140" s="1" t="s">
        <v>57</v>
      </c>
      <c r="P140" s="161">
        <v>0</v>
      </c>
    </row>
    <row r="141" spans="2:16" x14ac:dyDescent="0.45">
      <c r="B141" s="1" t="s">
        <v>257</v>
      </c>
      <c r="G141" s="43">
        <v>1</v>
      </c>
      <c r="I141" s="1" t="s">
        <v>58</v>
      </c>
      <c r="L141" s="161">
        <v>1</v>
      </c>
      <c r="N141" s="1" t="s">
        <v>58</v>
      </c>
      <c r="P141" s="161">
        <v>1</v>
      </c>
    </row>
    <row r="142" spans="2:16" x14ac:dyDescent="0.45">
      <c r="B142" s="1" t="s">
        <v>49</v>
      </c>
      <c r="G142" s="43">
        <v>5</v>
      </c>
      <c r="I142" s="1" t="s">
        <v>59</v>
      </c>
      <c r="L142" s="42">
        <f>12+L140</f>
        <v>12</v>
      </c>
      <c r="N142" s="1" t="s">
        <v>59</v>
      </c>
      <c r="P142" s="42">
        <f>12+P140</f>
        <v>12</v>
      </c>
    </row>
    <row r="143" spans="2:16" x14ac:dyDescent="0.45">
      <c r="B143" s="1" t="s">
        <v>76</v>
      </c>
      <c r="G143" s="66">
        <f>+ROUND(D124/G142,0)</f>
        <v>16</v>
      </c>
      <c r="I143" s="4" t="s">
        <v>60</v>
      </c>
      <c r="J143" s="3"/>
      <c r="K143" s="3"/>
      <c r="L143" s="55">
        <f>+SUM(L140:L141)/L142</f>
        <v>8.3333333333333329E-2</v>
      </c>
      <c r="N143" s="1" t="s">
        <v>84</v>
      </c>
      <c r="P143" s="54">
        <v>0.2</v>
      </c>
    </row>
    <row r="144" spans="2:16" x14ac:dyDescent="0.45">
      <c r="B144" s="1" t="s">
        <v>304</v>
      </c>
      <c r="G144" s="20">
        <f>_xlfn.MAXIFS(F46:F123,C46:C123,1)+G141+G140</f>
        <v>30</v>
      </c>
      <c r="I144" s="1" t="str">
        <f>"Net Effective Rent on "&amp;TEXT(L140+12,"#,##0.0")&amp;" Month Lease"</f>
        <v>Net Effective Rent on 12.0 Month Lease</v>
      </c>
      <c r="L144" s="6">
        <f>(I124/D124)*12/(12+L140)</f>
        <v>2430.7692307692309</v>
      </c>
      <c r="N144" s="4" t="s">
        <v>83</v>
      </c>
      <c r="O144" s="3"/>
      <c r="P144" s="55">
        <f>+SUM(P140:P141)/P142*P143</f>
        <v>1.6666666666666666E-2</v>
      </c>
    </row>
    <row r="145" spans="2:13" x14ac:dyDescent="0.45">
      <c r="B145" s="1" t="s">
        <v>61</v>
      </c>
      <c r="G145" s="171">
        <v>0</v>
      </c>
      <c r="L145" s="257"/>
    </row>
    <row r="146" spans="2:13" x14ac:dyDescent="0.45">
      <c r="B146" s="1" t="s">
        <v>62</v>
      </c>
      <c r="G146" s="171">
        <v>0.05</v>
      </c>
    </row>
    <row r="148" spans="2:13" x14ac:dyDescent="0.45">
      <c r="B148" s="79" t="s">
        <v>85</v>
      </c>
      <c r="C148" s="2"/>
      <c r="D148" s="2"/>
      <c r="E148" s="2"/>
      <c r="F148" s="5"/>
      <c r="G148" s="45" t="s">
        <v>140</v>
      </c>
      <c r="H148" s="45" t="s">
        <v>139</v>
      </c>
      <c r="I148" s="45" t="s">
        <v>52</v>
      </c>
      <c r="J148" s="45" t="s">
        <v>53</v>
      </c>
      <c r="K148" s="501" t="s">
        <v>417</v>
      </c>
    </row>
    <row r="149" spans="2:13" x14ac:dyDescent="0.45">
      <c r="B149" s="1" t="s">
        <v>24</v>
      </c>
      <c r="G149" s="128">
        <v>3815.7179487179496</v>
      </c>
      <c r="H149" s="78">
        <f>+$D$124</f>
        <v>78</v>
      </c>
      <c r="I149" s="53">
        <f>+J149/12</f>
        <v>24802.166666666672</v>
      </c>
      <c r="J149" s="53">
        <f>+G149*H149</f>
        <v>297626.00000000006</v>
      </c>
      <c r="K149" s="503">
        <v>280388</v>
      </c>
      <c r="L149" s="299"/>
    </row>
    <row r="150" spans="2:13" x14ac:dyDescent="0.45">
      <c r="B150" s="1" t="s">
        <v>86</v>
      </c>
      <c r="G150" s="128">
        <v>1200</v>
      </c>
      <c r="H150" s="78">
        <f>+$D$124</f>
        <v>78</v>
      </c>
      <c r="I150" s="53">
        <f t="shared" ref="I150:I163" si="28">+J150/12</f>
        <v>7800</v>
      </c>
      <c r="J150" s="53">
        <f t="shared" ref="J150:J160" si="29">+H150*G150</f>
        <v>93600</v>
      </c>
      <c r="K150" s="503">
        <v>58500</v>
      </c>
    </row>
    <row r="151" spans="2:13" x14ac:dyDescent="0.45">
      <c r="B151" s="1" t="s">
        <v>251</v>
      </c>
      <c r="G151" s="128">
        <v>600.89743589743568</v>
      </c>
      <c r="H151" s="78">
        <f>+$D$124</f>
        <v>78</v>
      </c>
      <c r="I151" s="53">
        <f>+J151/12</f>
        <v>3905.8333333333321</v>
      </c>
      <c r="J151" s="53">
        <f t="shared" si="29"/>
        <v>46869.999999999985</v>
      </c>
      <c r="K151" s="503">
        <v>46870</v>
      </c>
      <c r="L151" s="53"/>
    </row>
    <row r="152" spans="2:13" x14ac:dyDescent="0.45">
      <c r="B152" s="1" t="s">
        <v>90</v>
      </c>
      <c r="G152" s="128">
        <v>500</v>
      </c>
      <c r="H152" s="78">
        <f>+$D$124</f>
        <v>78</v>
      </c>
      <c r="I152" s="53">
        <f t="shared" si="28"/>
        <v>3250</v>
      </c>
      <c r="J152" s="53">
        <f t="shared" si="29"/>
        <v>39000</v>
      </c>
      <c r="K152" s="503">
        <v>39000</v>
      </c>
      <c r="L152" s="24"/>
    </row>
    <row r="153" spans="2:13" x14ac:dyDescent="0.45">
      <c r="B153" s="1" t="s">
        <v>418</v>
      </c>
      <c r="G153" s="77">
        <v>0</v>
      </c>
      <c r="H153" s="76"/>
      <c r="I153" s="53">
        <f t="shared" ref="I153" si="30">+J153/12</f>
        <v>0</v>
      </c>
      <c r="J153" s="53">
        <f>+G153</f>
        <v>0</v>
      </c>
      <c r="K153" s="503">
        <v>7250</v>
      </c>
      <c r="L153" s="24"/>
    </row>
    <row r="154" spans="2:13" x14ac:dyDescent="0.45">
      <c r="B154" s="1" t="s">
        <v>295</v>
      </c>
      <c r="G154" s="77">
        <v>2400</v>
      </c>
      <c r="H154" s="76"/>
      <c r="I154" s="53">
        <f t="shared" ref="I154:I155" si="31">+J154/12</f>
        <v>200</v>
      </c>
      <c r="J154" s="53">
        <f>+G154</f>
        <v>2400</v>
      </c>
      <c r="K154" s="503">
        <v>0</v>
      </c>
    </row>
    <row r="155" spans="2:13" x14ac:dyDescent="0.45">
      <c r="B155" s="1" t="s">
        <v>438</v>
      </c>
      <c r="G155" s="128">
        <v>150</v>
      </c>
      <c r="H155" s="78">
        <f>+$D$124</f>
        <v>78</v>
      </c>
      <c r="I155" s="53">
        <f t="shared" si="31"/>
        <v>975</v>
      </c>
      <c r="J155" s="53">
        <f t="shared" ref="J155" si="32">+H155*G155</f>
        <v>11700</v>
      </c>
      <c r="K155" s="503">
        <v>0</v>
      </c>
    </row>
    <row r="156" spans="2:13" x14ac:dyDescent="0.45">
      <c r="B156" s="1" t="s">
        <v>429</v>
      </c>
      <c r="G156" s="77">
        <v>2400</v>
      </c>
      <c r="H156" s="76"/>
      <c r="I156" s="53">
        <f t="shared" ref="I156" si="33">+J156/12</f>
        <v>200</v>
      </c>
      <c r="J156" s="53">
        <f>+G156</f>
        <v>2400</v>
      </c>
      <c r="K156" s="503">
        <v>0</v>
      </c>
    </row>
    <row r="157" spans="2:13" x14ac:dyDescent="0.45">
      <c r="B157" s="1" t="s">
        <v>243</v>
      </c>
      <c r="G157" s="128">
        <v>50</v>
      </c>
      <c r="H157" s="78">
        <f>+$D$124</f>
        <v>78</v>
      </c>
      <c r="I157" s="53">
        <f t="shared" si="28"/>
        <v>325</v>
      </c>
      <c r="J157" s="53">
        <f t="shared" ref="J157" si="34">+H157*G157</f>
        <v>3900</v>
      </c>
      <c r="K157" s="503">
        <v>0</v>
      </c>
    </row>
    <row r="158" spans="2:13" x14ac:dyDescent="0.45">
      <c r="B158" s="1" t="s">
        <v>457</v>
      </c>
      <c r="G158" s="128">
        <v>500</v>
      </c>
      <c r="H158" s="78">
        <f>+$D$124</f>
        <v>78</v>
      </c>
      <c r="I158" s="53">
        <f t="shared" ref="I158" si="35">+J158/12</f>
        <v>3250</v>
      </c>
      <c r="J158" s="53">
        <f t="shared" ref="J158" si="36">+H158*G158</f>
        <v>39000</v>
      </c>
      <c r="K158" s="503">
        <v>39000</v>
      </c>
    </row>
    <row r="159" spans="2:13" x14ac:dyDescent="0.45">
      <c r="B159" s="1" t="s">
        <v>319</v>
      </c>
      <c r="G159" s="128">
        <v>863.8974358974358</v>
      </c>
      <c r="H159" s="78">
        <f>+$D$124</f>
        <v>78</v>
      </c>
      <c r="I159" s="53">
        <f t="shared" ref="I159" si="37">+J159/12</f>
        <v>5615.3333333333321</v>
      </c>
      <c r="J159" s="53">
        <f t="shared" ref="J159" si="38">+H159*G159</f>
        <v>67383.999999999985</v>
      </c>
      <c r="K159" s="503">
        <v>67384</v>
      </c>
    </row>
    <row r="160" spans="2:13" x14ac:dyDescent="0.45">
      <c r="B160" s="1" t="s">
        <v>320</v>
      </c>
      <c r="G160" s="127">
        <v>0.67009900990099036</v>
      </c>
      <c r="H160" s="75">
        <f>$G$25-L23</f>
        <v>5050</v>
      </c>
      <c r="I160" s="53">
        <f t="shared" si="28"/>
        <v>282.00000000000011</v>
      </c>
      <c r="J160" s="53">
        <f t="shared" si="29"/>
        <v>3384.0000000000014</v>
      </c>
      <c r="K160" s="503">
        <v>3384</v>
      </c>
    </row>
    <row r="161" spans="1:14" x14ac:dyDescent="0.45">
      <c r="B161" s="1" t="s">
        <v>303</v>
      </c>
      <c r="G161" s="77">
        <v>6000</v>
      </c>
      <c r="H161" s="76"/>
      <c r="I161" s="53">
        <f t="shared" si="28"/>
        <v>500</v>
      </c>
      <c r="J161" s="53">
        <f>+G161</f>
        <v>6000</v>
      </c>
      <c r="K161" s="503">
        <v>0</v>
      </c>
    </row>
    <row r="162" spans="1:14" x14ac:dyDescent="0.45">
      <c r="B162" s="1" t="s">
        <v>88</v>
      </c>
      <c r="G162" s="126">
        <v>0.03</v>
      </c>
      <c r="H162" s="74">
        <f>($J$124+$J$131+J134)*(1-G146-P144)</f>
        <v>2242777.5999999996</v>
      </c>
      <c r="I162" s="53">
        <f>+J162/12</f>
        <v>5606.9439999999986</v>
      </c>
      <c r="J162" s="53">
        <f>+H162*G162</f>
        <v>67283.32799999998</v>
      </c>
      <c r="K162" s="503">
        <v>42783</v>
      </c>
    </row>
    <row r="163" spans="1:14" x14ac:dyDescent="0.45">
      <c r="B163" s="1" t="s">
        <v>263</v>
      </c>
      <c r="G163" s="77">
        <v>2500</v>
      </c>
      <c r="H163" s="76"/>
      <c r="I163" s="53">
        <f t="shared" si="28"/>
        <v>208.33333333333334</v>
      </c>
      <c r="J163" s="53">
        <f>+G163</f>
        <v>2500</v>
      </c>
      <c r="K163" s="503">
        <v>0</v>
      </c>
    </row>
    <row r="164" spans="1:14" x14ac:dyDescent="0.45">
      <c r="A164" s="83" t="b">
        <f>I164*12=J164</f>
        <v>1</v>
      </c>
      <c r="B164" s="28" t="s">
        <v>97</v>
      </c>
      <c r="C164" s="28"/>
      <c r="D164" s="28"/>
      <c r="E164" s="28"/>
      <c r="F164" s="113"/>
      <c r="G164" s="129"/>
      <c r="H164" s="113"/>
      <c r="I164" s="114">
        <f>SUM(I149:I163)</f>
        <v>56920.61066666666</v>
      </c>
      <c r="J164" s="114">
        <f>SUM(J149:J163)</f>
        <v>683047.32799999998</v>
      </c>
      <c r="K164" s="502">
        <f>SUM(K149:K163)</f>
        <v>584559</v>
      </c>
    </row>
    <row r="165" spans="1:14" x14ac:dyDescent="0.45">
      <c r="G165" s="47"/>
      <c r="H165" s="6"/>
    </row>
    <row r="166" spans="1:14" ht="14.25" x14ac:dyDescent="0.45">
      <c r="B166" s="79" t="s">
        <v>98</v>
      </c>
      <c r="C166" s="2"/>
      <c r="D166" s="2"/>
      <c r="E166" s="2"/>
      <c r="F166" s="5"/>
      <c r="G166" s="45"/>
      <c r="H166" s="2"/>
      <c r="I166" s="45" t="s">
        <v>52</v>
      </c>
      <c r="J166" s="45" t="s">
        <v>53</v>
      </c>
      <c r="N166"/>
    </row>
    <row r="167" spans="1:14" ht="14.25" x14ac:dyDescent="0.45">
      <c r="B167" s="1" t="s">
        <v>89</v>
      </c>
      <c r="G167" s="297">
        <v>0.01</v>
      </c>
      <c r="H167" s="74">
        <f>+$J$124</f>
        <v>2275200</v>
      </c>
      <c r="I167" s="53">
        <f>+J167/12</f>
        <v>1896</v>
      </c>
      <c r="J167" s="53">
        <f t="shared" ref="J167" si="39">+H167*G167</f>
        <v>22752</v>
      </c>
      <c r="N167"/>
    </row>
    <row r="168" spans="1:14" ht="14.25" x14ac:dyDescent="0.45">
      <c r="B168" s="1" t="s">
        <v>99</v>
      </c>
      <c r="G168" s="82">
        <v>0</v>
      </c>
      <c r="H168" s="77"/>
      <c r="I168" s="53">
        <f>+J168/12</f>
        <v>0</v>
      </c>
      <c r="J168" s="53">
        <f>+G168</f>
        <v>0</v>
      </c>
      <c r="N168"/>
    </row>
    <row r="169" spans="1:14" ht="14.25" x14ac:dyDescent="0.45">
      <c r="B169" s="1" t="s">
        <v>147</v>
      </c>
      <c r="G169" s="53">
        <f>+'Retail Assumptions'!J57</f>
        <v>0</v>
      </c>
      <c r="I169" s="53">
        <f>+J169/12</f>
        <v>0</v>
      </c>
      <c r="J169" s="53">
        <f>+G169</f>
        <v>0</v>
      </c>
      <c r="N169"/>
    </row>
    <row r="170" spans="1:14" ht="14.25" x14ac:dyDescent="0.45">
      <c r="A170" s="83" t="b">
        <f>I170*12=J170</f>
        <v>1</v>
      </c>
      <c r="B170" s="28" t="s">
        <v>100</v>
      </c>
      <c r="C170" s="28"/>
      <c r="D170" s="28"/>
      <c r="E170" s="28"/>
      <c r="F170" s="113"/>
      <c r="G170" s="28"/>
      <c r="H170" s="113"/>
      <c r="I170" s="114">
        <f>SUM(I167:I169)</f>
        <v>1896</v>
      </c>
      <c r="J170" s="114">
        <f>SUM(J167:J169)</f>
        <v>22752</v>
      </c>
      <c r="N170"/>
    </row>
    <row r="171" spans="1:14" ht="14.25" x14ac:dyDescent="0.45">
      <c r="N171"/>
    </row>
    <row r="172" spans="1:14" ht="14.25" x14ac:dyDescent="0.45">
      <c r="B172" s="8" t="s">
        <v>168</v>
      </c>
      <c r="N172"/>
    </row>
    <row r="173" spans="1:14" ht="14.25" x14ac:dyDescent="0.45">
      <c r="B173" s="2" t="s">
        <v>169</v>
      </c>
      <c r="C173" s="2"/>
      <c r="D173" s="2"/>
      <c r="E173" s="5"/>
      <c r="G173" s="2" t="s">
        <v>96</v>
      </c>
      <c r="H173" s="2"/>
      <c r="I173" s="2"/>
      <c r="J173" s="5"/>
      <c r="N173"/>
    </row>
    <row r="174" spans="1:14" ht="14.25" x14ac:dyDescent="0.45">
      <c r="B174" s="1" t="str" cm="1">
        <f t="array" ref="B174">"Exit ("&amp;TEXT(INDEX(Model!$G$2:$EI$2,,Assumptions!E174+1),"MMMM D, YYYY")&amp;")"</f>
        <v>Exit (June 30, 2030)</v>
      </c>
      <c r="E174" s="27">
        <v>60</v>
      </c>
      <c r="G174" s="1" t="str">
        <f>+B174</f>
        <v>Exit (June 30, 2030)</v>
      </c>
      <c r="J174" s="56">
        <f>+E174</f>
        <v>60</v>
      </c>
      <c r="N174"/>
    </row>
    <row r="175" spans="1:14" ht="14.25" x14ac:dyDescent="0.45">
      <c r="B175" s="1" t="str">
        <f>"NTM NOI in Month "&amp;E174</f>
        <v>NTM NOI in Month 60</v>
      </c>
      <c r="E175" s="6" cm="1">
        <f t="array" ref="E175">+INDEX('NOI Walk'!$H$55:$EI$55,,MATCH(Assumptions!E174,'NOI Walk'!$H$16:$EI$16,0))</f>
        <v>2043222.1116934239</v>
      </c>
      <c r="G175" s="1" t="str">
        <f>"NTM NOI in Month "&amp;J174</f>
        <v>NTM NOI in Month 60</v>
      </c>
      <c r="J175" s="6" cm="1">
        <f t="array" ref="J175">+INDEX('NOI Walk'!$H$62:$EI$62,,MATCH(Assumptions!J174,'NOI Walk'!$H$16:$EI$16,0))</f>
        <v>0</v>
      </c>
      <c r="N175"/>
    </row>
    <row r="176" spans="1:14" ht="14.25" x14ac:dyDescent="0.45">
      <c r="B176" s="1" t="s">
        <v>171</v>
      </c>
      <c r="E176" s="57">
        <v>0.06</v>
      </c>
      <c r="G176" s="1" t="s">
        <v>171</v>
      </c>
      <c r="J176" s="57">
        <v>0.08</v>
      </c>
      <c r="N176"/>
    </row>
    <row r="177" spans="2:14" ht="14.25" x14ac:dyDescent="0.45">
      <c r="B177" s="1" t="s">
        <v>170</v>
      </c>
      <c r="E177" s="6">
        <f>+E175/E176</f>
        <v>34053701.861557066</v>
      </c>
      <c r="G177" s="1" t="s">
        <v>170</v>
      </c>
      <c r="J177" s="6">
        <f>+J175/J176</f>
        <v>0</v>
      </c>
      <c r="N177"/>
    </row>
    <row r="178" spans="2:14" ht="14.25" x14ac:dyDescent="0.45">
      <c r="B178" s="1" t="s">
        <v>11</v>
      </c>
      <c r="E178" s="57">
        <v>3.1E-2</v>
      </c>
      <c r="G178" s="1" t="s">
        <v>11</v>
      </c>
      <c r="J178" s="57">
        <v>0.04</v>
      </c>
      <c r="N178"/>
    </row>
    <row r="179" spans="2:14" ht="14.25" x14ac:dyDescent="0.45">
      <c r="B179" s="1" t="s">
        <v>11</v>
      </c>
      <c r="E179" s="6">
        <f>-E178*E177</f>
        <v>-1055664.7577082689</v>
      </c>
      <c r="G179" s="1" t="s">
        <v>11</v>
      </c>
      <c r="J179" s="6">
        <f>-J178*J177</f>
        <v>0</v>
      </c>
      <c r="N179"/>
    </row>
    <row r="180" spans="2:14" ht="14.25" x14ac:dyDescent="0.45">
      <c r="B180" s="4" t="s">
        <v>172</v>
      </c>
      <c r="C180" s="4"/>
      <c r="D180" s="4"/>
      <c r="E180" s="7">
        <f>+E179+E177</f>
        <v>32998037.103848796</v>
      </c>
      <c r="G180" s="4" t="s">
        <v>172</v>
      </c>
      <c r="H180" s="4"/>
      <c r="I180" s="4"/>
      <c r="J180" s="7">
        <f>+J179+J177</f>
        <v>0</v>
      </c>
      <c r="N180"/>
    </row>
    <row r="181" spans="2:14" s="83" customFormat="1" ht="14.25" x14ac:dyDescent="0.45">
      <c r="B181" s="83" t="s">
        <v>174</v>
      </c>
      <c r="E181" s="164">
        <f>+E177/D124</f>
        <v>436585.92130201368</v>
      </c>
      <c r="F181" s="164"/>
      <c r="G181" s="83" t="s">
        <v>175</v>
      </c>
      <c r="J181" s="164">
        <f>IFERROR(J180/'Retail Assumptions'!F19,0)</f>
        <v>0</v>
      </c>
      <c r="N181"/>
    </row>
    <row r="182" spans="2:14" ht="14.25" x14ac:dyDescent="0.45">
      <c r="D182" s="163"/>
      <c r="E182" s="284"/>
      <c r="N182"/>
    </row>
    <row r="183" spans="2:14" ht="14.25" x14ac:dyDescent="0.45">
      <c r="B183" s="148" t="s">
        <v>177</v>
      </c>
      <c r="C183" s="4"/>
      <c r="D183" s="4"/>
      <c r="E183" s="242">
        <f>+Model!G72</f>
        <v>0.33942088484764099</v>
      </c>
      <c r="N183"/>
    </row>
    <row r="184" spans="2:14" ht="14.25" x14ac:dyDescent="0.45">
      <c r="B184" s="243" t="s">
        <v>178</v>
      </c>
      <c r="C184" s="79"/>
      <c r="D184" s="79"/>
      <c r="E184" s="244">
        <f>+Model!G73</f>
        <v>2.7836218136190367</v>
      </c>
      <c r="N184"/>
    </row>
    <row r="185" spans="2:14" ht="14.25" x14ac:dyDescent="0.45">
      <c r="N185"/>
    </row>
    <row r="186" spans="2:14" ht="14.25" x14ac:dyDescent="0.45">
      <c r="N186"/>
    </row>
    <row r="187" spans="2:14" ht="14.25" x14ac:dyDescent="0.45">
      <c r="N187"/>
    </row>
    <row r="188" spans="2:14" ht="14.25" x14ac:dyDescent="0.45">
      <c r="B188" s="310"/>
      <c r="C188" s="310"/>
      <c r="D188" s="310"/>
      <c r="E188" s="311" t="s">
        <v>337</v>
      </c>
      <c r="F188" s="311"/>
      <c r="G188" s="311"/>
      <c r="H188" s="311"/>
      <c r="I188" s="311"/>
      <c r="N188"/>
    </row>
    <row r="189" spans="2:14" ht="14.25" x14ac:dyDescent="0.45">
      <c r="B189" s="310"/>
      <c r="C189" s="310"/>
      <c r="D189" s="312">
        <f>+E183</f>
        <v>0.33942088484764099</v>
      </c>
      <c r="E189" s="313">
        <v>8250000</v>
      </c>
      <c r="F189" s="313">
        <f t="shared" ref="F189:I189" si="40">+E189+150000</f>
        <v>8400000</v>
      </c>
      <c r="G189" s="313">
        <f t="shared" si="40"/>
        <v>8550000</v>
      </c>
      <c r="H189" s="313">
        <f t="shared" si="40"/>
        <v>8700000</v>
      </c>
      <c r="I189" s="313">
        <f t="shared" si="40"/>
        <v>8850000</v>
      </c>
      <c r="J189" s="6"/>
      <c r="K189" s="6"/>
      <c r="L189" s="6"/>
      <c r="N189"/>
    </row>
    <row r="190" spans="2:14" ht="15" customHeight="1" x14ac:dyDescent="0.45">
      <c r="B190" s="310"/>
      <c r="C190" s="543" t="s">
        <v>301</v>
      </c>
      <c r="D190" s="314">
        <v>7.4999999999999997E-2</v>
      </c>
      <c r="E190" s="315">
        <f t="dataTable" ref="E190:I194" dt2D="1" dtr="1" r1="G23" r2="E176" ca="1"/>
        <v>0.63886745572090176</v>
      </c>
      <c r="F190" s="315">
        <v>0.62736617922782911</v>
      </c>
      <c r="G190" s="315">
        <v>0.61604225039482119</v>
      </c>
      <c r="H190" s="315">
        <v>0.60489056706428534</v>
      </c>
      <c r="I190" s="315">
        <v>0.59390626549720793</v>
      </c>
      <c r="N190"/>
    </row>
    <row r="191" spans="2:14" ht="14.25" x14ac:dyDescent="0.45">
      <c r="B191" s="310"/>
      <c r="C191" s="543"/>
      <c r="D191" s="314">
        <f t="shared" ref="D191:D194" si="41">+D190-0.25%</f>
        <v>7.2499999999999995E-2</v>
      </c>
      <c r="E191" s="315">
        <v>0.64839742779731757</v>
      </c>
      <c r="F191" s="315">
        <v>0.63700918555259733</v>
      </c>
      <c r="G191" s="315">
        <v>0.62579866051673905</v>
      </c>
      <c r="H191" s="315">
        <v>0.61476076245307909</v>
      </c>
      <c r="I191" s="315">
        <v>0.60389060378074655</v>
      </c>
      <c r="N191"/>
    </row>
    <row r="192" spans="2:14" ht="14.25" x14ac:dyDescent="0.45">
      <c r="B192" s="310"/>
      <c r="C192" s="543"/>
      <c r="D192" s="314">
        <f t="shared" si="41"/>
        <v>6.9999999999999993E-2</v>
      </c>
      <c r="E192" s="315">
        <v>0.65827631354331995</v>
      </c>
      <c r="F192" s="315">
        <v>0.64699974656105042</v>
      </c>
      <c r="G192" s="315">
        <v>0.63590112328529369</v>
      </c>
      <c r="H192" s="315">
        <v>0.62497534155845658</v>
      </c>
      <c r="I192" s="315">
        <v>0.61421753764152531</v>
      </c>
      <c r="N192"/>
    </row>
    <row r="193" spans="2:14" ht="14.25" x14ac:dyDescent="0.45">
      <c r="B193" s="310"/>
      <c r="C193" s="543"/>
      <c r="D193" s="314">
        <f t="shared" si="41"/>
        <v>6.7499999999999991E-2</v>
      </c>
      <c r="E193" s="315">
        <v>0.66853428483009358</v>
      </c>
      <c r="F193" s="315">
        <v>0.65736809372901917</v>
      </c>
      <c r="G193" s="315">
        <v>0.64637992978096015</v>
      </c>
      <c r="H193" s="315">
        <v>0.63556471467018139</v>
      </c>
      <c r="I193" s="315">
        <v>0.62491753697395336</v>
      </c>
      <c r="N193"/>
    </row>
    <row r="194" spans="2:14" ht="14.25" x14ac:dyDescent="0.45">
      <c r="B194" s="310"/>
      <c r="C194" s="543"/>
      <c r="D194" s="314">
        <f t="shared" si="41"/>
        <v>6.4999999999999988E-2</v>
      </c>
      <c r="E194" s="315">
        <v>0.67920513749122613</v>
      </c>
      <c r="F194" s="315">
        <v>0.6681480944156647</v>
      </c>
      <c r="G194" s="315">
        <v>0.6572690546512604</v>
      </c>
      <c r="H194" s="315">
        <v>0.64656290411949169</v>
      </c>
      <c r="I194" s="315">
        <v>0.63602475523948687</v>
      </c>
      <c r="N194"/>
    </row>
    <row r="195" spans="2:14" ht="14.25" x14ac:dyDescent="0.45">
      <c r="B195" s="310"/>
      <c r="C195" s="310"/>
      <c r="D195" s="316"/>
      <c r="E195" s="310"/>
      <c r="F195" s="317"/>
      <c r="G195" s="310"/>
      <c r="H195" s="310"/>
      <c r="I195" s="310"/>
      <c r="N195"/>
    </row>
    <row r="198" spans="2:14" x14ac:dyDescent="0.45">
      <c r="C198" s="310"/>
      <c r="D198" s="310"/>
      <c r="E198" s="311" t="s">
        <v>337</v>
      </c>
      <c r="F198" s="311"/>
      <c r="G198" s="311"/>
      <c r="H198" s="311"/>
      <c r="I198" s="311"/>
    </row>
    <row r="199" spans="2:14" x14ac:dyDescent="0.45">
      <c r="C199" s="310"/>
      <c r="D199" s="312">
        <f>+E184</f>
        <v>2.7836218136190367</v>
      </c>
      <c r="E199" s="313">
        <v>8250000</v>
      </c>
      <c r="F199" s="313">
        <v>8400000</v>
      </c>
      <c r="G199" s="313">
        <v>8550000</v>
      </c>
      <c r="H199" s="313">
        <v>8700000</v>
      </c>
      <c r="I199" s="313">
        <v>8850000</v>
      </c>
    </row>
    <row r="200" spans="2:14" x14ac:dyDescent="0.45">
      <c r="C200" s="543" t="s">
        <v>301</v>
      </c>
      <c r="D200" s="314">
        <v>7.4999999999999997E-2</v>
      </c>
      <c r="E200" s="426">
        <f t="dataTable" ref="E200:I204" dt2D="1" dtr="1" r1="G23" r2="E176"/>
        <v>3.6594189777895147</v>
      </c>
      <c r="F200" s="426">
        <v>3.6125497935905977</v>
      </c>
      <c r="G200" s="426">
        <v>3.5663762929860603</v>
      </c>
      <c r="H200" s="426">
        <v>3.520883100939467</v>
      </c>
      <c r="I200" s="426">
        <v>3.4760552921648382</v>
      </c>
    </row>
    <row r="201" spans="2:14" x14ac:dyDescent="0.45">
      <c r="C201" s="543"/>
      <c r="D201" s="314">
        <f t="shared" ref="D201:D204" si="42">+D200-0.25%</f>
        <v>7.2499999999999995E-2</v>
      </c>
      <c r="E201" s="426">
        <v>3.8079055645513833</v>
      </c>
      <c r="F201" s="426">
        <v>3.7599261406531914</v>
      </c>
      <c r="G201" s="426">
        <v>3.7126588797389362</v>
      </c>
      <c r="H201" s="426">
        <v>3.6660880425675098</v>
      </c>
      <c r="I201" s="426">
        <v>3.6201983503019743</v>
      </c>
    </row>
    <row r="202" spans="2:14" x14ac:dyDescent="0.45">
      <c r="C202" s="543"/>
      <c r="D202" s="314">
        <f t="shared" si="42"/>
        <v>6.9999999999999993E-2</v>
      </c>
      <c r="E202" s="426">
        <v>3.9669983360819554</v>
      </c>
      <c r="F202" s="426">
        <v>3.9178293696488264</v>
      </c>
      <c r="G202" s="426">
        <v>3.8693902226884447</v>
      </c>
      <c r="H202" s="426">
        <v>3.8216647657404113</v>
      </c>
      <c r="I202" s="426">
        <v>3.7746373411631904</v>
      </c>
    </row>
    <row r="203" spans="2:14" x14ac:dyDescent="0.45">
      <c r="C203" s="543"/>
      <c r="D203" s="314">
        <f t="shared" si="42"/>
        <v>6.7499999999999991E-2</v>
      </c>
      <c r="E203" s="426">
        <v>4.1378757573555349</v>
      </c>
      <c r="F203" s="426">
        <v>4.087429134125621</v>
      </c>
      <c r="G203" s="426">
        <v>4.0377312947453259</v>
      </c>
      <c r="H203" s="426">
        <v>3.9887656906298261</v>
      </c>
      <c r="I203" s="426">
        <v>3.9405162572733872</v>
      </c>
    </row>
    <row r="204" spans="2:14" x14ac:dyDescent="0.45">
      <c r="C204" s="543"/>
      <c r="D204" s="314">
        <f t="shared" si="42"/>
        <v>6.4999999999999988E-2</v>
      </c>
      <c r="E204" s="426">
        <v>4.3218975956501566</v>
      </c>
      <c r="F204" s="426">
        <v>4.2700750343313993</v>
      </c>
      <c r="G204" s="426">
        <v>4.2190216800373506</v>
      </c>
      <c r="H204" s="426">
        <v>4.1687205328184254</v>
      </c>
      <c r="I204" s="426">
        <v>4.1191550900074443</v>
      </c>
    </row>
    <row r="205" spans="2:14" x14ac:dyDescent="0.45">
      <c r="C205" s="310"/>
      <c r="D205" s="316"/>
      <c r="E205" s="310"/>
      <c r="F205" s="317"/>
      <c r="G205" s="310"/>
      <c r="H205" s="310"/>
      <c r="I205" s="310"/>
    </row>
  </sheetData>
  <mergeCells count="2">
    <mergeCell ref="C190:C194"/>
    <mergeCell ref="C200:C204"/>
  </mergeCells>
  <phoneticPr fontId="28" type="noConversion"/>
  <dataValidations count="1">
    <dataValidation type="list" allowBlank="1" showInputMessage="1" showErrorMessage="1" sqref="G34" xr:uid="{CC61CE04-D384-40BA-88E7-D005750D6858}">
      <formula1>"Yes,No"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A2D5-81F1-4F70-9836-B44EEE1BC713}">
  <sheetPr>
    <tabColor theme="4"/>
  </sheetPr>
  <dimension ref="A1:EJ69"/>
  <sheetViews>
    <sheetView showGridLines="0" topLeftCell="A13" zoomScaleNormal="100" workbookViewId="0">
      <selection activeCell="B37" sqref="B37:B51"/>
    </sheetView>
  </sheetViews>
  <sheetFormatPr defaultColWidth="9.1328125" defaultRowHeight="13.15" x14ac:dyDescent="0.45"/>
  <cols>
    <col min="1" max="1" width="9.1328125" style="58"/>
    <col min="2" max="2" width="19.86328125" style="58" bestFit="1" customWidth="1"/>
    <col min="3" max="3" width="9.1328125" style="58"/>
    <col min="4" max="7" width="1.73046875" style="58" customWidth="1"/>
    <col min="8" max="139" width="12.3984375" style="58" customWidth="1"/>
    <col min="140" max="16384" width="9.1328125" style="58"/>
  </cols>
  <sheetData>
    <row r="1" spans="1:140" x14ac:dyDescent="0.45">
      <c r="S1" s="101" t="s">
        <v>372</v>
      </c>
    </row>
    <row r="2" spans="1:140" x14ac:dyDescent="0.45">
      <c r="B2" s="62" t="str">
        <f>+Assumptions!B45</f>
        <v>Units</v>
      </c>
      <c r="C2" s="62">
        <f>+Assumptions!D124</f>
        <v>78</v>
      </c>
      <c r="D2" s="62"/>
      <c r="E2" s="62"/>
      <c r="F2" s="62"/>
      <c r="H2" s="58" t="s">
        <v>261</v>
      </c>
      <c r="K2" s="62">
        <f>+C4-C3</f>
        <v>860.0430769230768</v>
      </c>
      <c r="M2" s="1" t="str">
        <f>Assumptions!I143</f>
        <v>Initial Lease-up Cost</v>
      </c>
      <c r="N2" s="1"/>
      <c r="O2" s="62">
        <f>+Assumptions!L144</f>
        <v>2430.7692307692309</v>
      </c>
      <c r="Q2" s="58" t="s">
        <v>297</v>
      </c>
      <c r="R2" s="65">
        <f>SUMIFS($H$67:$EI$67,H16:EI16,"&lt;=12")</f>
        <v>934551.93140295264</v>
      </c>
      <c r="S2" s="63">
        <f>+R2/Assumptions!$O$3</f>
        <v>6.2303462093530174E-2</v>
      </c>
    </row>
    <row r="3" spans="1:140" x14ac:dyDescent="0.45">
      <c r="B3" s="58" t="s">
        <v>259</v>
      </c>
      <c r="C3" s="62">
        <f>+Assumptions!H124/Assumptions!D124</f>
        <v>1570.7261538461541</v>
      </c>
      <c r="D3" s="62"/>
      <c r="E3" s="62"/>
      <c r="F3" s="62"/>
      <c r="H3" s="1" t="str">
        <f>Assumptions!B140</f>
        <v>Rehab Time</v>
      </c>
      <c r="I3" s="1"/>
      <c r="K3" s="56">
        <f>Assumptions!G140</f>
        <v>2</v>
      </c>
      <c r="M3" s="58" t="str">
        <f>+Assumptions!N144</f>
        <v>Ongoing Lease-up Cost</v>
      </c>
      <c r="O3" s="73">
        <f>+Assumptions!P144</f>
        <v>1.6666666666666666E-2</v>
      </c>
      <c r="Q3" s="58" t="s">
        <v>298</v>
      </c>
      <c r="R3" s="249">
        <v>865253.39936000004</v>
      </c>
      <c r="S3" s="63">
        <f>+R3/Assumptions!$O$3</f>
        <v>5.7683559957333333E-2</v>
      </c>
    </row>
    <row r="4" spans="1:140" x14ac:dyDescent="0.45">
      <c r="B4" s="62" t="s">
        <v>260</v>
      </c>
      <c r="C4" s="62">
        <f>+Assumptions!I124/Assumptions!D124</f>
        <v>2430.7692307692309</v>
      </c>
      <c r="D4" s="62"/>
      <c r="E4" s="62"/>
      <c r="F4" s="62"/>
      <c r="H4" s="1" t="str">
        <f>Assumptions!B141</f>
        <v>Lease-up Time</v>
      </c>
      <c r="I4" s="1"/>
      <c r="K4" s="56">
        <f>Assumptions!G141</f>
        <v>1</v>
      </c>
      <c r="M4" s="58" t="str">
        <f>+Assumptions!B136</f>
        <v>Rental Inflation</v>
      </c>
      <c r="O4" s="63">
        <f>+Assumptions!E136</f>
        <v>2.5000000000000001E-2</v>
      </c>
      <c r="Q4" s="58" t="s">
        <v>299</v>
      </c>
      <c r="R4" s="245">
        <f>+R2/R3-1</f>
        <v>8.0090447600911441E-2</v>
      </c>
      <c r="S4" s="63"/>
    </row>
    <row r="5" spans="1:140" x14ac:dyDescent="0.45">
      <c r="A5" s="197">
        <f>+Assumptions!E127</f>
        <v>0.9</v>
      </c>
      <c r="B5" s="58" t="str">
        <f>+Assumptions!B127</f>
        <v>Parking</v>
      </c>
      <c r="C5" s="62">
        <f>+Assumptions!H127</f>
        <v>75</v>
      </c>
      <c r="D5" s="62"/>
      <c r="E5" s="62"/>
      <c r="F5" s="62"/>
      <c r="H5" s="1" t="str">
        <f>Assumptions!B144</f>
        <v>Re-Stabilization Occurs</v>
      </c>
      <c r="I5" s="1"/>
      <c r="K5" s="56">
        <f>Assumptions!G144</f>
        <v>30</v>
      </c>
      <c r="M5" s="58" t="str">
        <f>+Assumptions!G136</f>
        <v>Amenity Inflation</v>
      </c>
      <c r="O5" s="63">
        <f>+Assumptions!I136</f>
        <v>0.02</v>
      </c>
      <c r="Q5" s="58" t="s">
        <v>309</v>
      </c>
      <c r="R5" s="65" cm="1">
        <f t="array" ref="R5">+INDEX('NOI Walk'!H67:EI67,,MATCH(Assumptions!G144,'NOI Walk'!H16:EI16,0))*12</f>
        <v>1884115.1675910912</v>
      </c>
      <c r="S5" s="63">
        <f>+R5/Assumptions!$O$3</f>
        <v>0.12560767783940607</v>
      </c>
    </row>
    <row r="6" spans="1:140" x14ac:dyDescent="0.45">
      <c r="A6" s="197">
        <f>+Assumptions!E128</f>
        <v>0.75</v>
      </c>
      <c r="B6" s="58" t="str">
        <f>+Assumptions!B128</f>
        <v>Storage</v>
      </c>
      <c r="C6" s="62">
        <f>+Assumptions!H128</f>
        <v>30</v>
      </c>
      <c r="D6" s="62"/>
      <c r="E6" s="62"/>
      <c r="F6" s="62"/>
      <c r="H6" s="1" t="str">
        <f>Assumptions!B145</f>
        <v>Bad Debt</v>
      </c>
      <c r="I6" s="1"/>
      <c r="K6" s="64">
        <f>Assumptions!G145</f>
        <v>0</v>
      </c>
      <c r="M6" s="58" t="str">
        <f>+Assumptions!B137</f>
        <v>Expense Inflation</v>
      </c>
      <c r="O6" s="63">
        <f>+Assumptions!E137</f>
        <v>0.02</v>
      </c>
    </row>
    <row r="7" spans="1:140" x14ac:dyDescent="0.45">
      <c r="A7" s="197">
        <f>+Assumptions!E129</f>
        <v>1</v>
      </c>
      <c r="B7" s="58" t="str">
        <f>+Assumptions!B129</f>
        <v>Laundry</v>
      </c>
      <c r="C7" s="62">
        <f>+Assumptions!H129</f>
        <v>11</v>
      </c>
      <c r="H7" s="1" t="str">
        <f>Assumptions!B146</f>
        <v>Vacancy</v>
      </c>
      <c r="I7" s="1"/>
      <c r="K7" s="64">
        <f>Assumptions!G146</f>
        <v>0.05</v>
      </c>
    </row>
    <row r="8" spans="1:140" x14ac:dyDescent="0.45">
      <c r="A8" s="304">
        <f>+Assumptions!E130</f>
        <v>0.9</v>
      </c>
      <c r="B8" s="58" t="s">
        <v>296</v>
      </c>
      <c r="C8" s="62">
        <f>+Assumptions!H130</f>
        <v>100</v>
      </c>
    </row>
    <row r="9" spans="1:140" x14ac:dyDescent="0.45">
      <c r="C9" s="63"/>
      <c r="D9" s="63"/>
      <c r="E9" s="63"/>
      <c r="F9" s="63"/>
    </row>
    <row r="10" spans="1:140" s="68" customFormat="1" ht="10.5" x14ac:dyDescent="0.45">
      <c r="B10" s="68" t="s">
        <v>79</v>
      </c>
      <c r="H10" s="69">
        <f t="shared" ref="H10:BB10" si="0">(1+($O$4/12))^H16</f>
        <v>1.0020833333333334</v>
      </c>
      <c r="I10" s="69">
        <f t="shared" si="0"/>
        <v>1.0041710069444447</v>
      </c>
      <c r="J10" s="69">
        <f t="shared" si="0"/>
        <v>1.006263029875579</v>
      </c>
      <c r="K10" s="69">
        <f t="shared" si="0"/>
        <v>1.00835941118782</v>
      </c>
      <c r="L10" s="69">
        <f t="shared" si="0"/>
        <v>1.010460159961128</v>
      </c>
      <c r="M10" s="69">
        <f t="shared" si="0"/>
        <v>1.0125652852943805</v>
      </c>
      <c r="N10" s="69">
        <f t="shared" si="0"/>
        <v>1.0146747963054106</v>
      </c>
      <c r="O10" s="69">
        <f t="shared" si="0"/>
        <v>1.0167887021310471</v>
      </c>
      <c r="P10" s="69">
        <f t="shared" si="0"/>
        <v>1.0189070119271535</v>
      </c>
      <c r="Q10" s="69">
        <f t="shared" si="0"/>
        <v>1.0210297348686685</v>
      </c>
      <c r="R10" s="69">
        <f t="shared" si="0"/>
        <v>1.0231568801496451</v>
      </c>
      <c r="S10" s="69">
        <f t="shared" si="0"/>
        <v>1.0252884569832903</v>
      </c>
      <c r="T10" s="69">
        <f t="shared" si="0"/>
        <v>1.0274244746020056</v>
      </c>
      <c r="U10" s="69">
        <f t="shared" si="0"/>
        <v>1.0295649422574267</v>
      </c>
      <c r="V10" s="69">
        <f t="shared" si="0"/>
        <v>1.0317098692204629</v>
      </c>
      <c r="W10" s="69">
        <f t="shared" si="0"/>
        <v>1.0338592647813392</v>
      </c>
      <c r="X10" s="69">
        <f t="shared" si="0"/>
        <v>1.0360131382496338</v>
      </c>
      <c r="Y10" s="69">
        <f t="shared" si="0"/>
        <v>1.0381714989543207</v>
      </c>
      <c r="Z10" s="69">
        <f t="shared" si="0"/>
        <v>1.0403343562438088</v>
      </c>
      <c r="AA10" s="69">
        <f t="shared" si="0"/>
        <v>1.0425017194859836</v>
      </c>
      <c r="AB10" s="69">
        <f t="shared" si="0"/>
        <v>1.0446735980682462</v>
      </c>
      <c r="AC10" s="69">
        <f t="shared" si="0"/>
        <v>1.0468500013975552</v>
      </c>
      <c r="AD10" s="69">
        <f t="shared" si="0"/>
        <v>1.0490309389004668</v>
      </c>
      <c r="AE10" s="69">
        <f t="shared" si="0"/>
        <v>1.0512164200231764</v>
      </c>
      <c r="AF10" s="69">
        <f t="shared" si="0"/>
        <v>1.053406454231558</v>
      </c>
      <c r="AG10" s="69">
        <f t="shared" si="0"/>
        <v>1.0556010510112073</v>
      </c>
      <c r="AH10" s="69">
        <f t="shared" si="0"/>
        <v>1.057800219867481</v>
      </c>
      <c r="AI10" s="69">
        <f t="shared" si="0"/>
        <v>1.0600039703255382</v>
      </c>
      <c r="AJ10" s="69">
        <f t="shared" si="0"/>
        <v>1.0622123119303832</v>
      </c>
      <c r="AK10" s="69">
        <f t="shared" si="0"/>
        <v>1.064425254246905</v>
      </c>
      <c r="AL10" s="69">
        <f t="shared" si="0"/>
        <v>1.0666428068599194</v>
      </c>
      <c r="AM10" s="69">
        <f t="shared" si="0"/>
        <v>1.0688649793742111</v>
      </c>
      <c r="AN10" s="69">
        <f t="shared" si="0"/>
        <v>1.0710917814145742</v>
      </c>
      <c r="AO10" s="69">
        <f t="shared" si="0"/>
        <v>1.0733232226258547</v>
      </c>
      <c r="AP10" s="69">
        <f t="shared" si="0"/>
        <v>1.0755593126729919</v>
      </c>
      <c r="AQ10" s="69">
        <f t="shared" si="0"/>
        <v>1.077800061241061</v>
      </c>
      <c r="AR10" s="69">
        <f t="shared" si="0"/>
        <v>1.0800454780353133</v>
      </c>
      <c r="AS10" s="69">
        <f t="shared" si="0"/>
        <v>1.0822955727812202</v>
      </c>
      <c r="AT10" s="69">
        <f t="shared" si="0"/>
        <v>1.0845503552245146</v>
      </c>
      <c r="AU10" s="69">
        <f t="shared" si="0"/>
        <v>1.0868098351312325</v>
      </c>
      <c r="AV10" s="69">
        <f t="shared" si="0"/>
        <v>1.089074022287756</v>
      </c>
      <c r="AW10" s="69">
        <f t="shared" si="0"/>
        <v>1.0913429265008556</v>
      </c>
      <c r="AX10" s="69">
        <f t="shared" si="0"/>
        <v>1.0936165575977326</v>
      </c>
      <c r="AY10" s="69">
        <f t="shared" si="0"/>
        <v>1.0958949254260613</v>
      </c>
      <c r="AZ10" s="69">
        <f t="shared" si="0"/>
        <v>1.0981780398540324</v>
      </c>
      <c r="BA10" s="69">
        <f t="shared" si="0"/>
        <v>1.1004659107703951</v>
      </c>
      <c r="BB10" s="69">
        <f t="shared" si="0"/>
        <v>1.1027585480845001</v>
      </c>
      <c r="BC10" s="69">
        <f t="shared" ref="BC10:CY10" si="1">(1+($O$4/12))^BC16</f>
        <v>1.1050559617263431</v>
      </c>
      <c r="BD10" s="69">
        <f t="shared" si="1"/>
        <v>1.1073581616466066</v>
      </c>
      <c r="BE10" s="69">
        <f t="shared" si="1"/>
        <v>1.1096651578167038</v>
      </c>
      <c r="BF10" s="69">
        <f t="shared" si="1"/>
        <v>1.1119769602288219</v>
      </c>
      <c r="BG10" s="69">
        <f t="shared" si="1"/>
        <v>1.1142935788959654</v>
      </c>
      <c r="BH10" s="69">
        <f t="shared" si="1"/>
        <v>1.116615023851999</v>
      </c>
      <c r="BI10" s="69">
        <f t="shared" si="1"/>
        <v>1.1189413051516908</v>
      </c>
      <c r="BJ10" s="69">
        <f t="shared" si="1"/>
        <v>1.1212724328707568</v>
      </c>
      <c r="BK10" s="69">
        <f t="shared" si="1"/>
        <v>1.1236084171059044</v>
      </c>
      <c r="BL10" s="69">
        <f t="shared" si="1"/>
        <v>1.125949267974875</v>
      </c>
      <c r="BM10" s="69">
        <f t="shared" si="1"/>
        <v>1.1282949956164896</v>
      </c>
      <c r="BN10" s="69">
        <f t="shared" si="1"/>
        <v>1.130645610190691</v>
      </c>
      <c r="BO10" s="69">
        <f t="shared" si="1"/>
        <v>1.1330011218785883</v>
      </c>
      <c r="BP10" s="69">
        <f t="shared" si="1"/>
        <v>1.1353615408825022</v>
      </c>
      <c r="BQ10" s="69">
        <f t="shared" si="1"/>
        <v>1.1377268774260076</v>
      </c>
      <c r="BR10" s="69">
        <f t="shared" si="1"/>
        <v>1.1400971417539785</v>
      </c>
      <c r="BS10" s="69">
        <f t="shared" si="1"/>
        <v>1.1424723441326328</v>
      </c>
      <c r="BT10" s="69">
        <f t="shared" si="1"/>
        <v>1.144852494849576</v>
      </c>
      <c r="BU10" s="69">
        <f t="shared" si="1"/>
        <v>1.1472376042138459</v>
      </c>
      <c r="BV10" s="69">
        <f t="shared" si="1"/>
        <v>1.1496276825559582</v>
      </c>
      <c r="BW10" s="69">
        <f t="shared" si="1"/>
        <v>1.1520227402279501</v>
      </c>
      <c r="BX10" s="69">
        <f t="shared" si="1"/>
        <v>1.154422787603425</v>
      </c>
      <c r="BY10" s="69">
        <f t="shared" si="1"/>
        <v>1.1568278350775989</v>
      </c>
      <c r="BZ10" s="69">
        <f t="shared" si="1"/>
        <v>1.1592378930673441</v>
      </c>
      <c r="CA10" s="69">
        <f t="shared" si="1"/>
        <v>1.1616529720112347</v>
      </c>
      <c r="CB10" s="69">
        <f t="shared" si="1"/>
        <v>1.1640730823695915</v>
      </c>
      <c r="CC10" s="69">
        <f t="shared" si="1"/>
        <v>1.1664982346245283</v>
      </c>
      <c r="CD10" s="69">
        <f t="shared" si="1"/>
        <v>1.1689284392799963</v>
      </c>
      <c r="CE10" s="69">
        <f t="shared" si="1"/>
        <v>1.1713637068618297</v>
      </c>
      <c r="CF10" s="69">
        <f t="shared" si="1"/>
        <v>1.173804047917792</v>
      </c>
      <c r="CG10" s="69">
        <f t="shared" si="1"/>
        <v>1.176249473017621</v>
      </c>
      <c r="CH10" s="69">
        <f t="shared" si="1"/>
        <v>1.1786999927530744</v>
      </c>
      <c r="CI10" s="69">
        <f t="shared" si="1"/>
        <v>1.1811556177379767</v>
      </c>
      <c r="CJ10" s="69">
        <f t="shared" si="1"/>
        <v>1.1836163586082644</v>
      </c>
      <c r="CK10" s="69">
        <f t="shared" si="1"/>
        <v>1.1860822260220318</v>
      </c>
      <c r="CL10" s="69">
        <f t="shared" si="1"/>
        <v>1.1885532306595776</v>
      </c>
      <c r="CM10" s="69">
        <f t="shared" si="1"/>
        <v>1.191029383223452</v>
      </c>
      <c r="CN10" s="69">
        <f t="shared" si="1"/>
        <v>1.193510694438501</v>
      </c>
      <c r="CO10" s="69">
        <f t="shared" si="1"/>
        <v>1.1959971750519147</v>
      </c>
      <c r="CP10" s="69">
        <f t="shared" si="1"/>
        <v>1.198488835833273</v>
      </c>
      <c r="CQ10" s="69">
        <f t="shared" si="1"/>
        <v>1.2009856875745926</v>
      </c>
      <c r="CR10" s="69">
        <f t="shared" si="1"/>
        <v>1.203487741090373</v>
      </c>
      <c r="CS10" s="69">
        <f t="shared" si="1"/>
        <v>1.2059950072176449</v>
      </c>
      <c r="CT10" s="69">
        <f t="shared" si="1"/>
        <v>1.2085074968160152</v>
      </c>
      <c r="CU10" s="69">
        <f t="shared" si="1"/>
        <v>1.2110252207677152</v>
      </c>
      <c r="CV10" s="69">
        <f t="shared" si="1"/>
        <v>1.2135481899776484</v>
      </c>
      <c r="CW10" s="69">
        <f t="shared" si="1"/>
        <v>1.2160764153734351</v>
      </c>
      <c r="CX10" s="69">
        <f t="shared" si="1"/>
        <v>1.2186099079054633</v>
      </c>
      <c r="CY10" s="69">
        <f t="shared" si="1"/>
        <v>1.2211486785469332</v>
      </c>
      <c r="CZ10" s="69">
        <f t="shared" ref="CZ10:EI10" si="2">(1+($O$4/12))^CZ16</f>
        <v>1.223692738293906</v>
      </c>
      <c r="DA10" s="69">
        <f t="shared" si="2"/>
        <v>1.2262420981653519</v>
      </c>
      <c r="DB10" s="69">
        <f t="shared" si="2"/>
        <v>1.2287967692031962</v>
      </c>
      <c r="DC10" s="69">
        <f t="shared" si="2"/>
        <v>1.23135676247237</v>
      </c>
      <c r="DD10" s="69">
        <f t="shared" si="2"/>
        <v>1.2339220890608542</v>
      </c>
      <c r="DE10" s="69">
        <f t="shared" si="2"/>
        <v>1.2364927600797311</v>
      </c>
      <c r="DF10" s="69">
        <f t="shared" si="2"/>
        <v>1.2390687866632308</v>
      </c>
      <c r="DG10" s="69">
        <f t="shared" si="2"/>
        <v>1.2416501799687794</v>
      </c>
      <c r="DH10" s="69">
        <f t="shared" si="2"/>
        <v>1.2442369511770477</v>
      </c>
      <c r="DI10" s="69">
        <f t="shared" si="2"/>
        <v>1.246829111492</v>
      </c>
      <c r="DJ10" s="69">
        <f t="shared" si="2"/>
        <v>1.2494266721409419</v>
      </c>
      <c r="DK10" s="69">
        <f t="shared" si="2"/>
        <v>1.2520296443745691</v>
      </c>
      <c r="DL10" s="69">
        <f t="shared" si="2"/>
        <v>1.2546380394670162</v>
      </c>
      <c r="DM10" s="69">
        <f t="shared" si="2"/>
        <v>1.257251868715906</v>
      </c>
      <c r="DN10" s="69">
        <f t="shared" si="2"/>
        <v>1.2598711434423975</v>
      </c>
      <c r="DO10" s="69">
        <f t="shared" si="2"/>
        <v>1.2624958749912361</v>
      </c>
      <c r="DP10" s="69">
        <f t="shared" si="2"/>
        <v>1.2651260747308015</v>
      </c>
      <c r="DQ10" s="69">
        <f t="shared" si="2"/>
        <v>1.2677617540531576</v>
      </c>
      <c r="DR10" s="69">
        <f t="shared" si="2"/>
        <v>1.2704029243741015</v>
      </c>
      <c r="DS10" s="69">
        <f t="shared" si="2"/>
        <v>1.2730495971332143</v>
      </c>
      <c r="DT10" s="69">
        <f t="shared" si="2"/>
        <v>1.2757017837939089</v>
      </c>
      <c r="DU10" s="69">
        <f t="shared" si="2"/>
        <v>1.2783594958434796</v>
      </c>
      <c r="DV10" s="69">
        <f t="shared" si="2"/>
        <v>1.2810227447931537</v>
      </c>
      <c r="DW10" s="69">
        <f t="shared" si="2"/>
        <v>1.2836915421781396</v>
      </c>
      <c r="DX10" s="69">
        <f t="shared" si="2"/>
        <v>1.2863658995576774</v>
      </c>
      <c r="DY10" s="69">
        <f t="shared" si="2"/>
        <v>1.2890458285150894</v>
      </c>
      <c r="DZ10" s="69">
        <f t="shared" si="2"/>
        <v>1.2917313406578297</v>
      </c>
      <c r="EA10" s="69">
        <f t="shared" si="2"/>
        <v>1.2944224476175334</v>
      </c>
      <c r="EB10" s="69">
        <f t="shared" si="2"/>
        <v>1.2971191610500703</v>
      </c>
      <c r="EC10" s="69">
        <f t="shared" si="2"/>
        <v>1.2998214926355915</v>
      </c>
      <c r="ED10" s="69">
        <f t="shared" si="2"/>
        <v>1.3025294540785823</v>
      </c>
      <c r="EE10" s="69">
        <f t="shared" si="2"/>
        <v>1.3052430571079128</v>
      </c>
      <c r="EF10" s="69">
        <f t="shared" si="2"/>
        <v>1.3079623134768876</v>
      </c>
      <c r="EG10" s="69">
        <f t="shared" si="2"/>
        <v>1.3106872349632981</v>
      </c>
      <c r="EH10" s="69">
        <f t="shared" si="2"/>
        <v>1.3134178333694717</v>
      </c>
      <c r="EI10" s="69">
        <f t="shared" si="2"/>
        <v>1.3161541205223251</v>
      </c>
    </row>
    <row r="11" spans="1:140" s="68" customFormat="1" ht="10.5" x14ac:dyDescent="0.45">
      <c r="B11" s="68" t="s">
        <v>80</v>
      </c>
      <c r="H11" s="69">
        <f t="shared" ref="H11:BB11" si="3">(1+($O$5/12))^H16</f>
        <v>1.0016666666666667</v>
      </c>
      <c r="I11" s="69">
        <f t="shared" si="3"/>
        <v>1.0033361111111112</v>
      </c>
      <c r="J11" s="69">
        <f t="shared" si="3"/>
        <v>1.0050083379629631</v>
      </c>
      <c r="K11" s="69">
        <f t="shared" si="3"/>
        <v>1.0066833518595681</v>
      </c>
      <c r="L11" s="69">
        <f t="shared" si="3"/>
        <v>1.0083611574460007</v>
      </c>
      <c r="M11" s="69">
        <f t="shared" si="3"/>
        <v>1.0100417593750775</v>
      </c>
      <c r="N11" s="69">
        <f t="shared" si="3"/>
        <v>1.0117251623073693</v>
      </c>
      <c r="O11" s="69">
        <f t="shared" si="3"/>
        <v>1.0134113709112151</v>
      </c>
      <c r="P11" s="69">
        <f t="shared" si="3"/>
        <v>1.0151003898627338</v>
      </c>
      <c r="Q11" s="69">
        <f t="shared" si="3"/>
        <v>1.0167922238458384</v>
      </c>
      <c r="R11" s="69">
        <f t="shared" si="3"/>
        <v>1.0184868775522482</v>
      </c>
      <c r="S11" s="69">
        <f t="shared" si="3"/>
        <v>1.020184355681502</v>
      </c>
      <c r="T11" s="69">
        <f t="shared" si="3"/>
        <v>1.0218846629409712</v>
      </c>
      <c r="U11" s="69">
        <f t="shared" si="3"/>
        <v>1.023587804045873</v>
      </c>
      <c r="V11" s="69">
        <f t="shared" si="3"/>
        <v>1.0252937837192828</v>
      </c>
      <c r="W11" s="69">
        <f t="shared" si="3"/>
        <v>1.0270026066921485</v>
      </c>
      <c r="X11" s="69">
        <f t="shared" si="3"/>
        <v>1.028714277703302</v>
      </c>
      <c r="Y11" s="69">
        <f t="shared" si="3"/>
        <v>1.0304288014994742</v>
      </c>
      <c r="Z11" s="69">
        <f t="shared" si="3"/>
        <v>1.0321461828353069</v>
      </c>
      <c r="AA11" s="69">
        <f t="shared" si="3"/>
        <v>1.0338664264733657</v>
      </c>
      <c r="AB11" s="69">
        <f t="shared" si="3"/>
        <v>1.0355895371841548</v>
      </c>
      <c r="AC11" s="69">
        <f t="shared" si="3"/>
        <v>1.0373155197461283</v>
      </c>
      <c r="AD11" s="69">
        <f t="shared" si="3"/>
        <v>1.0390443789457053</v>
      </c>
      <c r="AE11" s="69">
        <f t="shared" si="3"/>
        <v>1.0407761195772818</v>
      </c>
      <c r="AF11" s="69">
        <f t="shared" si="3"/>
        <v>1.0425107464432437</v>
      </c>
      <c r="AG11" s="69">
        <f t="shared" si="3"/>
        <v>1.0442482643539825</v>
      </c>
      <c r="AH11" s="69">
        <f t="shared" si="3"/>
        <v>1.045988678127906</v>
      </c>
      <c r="AI11" s="69">
        <f t="shared" si="3"/>
        <v>1.0477319925914526</v>
      </c>
      <c r="AJ11" s="69">
        <f t="shared" si="3"/>
        <v>1.0494782125791051</v>
      </c>
      <c r="AK11" s="69">
        <f t="shared" si="3"/>
        <v>1.0512273429334036</v>
      </c>
      <c r="AL11" s="69">
        <f t="shared" si="3"/>
        <v>1.0529793885049594</v>
      </c>
      <c r="AM11" s="69">
        <f t="shared" si="3"/>
        <v>1.0547343541524679</v>
      </c>
      <c r="AN11" s="69">
        <f t="shared" si="3"/>
        <v>1.0564922447427221</v>
      </c>
      <c r="AO11" s="69">
        <f t="shared" si="3"/>
        <v>1.0582530651506266</v>
      </c>
      <c r="AP11" s="69">
        <f t="shared" si="3"/>
        <v>1.0600168202592111</v>
      </c>
      <c r="AQ11" s="69">
        <f t="shared" si="3"/>
        <v>1.0617835149596431</v>
      </c>
      <c r="AR11" s="69">
        <f t="shared" si="3"/>
        <v>1.0635531541512426</v>
      </c>
      <c r="AS11" s="69">
        <f t="shared" si="3"/>
        <v>1.0653257427414946</v>
      </c>
      <c r="AT11" s="69">
        <f t="shared" si="3"/>
        <v>1.067101285646064</v>
      </c>
      <c r="AU11" s="69">
        <f t="shared" si="3"/>
        <v>1.0688797877888077</v>
      </c>
      <c r="AV11" s="69">
        <f t="shared" si="3"/>
        <v>1.0706612541017888</v>
      </c>
      <c r="AW11" s="69">
        <f t="shared" si="3"/>
        <v>1.0724456895252918</v>
      </c>
      <c r="AX11" s="69">
        <f t="shared" si="3"/>
        <v>1.0742330990078341</v>
      </c>
      <c r="AY11" s="69">
        <f t="shared" si="3"/>
        <v>1.0760234875061805</v>
      </c>
      <c r="AZ11" s="69">
        <f t="shared" si="3"/>
        <v>1.0778168599853577</v>
      </c>
      <c r="BA11" s="69">
        <f t="shared" si="3"/>
        <v>1.0796132214186667</v>
      </c>
      <c r="BB11" s="69">
        <f t="shared" si="3"/>
        <v>1.0814125767876979</v>
      </c>
      <c r="BC11" s="69">
        <f t="shared" ref="BC11:CY11" si="4">(1+($O$5/12))^BC16</f>
        <v>1.0832149310823442</v>
      </c>
      <c r="BD11" s="69">
        <f t="shared" si="4"/>
        <v>1.0850202893008147</v>
      </c>
      <c r="BE11" s="69">
        <f t="shared" si="4"/>
        <v>1.0868286564496494</v>
      </c>
      <c r="BF11" s="69">
        <f t="shared" si="4"/>
        <v>1.0886400375437324</v>
      </c>
      <c r="BG11" s="69">
        <f t="shared" si="4"/>
        <v>1.0904544376063052</v>
      </c>
      <c r="BH11" s="69">
        <f t="shared" si="4"/>
        <v>1.0922718616689826</v>
      </c>
      <c r="BI11" s="69">
        <f t="shared" si="4"/>
        <v>1.0940923147717643</v>
      </c>
      <c r="BJ11" s="69">
        <f t="shared" si="4"/>
        <v>1.0959158019630506</v>
      </c>
      <c r="BK11" s="69">
        <f t="shared" si="4"/>
        <v>1.0977423282996559</v>
      </c>
      <c r="BL11" s="69">
        <f t="shared" si="4"/>
        <v>1.0995718988468219</v>
      </c>
      <c r="BM11" s="69">
        <f t="shared" si="4"/>
        <v>1.1014045186782333</v>
      </c>
      <c r="BN11" s="69">
        <f t="shared" si="4"/>
        <v>1.1032401928760305</v>
      </c>
      <c r="BO11" s="69">
        <f t="shared" si="4"/>
        <v>1.1050789265308238</v>
      </c>
      <c r="BP11" s="69">
        <f t="shared" si="4"/>
        <v>1.1069207247417088</v>
      </c>
      <c r="BQ11" s="69">
        <f t="shared" si="4"/>
        <v>1.1087655926162783</v>
      </c>
      <c r="BR11" s="69">
        <f t="shared" si="4"/>
        <v>1.110613535270639</v>
      </c>
      <c r="BS11" s="69">
        <f t="shared" si="4"/>
        <v>1.1124645578294234</v>
      </c>
      <c r="BT11" s="69">
        <f t="shared" si="4"/>
        <v>1.1143186654258059</v>
      </c>
      <c r="BU11" s="69">
        <f t="shared" si="4"/>
        <v>1.1161758632015155</v>
      </c>
      <c r="BV11" s="69">
        <f t="shared" si="4"/>
        <v>1.1180361563068515</v>
      </c>
      <c r="BW11" s="69">
        <f t="shared" si="4"/>
        <v>1.1198995499006963</v>
      </c>
      <c r="BX11" s="69">
        <f t="shared" si="4"/>
        <v>1.1217660491505308</v>
      </c>
      <c r="BY11" s="69">
        <f t="shared" si="4"/>
        <v>1.1236356592324483</v>
      </c>
      <c r="BZ11" s="69">
        <f t="shared" si="4"/>
        <v>1.1255083853311691</v>
      </c>
      <c r="CA11" s="69">
        <f t="shared" si="4"/>
        <v>1.1273842326400547</v>
      </c>
      <c r="CB11" s="69">
        <f t="shared" si="4"/>
        <v>1.1292632063611214</v>
      </c>
      <c r="CC11" s="69">
        <f t="shared" si="4"/>
        <v>1.1311453117050567</v>
      </c>
      <c r="CD11" s="69">
        <f t="shared" si="4"/>
        <v>1.133030553891232</v>
      </c>
      <c r="CE11" s="69">
        <f t="shared" si="4"/>
        <v>1.1349189381477174</v>
      </c>
      <c r="CF11" s="69">
        <f t="shared" si="4"/>
        <v>1.1368104697112971</v>
      </c>
      <c r="CG11" s="69">
        <f t="shared" si="4"/>
        <v>1.1387051538274826</v>
      </c>
      <c r="CH11" s="69">
        <f t="shared" si="4"/>
        <v>1.1406029957505284</v>
      </c>
      <c r="CI11" s="69">
        <f t="shared" si="4"/>
        <v>1.1425040007434462</v>
      </c>
      <c r="CJ11" s="69">
        <f t="shared" si="4"/>
        <v>1.1444081740780185</v>
      </c>
      <c r="CK11" s="69">
        <f t="shared" si="4"/>
        <v>1.1463155210348153</v>
      </c>
      <c r="CL11" s="69">
        <f t="shared" si="4"/>
        <v>1.1482260469032068</v>
      </c>
      <c r="CM11" s="69">
        <f t="shared" si="4"/>
        <v>1.1501397569813789</v>
      </c>
      <c r="CN11" s="69">
        <f t="shared" si="4"/>
        <v>1.1520566565763481</v>
      </c>
      <c r="CO11" s="69">
        <f t="shared" si="4"/>
        <v>1.1539767510039751</v>
      </c>
      <c r="CP11" s="69">
        <f t="shared" si="4"/>
        <v>1.1559000455889821</v>
      </c>
      <c r="CQ11" s="69">
        <f t="shared" si="4"/>
        <v>1.1578265456649639</v>
      </c>
      <c r="CR11" s="69">
        <f t="shared" si="4"/>
        <v>1.1597562565744053</v>
      </c>
      <c r="CS11" s="69">
        <f t="shared" si="4"/>
        <v>1.161689183668696</v>
      </c>
      <c r="CT11" s="69">
        <f t="shared" si="4"/>
        <v>1.163625332308144</v>
      </c>
      <c r="CU11" s="69">
        <f t="shared" si="4"/>
        <v>1.1655647078619911</v>
      </c>
      <c r="CV11" s="69">
        <f t="shared" si="4"/>
        <v>1.1675073157084279</v>
      </c>
      <c r="CW11" s="69">
        <f t="shared" si="4"/>
        <v>1.1694531612346084</v>
      </c>
      <c r="CX11" s="69">
        <f t="shared" si="4"/>
        <v>1.1714022498366663</v>
      </c>
      <c r="CY11" s="69">
        <f t="shared" si="4"/>
        <v>1.1733545869197277</v>
      </c>
      <c r="CZ11" s="69">
        <f t="shared" ref="CZ11:EI11" si="5">(1+($O$5/12))^CZ16</f>
        <v>1.1753101778979274</v>
      </c>
      <c r="DA11" s="69">
        <f t="shared" si="5"/>
        <v>1.1772690281944238</v>
      </c>
      <c r="DB11" s="69">
        <f t="shared" si="5"/>
        <v>1.1792311432414146</v>
      </c>
      <c r="DC11" s="69">
        <f t="shared" si="5"/>
        <v>1.1811965284801504</v>
      </c>
      <c r="DD11" s="69">
        <f t="shared" si="5"/>
        <v>1.1831651893609507</v>
      </c>
      <c r="DE11" s="69">
        <f t="shared" si="5"/>
        <v>1.1851371313432189</v>
      </c>
      <c r="DF11" s="69">
        <f t="shared" si="5"/>
        <v>1.1871123598954578</v>
      </c>
      <c r="DG11" s="69">
        <f t="shared" si="5"/>
        <v>1.1890908804952838</v>
      </c>
      <c r="DH11" s="69">
        <f t="shared" si="5"/>
        <v>1.1910726986294424</v>
      </c>
      <c r="DI11" s="69">
        <f t="shared" si="5"/>
        <v>1.1930578197938249</v>
      </c>
      <c r="DJ11" s="69">
        <f t="shared" si="5"/>
        <v>1.1950462494934815</v>
      </c>
      <c r="DK11" s="69">
        <f t="shared" si="5"/>
        <v>1.1970379932426372</v>
      </c>
      <c r="DL11" s="69">
        <f t="shared" si="5"/>
        <v>1.1990330565647085</v>
      </c>
      <c r="DM11" s="69">
        <f t="shared" si="5"/>
        <v>1.2010314449923165</v>
      </c>
      <c r="DN11" s="69">
        <f t="shared" si="5"/>
        <v>1.2030331640673038</v>
      </c>
      <c r="DO11" s="69">
        <f t="shared" si="5"/>
        <v>1.2050382193407494</v>
      </c>
      <c r="DP11" s="69">
        <f t="shared" si="5"/>
        <v>1.207046616372984</v>
      </c>
      <c r="DQ11" s="69">
        <f t="shared" si="5"/>
        <v>1.2090583607336056</v>
      </c>
      <c r="DR11" s="69">
        <f t="shared" si="5"/>
        <v>1.2110734580014952</v>
      </c>
      <c r="DS11" s="69">
        <f t="shared" si="5"/>
        <v>1.2130919137648311</v>
      </c>
      <c r="DT11" s="69">
        <f t="shared" si="5"/>
        <v>1.215113733621106</v>
      </c>
      <c r="DU11" s="69">
        <f t="shared" si="5"/>
        <v>1.217138923177141</v>
      </c>
      <c r="DV11" s="69">
        <f t="shared" si="5"/>
        <v>1.219167488049103</v>
      </c>
      <c r="DW11" s="69">
        <f t="shared" si="5"/>
        <v>1.2211994338625185</v>
      </c>
      <c r="DX11" s="69">
        <f t="shared" si="5"/>
        <v>1.2232347662522893</v>
      </c>
      <c r="DY11" s="69">
        <f t="shared" si="5"/>
        <v>1.2252734908627099</v>
      </c>
      <c r="DZ11" s="69">
        <f t="shared" si="5"/>
        <v>1.2273156133474812</v>
      </c>
      <c r="EA11" s="69">
        <f t="shared" si="5"/>
        <v>1.2293611393697268</v>
      </c>
      <c r="EB11" s="69">
        <f t="shared" si="5"/>
        <v>1.23141007460201</v>
      </c>
      <c r="EC11" s="69">
        <f t="shared" si="5"/>
        <v>1.2334624247263466</v>
      </c>
      <c r="ED11" s="69">
        <f t="shared" si="5"/>
        <v>1.2355181954342243</v>
      </c>
      <c r="EE11" s="69">
        <f t="shared" si="5"/>
        <v>1.2375773924266147</v>
      </c>
      <c r="EF11" s="69">
        <f t="shared" si="5"/>
        <v>1.2396400214139924</v>
      </c>
      <c r="EG11" s="69">
        <f t="shared" si="5"/>
        <v>1.2417060881163491</v>
      </c>
      <c r="EH11" s="69">
        <f t="shared" si="5"/>
        <v>1.2437755982632097</v>
      </c>
      <c r="EI11" s="69">
        <f t="shared" si="5"/>
        <v>1.2458485575936487</v>
      </c>
    </row>
    <row r="12" spans="1:140" s="68" customFormat="1" ht="10.5" x14ac:dyDescent="0.45">
      <c r="B12" s="68" t="s">
        <v>101</v>
      </c>
      <c r="H12" s="69">
        <f>(1+($O$6/12))^H16</f>
        <v>1.0016666666666667</v>
      </c>
      <c r="I12" s="69">
        <f>(1+($O$6/12))^I16</f>
        <v>1.0033361111111112</v>
      </c>
      <c r="J12" s="69">
        <f t="shared" ref="J12:BB12" si="6">(1+($O$6/12))^J16</f>
        <v>1.0050083379629631</v>
      </c>
      <c r="K12" s="69">
        <f t="shared" si="6"/>
        <v>1.0066833518595681</v>
      </c>
      <c r="L12" s="69">
        <f t="shared" si="6"/>
        <v>1.0083611574460007</v>
      </c>
      <c r="M12" s="69">
        <f t="shared" si="6"/>
        <v>1.0100417593750775</v>
      </c>
      <c r="N12" s="69">
        <f t="shared" si="6"/>
        <v>1.0117251623073693</v>
      </c>
      <c r="O12" s="69">
        <f t="shared" si="6"/>
        <v>1.0134113709112151</v>
      </c>
      <c r="P12" s="69">
        <f t="shared" si="6"/>
        <v>1.0151003898627338</v>
      </c>
      <c r="Q12" s="69">
        <f t="shared" si="6"/>
        <v>1.0167922238458384</v>
      </c>
      <c r="R12" s="69">
        <f t="shared" si="6"/>
        <v>1.0184868775522482</v>
      </c>
      <c r="S12" s="69">
        <f t="shared" si="6"/>
        <v>1.020184355681502</v>
      </c>
      <c r="T12" s="69">
        <f t="shared" si="6"/>
        <v>1.0218846629409712</v>
      </c>
      <c r="U12" s="69">
        <f t="shared" si="6"/>
        <v>1.023587804045873</v>
      </c>
      <c r="V12" s="69">
        <f t="shared" si="6"/>
        <v>1.0252937837192828</v>
      </c>
      <c r="W12" s="69">
        <f t="shared" si="6"/>
        <v>1.0270026066921485</v>
      </c>
      <c r="X12" s="69">
        <f t="shared" si="6"/>
        <v>1.028714277703302</v>
      </c>
      <c r="Y12" s="69">
        <f t="shared" si="6"/>
        <v>1.0304288014994742</v>
      </c>
      <c r="Z12" s="69">
        <f t="shared" si="6"/>
        <v>1.0321461828353069</v>
      </c>
      <c r="AA12" s="69">
        <f t="shared" si="6"/>
        <v>1.0338664264733657</v>
      </c>
      <c r="AB12" s="69">
        <f t="shared" si="6"/>
        <v>1.0355895371841548</v>
      </c>
      <c r="AC12" s="69">
        <f t="shared" si="6"/>
        <v>1.0373155197461283</v>
      </c>
      <c r="AD12" s="69">
        <f t="shared" si="6"/>
        <v>1.0390443789457053</v>
      </c>
      <c r="AE12" s="69">
        <f t="shared" si="6"/>
        <v>1.0407761195772818</v>
      </c>
      <c r="AF12" s="69">
        <f t="shared" si="6"/>
        <v>1.0425107464432437</v>
      </c>
      <c r="AG12" s="69">
        <f t="shared" si="6"/>
        <v>1.0442482643539825</v>
      </c>
      <c r="AH12" s="69">
        <f t="shared" si="6"/>
        <v>1.045988678127906</v>
      </c>
      <c r="AI12" s="69">
        <f t="shared" si="6"/>
        <v>1.0477319925914526</v>
      </c>
      <c r="AJ12" s="69">
        <f t="shared" si="6"/>
        <v>1.0494782125791051</v>
      </c>
      <c r="AK12" s="69">
        <f t="shared" si="6"/>
        <v>1.0512273429334036</v>
      </c>
      <c r="AL12" s="69">
        <f t="shared" si="6"/>
        <v>1.0529793885049594</v>
      </c>
      <c r="AM12" s="69">
        <f t="shared" si="6"/>
        <v>1.0547343541524679</v>
      </c>
      <c r="AN12" s="69">
        <f t="shared" si="6"/>
        <v>1.0564922447427221</v>
      </c>
      <c r="AO12" s="69">
        <f t="shared" si="6"/>
        <v>1.0582530651506266</v>
      </c>
      <c r="AP12" s="69">
        <f t="shared" si="6"/>
        <v>1.0600168202592111</v>
      </c>
      <c r="AQ12" s="69">
        <f t="shared" si="6"/>
        <v>1.0617835149596431</v>
      </c>
      <c r="AR12" s="69">
        <f t="shared" si="6"/>
        <v>1.0635531541512426</v>
      </c>
      <c r="AS12" s="69">
        <f t="shared" si="6"/>
        <v>1.0653257427414946</v>
      </c>
      <c r="AT12" s="69">
        <f t="shared" si="6"/>
        <v>1.067101285646064</v>
      </c>
      <c r="AU12" s="69">
        <f t="shared" si="6"/>
        <v>1.0688797877888077</v>
      </c>
      <c r="AV12" s="69">
        <f t="shared" si="6"/>
        <v>1.0706612541017888</v>
      </c>
      <c r="AW12" s="69">
        <f t="shared" si="6"/>
        <v>1.0724456895252918</v>
      </c>
      <c r="AX12" s="69">
        <f t="shared" si="6"/>
        <v>1.0742330990078341</v>
      </c>
      <c r="AY12" s="69">
        <f t="shared" si="6"/>
        <v>1.0760234875061805</v>
      </c>
      <c r="AZ12" s="69">
        <f t="shared" si="6"/>
        <v>1.0778168599853577</v>
      </c>
      <c r="BA12" s="69">
        <f t="shared" si="6"/>
        <v>1.0796132214186667</v>
      </c>
      <c r="BB12" s="69">
        <f t="shared" si="6"/>
        <v>1.0814125767876979</v>
      </c>
      <c r="BC12" s="69">
        <f t="shared" ref="BC12:CY12" si="7">(1+($O$6/12))^BC16</f>
        <v>1.0832149310823442</v>
      </c>
      <c r="BD12" s="69">
        <f t="shared" si="7"/>
        <v>1.0850202893008147</v>
      </c>
      <c r="BE12" s="69">
        <f t="shared" si="7"/>
        <v>1.0868286564496494</v>
      </c>
      <c r="BF12" s="69">
        <f t="shared" si="7"/>
        <v>1.0886400375437324</v>
      </c>
      <c r="BG12" s="69">
        <f t="shared" si="7"/>
        <v>1.0904544376063052</v>
      </c>
      <c r="BH12" s="69">
        <f t="shared" si="7"/>
        <v>1.0922718616689826</v>
      </c>
      <c r="BI12" s="69">
        <f t="shared" si="7"/>
        <v>1.0940923147717643</v>
      </c>
      <c r="BJ12" s="69">
        <f t="shared" si="7"/>
        <v>1.0959158019630506</v>
      </c>
      <c r="BK12" s="69">
        <f t="shared" si="7"/>
        <v>1.0977423282996559</v>
      </c>
      <c r="BL12" s="69">
        <f t="shared" si="7"/>
        <v>1.0995718988468219</v>
      </c>
      <c r="BM12" s="69">
        <f t="shared" si="7"/>
        <v>1.1014045186782333</v>
      </c>
      <c r="BN12" s="69">
        <f t="shared" si="7"/>
        <v>1.1032401928760305</v>
      </c>
      <c r="BO12" s="69">
        <f t="shared" si="7"/>
        <v>1.1050789265308238</v>
      </c>
      <c r="BP12" s="69">
        <f t="shared" si="7"/>
        <v>1.1069207247417088</v>
      </c>
      <c r="BQ12" s="69">
        <f t="shared" si="7"/>
        <v>1.1087655926162783</v>
      </c>
      <c r="BR12" s="69">
        <f t="shared" si="7"/>
        <v>1.110613535270639</v>
      </c>
      <c r="BS12" s="69">
        <f t="shared" si="7"/>
        <v>1.1124645578294234</v>
      </c>
      <c r="BT12" s="69">
        <f t="shared" si="7"/>
        <v>1.1143186654258059</v>
      </c>
      <c r="BU12" s="69">
        <f t="shared" si="7"/>
        <v>1.1161758632015155</v>
      </c>
      <c r="BV12" s="69">
        <f t="shared" si="7"/>
        <v>1.1180361563068515</v>
      </c>
      <c r="BW12" s="69">
        <f t="shared" si="7"/>
        <v>1.1198995499006963</v>
      </c>
      <c r="BX12" s="69">
        <f t="shared" si="7"/>
        <v>1.1217660491505308</v>
      </c>
      <c r="BY12" s="69">
        <f t="shared" si="7"/>
        <v>1.1236356592324483</v>
      </c>
      <c r="BZ12" s="69">
        <f t="shared" si="7"/>
        <v>1.1255083853311691</v>
      </c>
      <c r="CA12" s="69">
        <f t="shared" si="7"/>
        <v>1.1273842326400547</v>
      </c>
      <c r="CB12" s="69">
        <f t="shared" si="7"/>
        <v>1.1292632063611214</v>
      </c>
      <c r="CC12" s="69">
        <f t="shared" si="7"/>
        <v>1.1311453117050567</v>
      </c>
      <c r="CD12" s="69">
        <f t="shared" si="7"/>
        <v>1.133030553891232</v>
      </c>
      <c r="CE12" s="69">
        <f t="shared" si="7"/>
        <v>1.1349189381477174</v>
      </c>
      <c r="CF12" s="69">
        <f t="shared" si="7"/>
        <v>1.1368104697112971</v>
      </c>
      <c r="CG12" s="69">
        <f t="shared" si="7"/>
        <v>1.1387051538274826</v>
      </c>
      <c r="CH12" s="69">
        <f t="shared" si="7"/>
        <v>1.1406029957505284</v>
      </c>
      <c r="CI12" s="69">
        <f t="shared" si="7"/>
        <v>1.1425040007434462</v>
      </c>
      <c r="CJ12" s="69">
        <f t="shared" si="7"/>
        <v>1.1444081740780185</v>
      </c>
      <c r="CK12" s="69">
        <f t="shared" si="7"/>
        <v>1.1463155210348153</v>
      </c>
      <c r="CL12" s="69">
        <f t="shared" si="7"/>
        <v>1.1482260469032068</v>
      </c>
      <c r="CM12" s="69">
        <f t="shared" si="7"/>
        <v>1.1501397569813789</v>
      </c>
      <c r="CN12" s="69">
        <f t="shared" si="7"/>
        <v>1.1520566565763481</v>
      </c>
      <c r="CO12" s="69">
        <f t="shared" si="7"/>
        <v>1.1539767510039751</v>
      </c>
      <c r="CP12" s="69">
        <f t="shared" si="7"/>
        <v>1.1559000455889821</v>
      </c>
      <c r="CQ12" s="69">
        <f t="shared" si="7"/>
        <v>1.1578265456649639</v>
      </c>
      <c r="CR12" s="69">
        <f t="shared" si="7"/>
        <v>1.1597562565744053</v>
      </c>
      <c r="CS12" s="69">
        <f t="shared" si="7"/>
        <v>1.161689183668696</v>
      </c>
      <c r="CT12" s="69">
        <f t="shared" si="7"/>
        <v>1.163625332308144</v>
      </c>
      <c r="CU12" s="69">
        <f t="shared" si="7"/>
        <v>1.1655647078619911</v>
      </c>
      <c r="CV12" s="69">
        <f t="shared" si="7"/>
        <v>1.1675073157084279</v>
      </c>
      <c r="CW12" s="69">
        <f t="shared" si="7"/>
        <v>1.1694531612346084</v>
      </c>
      <c r="CX12" s="69">
        <f t="shared" si="7"/>
        <v>1.1714022498366663</v>
      </c>
      <c r="CY12" s="69">
        <f t="shared" si="7"/>
        <v>1.1733545869197277</v>
      </c>
      <c r="CZ12" s="69">
        <f t="shared" ref="CZ12:EI12" si="8">(1+($O$6/12))^CZ16</f>
        <v>1.1753101778979274</v>
      </c>
      <c r="DA12" s="69">
        <f t="shared" si="8"/>
        <v>1.1772690281944238</v>
      </c>
      <c r="DB12" s="69">
        <f t="shared" si="8"/>
        <v>1.1792311432414146</v>
      </c>
      <c r="DC12" s="69">
        <f t="shared" si="8"/>
        <v>1.1811965284801504</v>
      </c>
      <c r="DD12" s="69">
        <f t="shared" si="8"/>
        <v>1.1831651893609507</v>
      </c>
      <c r="DE12" s="69">
        <f t="shared" si="8"/>
        <v>1.1851371313432189</v>
      </c>
      <c r="DF12" s="69">
        <f t="shared" si="8"/>
        <v>1.1871123598954578</v>
      </c>
      <c r="DG12" s="69">
        <f t="shared" si="8"/>
        <v>1.1890908804952838</v>
      </c>
      <c r="DH12" s="69">
        <f t="shared" si="8"/>
        <v>1.1910726986294424</v>
      </c>
      <c r="DI12" s="69">
        <f t="shared" si="8"/>
        <v>1.1930578197938249</v>
      </c>
      <c r="DJ12" s="69">
        <f t="shared" si="8"/>
        <v>1.1950462494934815</v>
      </c>
      <c r="DK12" s="69">
        <f t="shared" si="8"/>
        <v>1.1970379932426372</v>
      </c>
      <c r="DL12" s="69">
        <f t="shared" si="8"/>
        <v>1.1990330565647085</v>
      </c>
      <c r="DM12" s="69">
        <f t="shared" si="8"/>
        <v>1.2010314449923165</v>
      </c>
      <c r="DN12" s="69">
        <f t="shared" si="8"/>
        <v>1.2030331640673038</v>
      </c>
      <c r="DO12" s="69">
        <f t="shared" si="8"/>
        <v>1.2050382193407494</v>
      </c>
      <c r="DP12" s="69">
        <f t="shared" si="8"/>
        <v>1.207046616372984</v>
      </c>
      <c r="DQ12" s="69">
        <f t="shared" si="8"/>
        <v>1.2090583607336056</v>
      </c>
      <c r="DR12" s="69">
        <f t="shared" si="8"/>
        <v>1.2110734580014952</v>
      </c>
      <c r="DS12" s="69">
        <f t="shared" si="8"/>
        <v>1.2130919137648311</v>
      </c>
      <c r="DT12" s="69">
        <f t="shared" si="8"/>
        <v>1.215113733621106</v>
      </c>
      <c r="DU12" s="69">
        <f t="shared" si="8"/>
        <v>1.217138923177141</v>
      </c>
      <c r="DV12" s="69">
        <f t="shared" si="8"/>
        <v>1.219167488049103</v>
      </c>
      <c r="DW12" s="69">
        <f t="shared" si="8"/>
        <v>1.2211994338625185</v>
      </c>
      <c r="DX12" s="69">
        <f t="shared" si="8"/>
        <v>1.2232347662522893</v>
      </c>
      <c r="DY12" s="69">
        <f t="shared" si="8"/>
        <v>1.2252734908627099</v>
      </c>
      <c r="DZ12" s="69">
        <f t="shared" si="8"/>
        <v>1.2273156133474812</v>
      </c>
      <c r="EA12" s="69">
        <f t="shared" si="8"/>
        <v>1.2293611393697268</v>
      </c>
      <c r="EB12" s="69">
        <f t="shared" si="8"/>
        <v>1.23141007460201</v>
      </c>
      <c r="EC12" s="69">
        <f t="shared" si="8"/>
        <v>1.2334624247263466</v>
      </c>
      <c r="ED12" s="69">
        <f t="shared" si="8"/>
        <v>1.2355181954342243</v>
      </c>
      <c r="EE12" s="69">
        <f t="shared" si="8"/>
        <v>1.2375773924266147</v>
      </c>
      <c r="EF12" s="69">
        <f t="shared" si="8"/>
        <v>1.2396400214139924</v>
      </c>
      <c r="EG12" s="69">
        <f t="shared" si="8"/>
        <v>1.2417060881163491</v>
      </c>
      <c r="EH12" s="69">
        <f t="shared" si="8"/>
        <v>1.2437755982632097</v>
      </c>
      <c r="EI12" s="69">
        <f t="shared" si="8"/>
        <v>1.2458485575936487</v>
      </c>
    </row>
    <row r="13" spans="1:140" s="214" customFormat="1" ht="10.5" x14ac:dyDescent="0.45">
      <c r="B13" s="214" t="s">
        <v>77</v>
      </c>
      <c r="H13" s="213" t="str">
        <f>IF(H16&lt;$K$5,"Lease-up",IF(H16=$K$5,"Stabilization","-"))</f>
        <v>Lease-up</v>
      </c>
      <c r="I13" s="213" t="str">
        <f t="shared" ref="I13:R13" si="9">IF(I16&lt;$K$5,"Lease-up",IF(I16=$K$5,"Stabilization","-"))</f>
        <v>Lease-up</v>
      </c>
      <c r="J13" s="213" t="str">
        <f t="shared" si="9"/>
        <v>Lease-up</v>
      </c>
      <c r="K13" s="213" t="str">
        <f t="shared" si="9"/>
        <v>Lease-up</v>
      </c>
      <c r="L13" s="213" t="str">
        <f t="shared" si="9"/>
        <v>Lease-up</v>
      </c>
      <c r="M13" s="213" t="str">
        <f t="shared" si="9"/>
        <v>Lease-up</v>
      </c>
      <c r="N13" s="213" t="str">
        <f t="shared" si="9"/>
        <v>Lease-up</v>
      </c>
      <c r="O13" s="213" t="str">
        <f t="shared" si="9"/>
        <v>Lease-up</v>
      </c>
      <c r="P13" s="213" t="str">
        <f t="shared" si="9"/>
        <v>Lease-up</v>
      </c>
      <c r="Q13" s="213" t="str">
        <f t="shared" si="9"/>
        <v>Lease-up</v>
      </c>
      <c r="R13" s="213" t="str">
        <f t="shared" si="9"/>
        <v>Lease-up</v>
      </c>
      <c r="S13" s="213" t="str">
        <f t="shared" ref="S13" si="10">IF(S16&lt;$K$5,"Lease-up",IF(S16=$K$5,"Stabilization","-"))</f>
        <v>Lease-up</v>
      </c>
      <c r="T13" s="213" t="str">
        <f t="shared" ref="T13" si="11">IF(T16&lt;$K$5,"Lease-up",IF(T16=$K$5,"Stabilization","-"))</f>
        <v>Lease-up</v>
      </c>
      <c r="U13" s="213" t="str">
        <f t="shared" ref="U13" si="12">IF(U16&lt;$K$5,"Lease-up",IF(U16=$K$5,"Stabilization","-"))</f>
        <v>Lease-up</v>
      </c>
      <c r="V13" s="213" t="str">
        <f t="shared" ref="V13" si="13">IF(V16&lt;$K$5,"Lease-up",IF(V16=$K$5,"Stabilization","-"))</f>
        <v>Lease-up</v>
      </c>
      <c r="W13" s="213" t="str">
        <f t="shared" ref="W13" si="14">IF(W16&lt;$K$5,"Lease-up",IF(W16=$K$5,"Stabilization","-"))</f>
        <v>Lease-up</v>
      </c>
      <c r="X13" s="213" t="str">
        <f t="shared" ref="X13" si="15">IF(X16&lt;$K$5,"Lease-up",IF(X16=$K$5,"Stabilization","-"))</f>
        <v>Lease-up</v>
      </c>
      <c r="Y13" s="213" t="str">
        <f t="shared" ref="Y13" si="16">IF(Y16&lt;$K$5,"Lease-up",IF(Y16=$K$5,"Stabilization","-"))</f>
        <v>Lease-up</v>
      </c>
      <c r="Z13" s="213" t="str">
        <f t="shared" ref="Z13" si="17">IF(Z16&lt;$K$5,"Lease-up",IF(Z16=$K$5,"Stabilization","-"))</f>
        <v>Lease-up</v>
      </c>
      <c r="AA13" s="213" t="str">
        <f t="shared" ref="AA13" si="18">IF(AA16&lt;$K$5,"Lease-up",IF(AA16=$K$5,"Stabilization","-"))</f>
        <v>Lease-up</v>
      </c>
      <c r="AB13" s="213" t="str">
        <f t="shared" ref="AB13" si="19">IF(AB16&lt;$K$5,"Lease-up",IF(AB16=$K$5,"Stabilization","-"))</f>
        <v>Lease-up</v>
      </c>
      <c r="AC13" s="213" t="str">
        <f t="shared" ref="AC13" si="20">IF(AC16&lt;$K$5,"Lease-up",IF(AC16=$K$5,"Stabilization","-"))</f>
        <v>Lease-up</v>
      </c>
      <c r="AD13" s="213" t="str">
        <f t="shared" ref="AD13" si="21">IF(AD16&lt;$K$5,"Lease-up",IF(AD16=$K$5,"Stabilization","-"))</f>
        <v>Lease-up</v>
      </c>
      <c r="AE13" s="213" t="str">
        <f t="shared" ref="AE13" si="22">IF(AE16&lt;$K$5,"Lease-up",IF(AE16=$K$5,"Stabilization","-"))</f>
        <v>Lease-up</v>
      </c>
      <c r="AF13" s="213" t="str">
        <f t="shared" ref="AF13" si="23">IF(AF16&lt;$K$5,"Lease-up",IF(AF16=$K$5,"Stabilization","-"))</f>
        <v>Lease-up</v>
      </c>
      <c r="AG13" s="213" t="str">
        <f t="shared" ref="AG13" si="24">IF(AG16&lt;$K$5,"Lease-up",IF(AG16=$K$5,"Stabilization","-"))</f>
        <v>Lease-up</v>
      </c>
      <c r="AH13" s="213" t="str">
        <f t="shared" ref="AH13" si="25">IF(AH16&lt;$K$5,"Lease-up",IF(AH16=$K$5,"Stabilization","-"))</f>
        <v>Lease-up</v>
      </c>
      <c r="AI13" s="213" t="str">
        <f t="shared" ref="AI13" si="26">IF(AI16&lt;$K$5,"Lease-up",IF(AI16=$K$5,"Stabilization","-"))</f>
        <v>Lease-up</v>
      </c>
      <c r="AJ13" s="213" t="str">
        <f t="shared" ref="AJ13" si="27">IF(AJ16&lt;$K$5,"Lease-up",IF(AJ16=$K$5,"Stabilization","-"))</f>
        <v>Lease-up</v>
      </c>
      <c r="AK13" s="213" t="str">
        <f t="shared" ref="AK13" si="28">IF(AK16&lt;$K$5,"Lease-up",IF(AK16=$K$5,"Stabilization","-"))</f>
        <v>Stabilization</v>
      </c>
      <c r="AL13" s="213" t="str">
        <f t="shared" ref="AL13" si="29">IF(AL16&lt;$K$5,"Lease-up",IF(AL16=$K$5,"Stabilization","-"))</f>
        <v>-</v>
      </c>
      <c r="AM13" s="213" t="str">
        <f t="shared" ref="AM13" si="30">IF(AM16&lt;$K$5,"Lease-up",IF(AM16=$K$5,"Stabilization","-"))</f>
        <v>-</v>
      </c>
      <c r="AN13" s="213" t="str">
        <f t="shared" ref="AN13" si="31">IF(AN16&lt;$K$5,"Lease-up",IF(AN16=$K$5,"Stabilization","-"))</f>
        <v>-</v>
      </c>
      <c r="AO13" s="213" t="str">
        <f t="shared" ref="AO13" si="32">IF(AO16&lt;$K$5,"Lease-up",IF(AO16=$K$5,"Stabilization","-"))</f>
        <v>-</v>
      </c>
      <c r="AP13" s="213" t="str">
        <f t="shared" ref="AP13" si="33">IF(AP16&lt;$K$5,"Lease-up",IF(AP16=$K$5,"Stabilization","-"))</f>
        <v>-</v>
      </c>
      <c r="AQ13" s="213" t="str">
        <f t="shared" ref="AQ13" si="34">IF(AQ16&lt;$K$5,"Lease-up",IF(AQ16=$K$5,"Stabilization","-"))</f>
        <v>-</v>
      </c>
      <c r="AR13" s="213" t="str">
        <f t="shared" ref="AR13" si="35">IF(AR16&lt;$K$5,"Lease-up",IF(AR16=$K$5,"Stabilization","-"))</f>
        <v>-</v>
      </c>
      <c r="AS13" s="213" t="str">
        <f t="shared" ref="AS13" si="36">IF(AS16&lt;$K$5,"Lease-up",IF(AS16=$K$5,"Stabilization","-"))</f>
        <v>-</v>
      </c>
      <c r="AT13" s="213" t="str">
        <f t="shared" ref="AT13" si="37">IF(AT16&lt;$K$5,"Lease-up",IF(AT16=$K$5,"Stabilization","-"))</f>
        <v>-</v>
      </c>
      <c r="AU13" s="213" t="str">
        <f t="shared" ref="AU13" si="38">IF(AU16&lt;$K$5,"Lease-up",IF(AU16=$K$5,"Stabilization","-"))</f>
        <v>-</v>
      </c>
      <c r="AV13" s="213" t="str">
        <f t="shared" ref="AV13" si="39">IF(AV16&lt;$K$5,"Lease-up",IF(AV16=$K$5,"Stabilization","-"))</f>
        <v>-</v>
      </c>
      <c r="AW13" s="213" t="str">
        <f t="shared" ref="AW13" si="40">IF(AW16&lt;$K$5,"Lease-up",IF(AW16=$K$5,"Stabilization","-"))</f>
        <v>-</v>
      </c>
      <c r="AX13" s="213" t="str">
        <f t="shared" ref="AX13" si="41">IF(AX16&lt;$K$5,"Lease-up",IF(AX16=$K$5,"Stabilization","-"))</f>
        <v>-</v>
      </c>
      <c r="AY13" s="213" t="str">
        <f t="shared" ref="AY13" si="42">IF(AY16&lt;$K$5,"Lease-up",IF(AY16=$K$5,"Stabilization","-"))</f>
        <v>-</v>
      </c>
      <c r="AZ13" s="213" t="str">
        <f t="shared" ref="AZ13" si="43">IF(AZ16&lt;$K$5,"Lease-up",IF(AZ16=$K$5,"Stabilization","-"))</f>
        <v>-</v>
      </c>
      <c r="BA13" s="213" t="str">
        <f t="shared" ref="BA13" si="44">IF(BA16&lt;$K$5,"Lease-up",IF(BA16=$K$5,"Stabilization","-"))</f>
        <v>-</v>
      </c>
      <c r="BB13" s="213" t="str">
        <f t="shared" ref="BB13:CY13" si="45">IF(BB16&lt;$K$5,"Lease-up",IF(BB16=$K$5,"Stabilization","-"))</f>
        <v>-</v>
      </c>
      <c r="BC13" s="213" t="str">
        <f t="shared" si="45"/>
        <v>-</v>
      </c>
      <c r="BD13" s="213" t="str">
        <f t="shared" si="45"/>
        <v>-</v>
      </c>
      <c r="BE13" s="213" t="str">
        <f t="shared" si="45"/>
        <v>-</v>
      </c>
      <c r="BF13" s="213" t="str">
        <f t="shared" si="45"/>
        <v>-</v>
      </c>
      <c r="BG13" s="213" t="str">
        <f t="shared" si="45"/>
        <v>-</v>
      </c>
      <c r="BH13" s="213" t="str">
        <f t="shared" si="45"/>
        <v>-</v>
      </c>
      <c r="BI13" s="213" t="str">
        <f t="shared" si="45"/>
        <v>-</v>
      </c>
      <c r="BJ13" s="213" t="str">
        <f t="shared" si="45"/>
        <v>-</v>
      </c>
      <c r="BK13" s="213" t="str">
        <f t="shared" si="45"/>
        <v>-</v>
      </c>
      <c r="BL13" s="213" t="str">
        <f t="shared" si="45"/>
        <v>-</v>
      </c>
      <c r="BM13" s="213" t="str">
        <f t="shared" si="45"/>
        <v>-</v>
      </c>
      <c r="BN13" s="213" t="str">
        <f t="shared" si="45"/>
        <v>-</v>
      </c>
      <c r="BO13" s="213" t="str">
        <f t="shared" si="45"/>
        <v>-</v>
      </c>
      <c r="BP13" s="213" t="str">
        <f t="shared" si="45"/>
        <v>-</v>
      </c>
      <c r="BQ13" s="213" t="str">
        <f t="shared" si="45"/>
        <v>-</v>
      </c>
      <c r="BR13" s="213" t="str">
        <f t="shared" si="45"/>
        <v>-</v>
      </c>
      <c r="BS13" s="213" t="str">
        <f t="shared" si="45"/>
        <v>-</v>
      </c>
      <c r="BT13" s="213" t="str">
        <f t="shared" si="45"/>
        <v>-</v>
      </c>
      <c r="BU13" s="213" t="str">
        <f t="shared" si="45"/>
        <v>-</v>
      </c>
      <c r="BV13" s="213" t="str">
        <f t="shared" si="45"/>
        <v>-</v>
      </c>
      <c r="BW13" s="213" t="str">
        <f t="shared" si="45"/>
        <v>-</v>
      </c>
      <c r="BX13" s="213" t="str">
        <f t="shared" si="45"/>
        <v>-</v>
      </c>
      <c r="BY13" s="213" t="str">
        <f t="shared" si="45"/>
        <v>-</v>
      </c>
      <c r="BZ13" s="213" t="str">
        <f t="shared" si="45"/>
        <v>-</v>
      </c>
      <c r="CA13" s="213" t="str">
        <f t="shared" si="45"/>
        <v>-</v>
      </c>
      <c r="CB13" s="213" t="str">
        <f t="shared" si="45"/>
        <v>-</v>
      </c>
      <c r="CC13" s="213" t="str">
        <f t="shared" si="45"/>
        <v>-</v>
      </c>
      <c r="CD13" s="213" t="str">
        <f t="shared" si="45"/>
        <v>-</v>
      </c>
      <c r="CE13" s="213" t="str">
        <f t="shared" si="45"/>
        <v>-</v>
      </c>
      <c r="CF13" s="213" t="str">
        <f t="shared" si="45"/>
        <v>-</v>
      </c>
      <c r="CG13" s="213" t="str">
        <f t="shared" si="45"/>
        <v>-</v>
      </c>
      <c r="CH13" s="213" t="str">
        <f t="shared" si="45"/>
        <v>-</v>
      </c>
      <c r="CI13" s="213" t="str">
        <f t="shared" si="45"/>
        <v>-</v>
      </c>
      <c r="CJ13" s="213" t="str">
        <f t="shared" si="45"/>
        <v>-</v>
      </c>
      <c r="CK13" s="213" t="str">
        <f t="shared" si="45"/>
        <v>-</v>
      </c>
      <c r="CL13" s="213" t="str">
        <f t="shared" si="45"/>
        <v>-</v>
      </c>
      <c r="CM13" s="213" t="str">
        <f t="shared" si="45"/>
        <v>-</v>
      </c>
      <c r="CN13" s="213" t="str">
        <f t="shared" si="45"/>
        <v>-</v>
      </c>
      <c r="CO13" s="213" t="str">
        <f t="shared" si="45"/>
        <v>-</v>
      </c>
      <c r="CP13" s="213" t="str">
        <f t="shared" si="45"/>
        <v>-</v>
      </c>
      <c r="CQ13" s="213" t="str">
        <f t="shared" si="45"/>
        <v>-</v>
      </c>
      <c r="CR13" s="213" t="str">
        <f t="shared" si="45"/>
        <v>-</v>
      </c>
      <c r="CS13" s="213" t="str">
        <f t="shared" si="45"/>
        <v>-</v>
      </c>
      <c r="CT13" s="213" t="str">
        <f t="shared" si="45"/>
        <v>-</v>
      </c>
      <c r="CU13" s="213" t="str">
        <f t="shared" si="45"/>
        <v>-</v>
      </c>
      <c r="CV13" s="213" t="str">
        <f t="shared" si="45"/>
        <v>-</v>
      </c>
      <c r="CW13" s="213" t="str">
        <f t="shared" si="45"/>
        <v>-</v>
      </c>
      <c r="CX13" s="213" t="str">
        <f t="shared" si="45"/>
        <v>-</v>
      </c>
      <c r="CY13" s="213" t="str">
        <f t="shared" si="45"/>
        <v>-</v>
      </c>
      <c r="CZ13" s="213" t="str">
        <f t="shared" ref="CZ13:EI13" si="46">IF(CZ16&lt;$K$5,"Lease-up",IF(CZ16=$K$5,"Stabilization","-"))</f>
        <v>-</v>
      </c>
      <c r="DA13" s="213" t="str">
        <f t="shared" si="46"/>
        <v>-</v>
      </c>
      <c r="DB13" s="213" t="str">
        <f t="shared" si="46"/>
        <v>-</v>
      </c>
      <c r="DC13" s="213" t="str">
        <f t="shared" si="46"/>
        <v>-</v>
      </c>
      <c r="DD13" s="213" t="str">
        <f t="shared" si="46"/>
        <v>-</v>
      </c>
      <c r="DE13" s="213" t="str">
        <f t="shared" si="46"/>
        <v>-</v>
      </c>
      <c r="DF13" s="213" t="str">
        <f t="shared" si="46"/>
        <v>-</v>
      </c>
      <c r="DG13" s="213" t="str">
        <f t="shared" si="46"/>
        <v>-</v>
      </c>
      <c r="DH13" s="213" t="str">
        <f t="shared" si="46"/>
        <v>-</v>
      </c>
      <c r="DI13" s="213" t="str">
        <f t="shared" si="46"/>
        <v>-</v>
      </c>
      <c r="DJ13" s="213" t="str">
        <f t="shared" si="46"/>
        <v>-</v>
      </c>
      <c r="DK13" s="213" t="str">
        <f t="shared" si="46"/>
        <v>-</v>
      </c>
      <c r="DL13" s="213" t="str">
        <f t="shared" si="46"/>
        <v>-</v>
      </c>
      <c r="DM13" s="213" t="str">
        <f t="shared" si="46"/>
        <v>-</v>
      </c>
      <c r="DN13" s="213" t="str">
        <f t="shared" si="46"/>
        <v>-</v>
      </c>
      <c r="DO13" s="213" t="str">
        <f t="shared" si="46"/>
        <v>-</v>
      </c>
      <c r="DP13" s="213" t="str">
        <f t="shared" si="46"/>
        <v>-</v>
      </c>
      <c r="DQ13" s="213" t="str">
        <f t="shared" si="46"/>
        <v>-</v>
      </c>
      <c r="DR13" s="213" t="str">
        <f t="shared" si="46"/>
        <v>-</v>
      </c>
      <c r="DS13" s="213" t="str">
        <f t="shared" si="46"/>
        <v>-</v>
      </c>
      <c r="DT13" s="213" t="str">
        <f t="shared" si="46"/>
        <v>-</v>
      </c>
      <c r="DU13" s="213" t="str">
        <f t="shared" si="46"/>
        <v>-</v>
      </c>
      <c r="DV13" s="213" t="str">
        <f t="shared" si="46"/>
        <v>-</v>
      </c>
      <c r="DW13" s="213" t="str">
        <f t="shared" si="46"/>
        <v>-</v>
      </c>
      <c r="DX13" s="213" t="str">
        <f t="shared" si="46"/>
        <v>-</v>
      </c>
      <c r="DY13" s="213" t="str">
        <f t="shared" si="46"/>
        <v>-</v>
      </c>
      <c r="DZ13" s="213" t="str">
        <f t="shared" si="46"/>
        <v>-</v>
      </c>
      <c r="EA13" s="213" t="str">
        <f t="shared" si="46"/>
        <v>-</v>
      </c>
      <c r="EB13" s="213" t="str">
        <f t="shared" si="46"/>
        <v>-</v>
      </c>
      <c r="EC13" s="213" t="str">
        <f t="shared" si="46"/>
        <v>-</v>
      </c>
      <c r="ED13" s="213" t="str">
        <f t="shared" si="46"/>
        <v>-</v>
      </c>
      <c r="EE13" s="213" t="str">
        <f t="shared" si="46"/>
        <v>-</v>
      </c>
      <c r="EF13" s="213" t="str">
        <f t="shared" si="46"/>
        <v>-</v>
      </c>
      <c r="EG13" s="213" t="str">
        <f t="shared" si="46"/>
        <v>-</v>
      </c>
      <c r="EH13" s="213" t="str">
        <f t="shared" si="46"/>
        <v>-</v>
      </c>
      <c r="EI13" s="213" t="str">
        <f t="shared" si="46"/>
        <v>-</v>
      </c>
    </row>
    <row r="14" spans="1:140" s="277" customFormat="1" ht="10.5" x14ac:dyDescent="0.45">
      <c r="H14" s="278">
        <f>YEAR(Model!H2)</f>
        <v>2025</v>
      </c>
      <c r="I14" s="278">
        <f>YEAR(Model!I2)</f>
        <v>2025</v>
      </c>
      <c r="J14" s="278">
        <f>YEAR(Model!J2)</f>
        <v>2025</v>
      </c>
      <c r="K14" s="278">
        <f>YEAR(Model!K2)</f>
        <v>2025</v>
      </c>
      <c r="L14" s="278">
        <f>YEAR(Model!L2)</f>
        <v>2025</v>
      </c>
      <c r="M14" s="278">
        <f>YEAR(Model!M2)</f>
        <v>2025</v>
      </c>
      <c r="N14" s="278">
        <f>YEAR(Model!N2)</f>
        <v>2026</v>
      </c>
      <c r="O14" s="278">
        <f>YEAR(Model!O2)</f>
        <v>2026</v>
      </c>
      <c r="P14" s="278">
        <f>YEAR(Model!P2)</f>
        <v>2026</v>
      </c>
      <c r="Q14" s="278">
        <f>YEAR(Model!Q2)</f>
        <v>2026</v>
      </c>
      <c r="R14" s="278">
        <f>YEAR(Model!R2)</f>
        <v>2026</v>
      </c>
      <c r="S14" s="278">
        <f>YEAR(Model!S2)</f>
        <v>2026</v>
      </c>
      <c r="T14" s="278">
        <f>YEAR(Model!T2)</f>
        <v>2026</v>
      </c>
      <c r="U14" s="278">
        <f>YEAR(Model!U2)</f>
        <v>2026</v>
      </c>
      <c r="V14" s="278">
        <f>YEAR(Model!V2)</f>
        <v>2026</v>
      </c>
      <c r="W14" s="278">
        <f>YEAR(Model!W2)</f>
        <v>2026</v>
      </c>
      <c r="X14" s="278">
        <f>YEAR(Model!X2)</f>
        <v>2026</v>
      </c>
      <c r="Y14" s="278">
        <f>YEAR(Model!Y2)</f>
        <v>2026</v>
      </c>
      <c r="Z14" s="278">
        <f>YEAR(Model!Z2)</f>
        <v>2027</v>
      </c>
      <c r="AA14" s="278">
        <f>YEAR(Model!AA2)</f>
        <v>2027</v>
      </c>
      <c r="AB14" s="278">
        <f>YEAR(Model!AB2)</f>
        <v>2027</v>
      </c>
      <c r="AC14" s="278">
        <f>YEAR(Model!AC2)</f>
        <v>2027</v>
      </c>
      <c r="AD14" s="278">
        <f>YEAR(Model!AD2)</f>
        <v>2027</v>
      </c>
      <c r="AE14" s="278">
        <f>YEAR(Model!AE2)</f>
        <v>2027</v>
      </c>
      <c r="AF14" s="278">
        <f>YEAR(Model!AF2)</f>
        <v>2027</v>
      </c>
      <c r="AG14" s="278">
        <f>YEAR(Model!AG2)</f>
        <v>2027</v>
      </c>
      <c r="AH14" s="278">
        <f>YEAR(Model!AH2)</f>
        <v>2027</v>
      </c>
      <c r="AI14" s="278">
        <f>YEAR(Model!AI2)</f>
        <v>2027</v>
      </c>
      <c r="AJ14" s="278">
        <f>YEAR(Model!AJ2)</f>
        <v>2027</v>
      </c>
      <c r="AK14" s="278">
        <f>YEAR(Model!AK2)</f>
        <v>2027</v>
      </c>
      <c r="AL14" s="278">
        <f>YEAR(Model!AL2)</f>
        <v>2028</v>
      </c>
      <c r="AM14" s="278">
        <f>YEAR(Model!AM2)</f>
        <v>2028</v>
      </c>
      <c r="AN14" s="278">
        <f>YEAR(Model!AN2)</f>
        <v>2028</v>
      </c>
      <c r="AO14" s="278">
        <f>YEAR(Model!AO2)</f>
        <v>2028</v>
      </c>
      <c r="AP14" s="278">
        <f>YEAR(Model!AP2)</f>
        <v>2028</v>
      </c>
      <c r="AQ14" s="278">
        <f>YEAR(Model!AQ2)</f>
        <v>2028</v>
      </c>
      <c r="AR14" s="278">
        <f>YEAR(Model!AR2)</f>
        <v>2028</v>
      </c>
      <c r="AS14" s="278">
        <f>YEAR(Model!AS2)</f>
        <v>2028</v>
      </c>
      <c r="AT14" s="278">
        <f>YEAR(Model!AT2)</f>
        <v>2028</v>
      </c>
      <c r="AU14" s="278">
        <f>YEAR(Model!AU2)</f>
        <v>2028</v>
      </c>
      <c r="AV14" s="278">
        <f>YEAR(Model!AV2)</f>
        <v>2028</v>
      </c>
      <c r="AW14" s="278">
        <f>YEAR(Model!AW2)</f>
        <v>2028</v>
      </c>
      <c r="AX14" s="278">
        <f>YEAR(Model!AX2)</f>
        <v>2029</v>
      </c>
      <c r="AY14" s="278">
        <f>YEAR(Model!AY2)</f>
        <v>2029</v>
      </c>
      <c r="AZ14" s="278">
        <f>YEAR(Model!AZ2)</f>
        <v>2029</v>
      </c>
      <c r="BA14" s="278">
        <f>YEAR(Model!BA2)</f>
        <v>2029</v>
      </c>
      <c r="BB14" s="278">
        <f>YEAR(Model!BB2)</f>
        <v>2029</v>
      </c>
      <c r="BC14" s="278">
        <f>YEAR(Model!BC2)</f>
        <v>2029</v>
      </c>
      <c r="BD14" s="278">
        <f>YEAR(Model!BD2)</f>
        <v>2029</v>
      </c>
      <c r="BE14" s="278">
        <f>YEAR(Model!BE2)</f>
        <v>2029</v>
      </c>
      <c r="BF14" s="278">
        <f>YEAR(Model!BF2)</f>
        <v>2029</v>
      </c>
      <c r="BG14" s="278">
        <f>YEAR(Model!BG2)</f>
        <v>2029</v>
      </c>
      <c r="BH14" s="278">
        <f>YEAR(Model!BH2)</f>
        <v>2029</v>
      </c>
      <c r="BI14" s="278">
        <f>YEAR(Model!BI2)</f>
        <v>2029</v>
      </c>
      <c r="BJ14" s="278">
        <f>YEAR(Model!BJ2)</f>
        <v>2030</v>
      </c>
      <c r="BK14" s="278">
        <f>YEAR(Model!BK2)</f>
        <v>2030</v>
      </c>
      <c r="BL14" s="278">
        <f>YEAR(Model!BL2)</f>
        <v>2030</v>
      </c>
      <c r="BM14" s="278">
        <f>YEAR(Model!BM2)</f>
        <v>2030</v>
      </c>
      <c r="BN14" s="278">
        <f>YEAR(Model!BN2)</f>
        <v>2030</v>
      </c>
      <c r="BO14" s="278">
        <f>YEAR(Model!BO2)</f>
        <v>2030</v>
      </c>
      <c r="BP14" s="278">
        <f>YEAR(Model!BP2)</f>
        <v>2030</v>
      </c>
      <c r="BQ14" s="278">
        <f>YEAR(Model!BQ2)</f>
        <v>2030</v>
      </c>
      <c r="BR14" s="278">
        <f>YEAR(Model!BR2)</f>
        <v>2030</v>
      </c>
      <c r="BS14" s="278">
        <f>YEAR(Model!BS2)</f>
        <v>2030</v>
      </c>
      <c r="BT14" s="278">
        <f>YEAR(Model!BT2)</f>
        <v>2030</v>
      </c>
      <c r="BU14" s="278">
        <f>YEAR(Model!BU2)</f>
        <v>2030</v>
      </c>
      <c r="BV14" s="278">
        <f>YEAR(Model!BV2)</f>
        <v>2031</v>
      </c>
      <c r="BW14" s="278">
        <f>YEAR(Model!BW2)</f>
        <v>2031</v>
      </c>
      <c r="BX14" s="278">
        <f>YEAR(Model!BX2)</f>
        <v>2031</v>
      </c>
      <c r="BY14" s="278">
        <f>YEAR(Model!BY2)</f>
        <v>2031</v>
      </c>
      <c r="BZ14" s="278">
        <f>YEAR(Model!BZ2)</f>
        <v>2031</v>
      </c>
      <c r="CA14" s="278">
        <f>YEAR(Model!CA2)</f>
        <v>2031</v>
      </c>
      <c r="CB14" s="278">
        <f>YEAR(Model!CB2)</f>
        <v>2031</v>
      </c>
      <c r="CC14" s="278">
        <f>YEAR(Model!CC2)</f>
        <v>2031</v>
      </c>
      <c r="CD14" s="278">
        <f>YEAR(Model!CD2)</f>
        <v>2031</v>
      </c>
      <c r="CE14" s="278">
        <f>YEAR(Model!CE2)</f>
        <v>2031</v>
      </c>
      <c r="CF14" s="278">
        <f>YEAR(Model!CF2)</f>
        <v>2031</v>
      </c>
      <c r="CG14" s="278">
        <f>YEAR(Model!CG2)</f>
        <v>2031</v>
      </c>
      <c r="CH14" s="278">
        <f>YEAR(Model!CH2)</f>
        <v>2032</v>
      </c>
      <c r="CI14" s="278">
        <f>YEAR(Model!CI2)</f>
        <v>2032</v>
      </c>
      <c r="CJ14" s="278">
        <f>YEAR(Model!CJ2)</f>
        <v>2032</v>
      </c>
      <c r="CK14" s="278">
        <f>YEAR(Model!CK2)</f>
        <v>2032</v>
      </c>
      <c r="CL14" s="278">
        <f>YEAR(Model!CL2)</f>
        <v>2032</v>
      </c>
      <c r="CM14" s="278">
        <f>YEAR(Model!CM2)</f>
        <v>2032</v>
      </c>
      <c r="CN14" s="278">
        <f>YEAR(Model!CN2)</f>
        <v>2032</v>
      </c>
      <c r="CO14" s="278">
        <f>YEAR(Model!CO2)</f>
        <v>2032</v>
      </c>
      <c r="CP14" s="278">
        <f>YEAR(Model!CP2)</f>
        <v>2032</v>
      </c>
      <c r="CQ14" s="278">
        <f>YEAR(Model!CQ2)</f>
        <v>2032</v>
      </c>
      <c r="CR14" s="278">
        <f>YEAR(Model!CR2)</f>
        <v>2032</v>
      </c>
      <c r="CS14" s="278">
        <f>YEAR(Model!CS2)</f>
        <v>2032</v>
      </c>
      <c r="CT14" s="278">
        <f>YEAR(Model!CT2)</f>
        <v>2033</v>
      </c>
      <c r="CU14" s="278">
        <f>YEAR(Model!CU2)</f>
        <v>2033</v>
      </c>
      <c r="CV14" s="278">
        <f>YEAR(Model!CV2)</f>
        <v>2033</v>
      </c>
      <c r="CW14" s="278">
        <f>YEAR(Model!CW2)</f>
        <v>2033</v>
      </c>
      <c r="CX14" s="278">
        <f>YEAR(Model!CX2)</f>
        <v>2033</v>
      </c>
      <c r="CY14" s="278">
        <f>YEAR(Model!CY2)</f>
        <v>2033</v>
      </c>
      <c r="CZ14" s="278">
        <f>YEAR(Model!CZ2)</f>
        <v>2033</v>
      </c>
      <c r="DA14" s="278">
        <f>YEAR(Model!DA2)</f>
        <v>2033</v>
      </c>
      <c r="DB14" s="278">
        <f>YEAR(Model!DB2)</f>
        <v>2033</v>
      </c>
      <c r="DC14" s="278">
        <f>YEAR(Model!DC2)</f>
        <v>2033</v>
      </c>
      <c r="DD14" s="278">
        <f>YEAR(Model!DD2)</f>
        <v>2033</v>
      </c>
      <c r="DE14" s="278">
        <f>YEAR(Model!DE2)</f>
        <v>2033</v>
      </c>
      <c r="DF14" s="278">
        <f>YEAR(Model!DF2)</f>
        <v>2034</v>
      </c>
      <c r="DG14" s="278">
        <f>YEAR(Model!DG2)</f>
        <v>2034</v>
      </c>
      <c r="DH14" s="278">
        <f>YEAR(Model!DH2)</f>
        <v>2034</v>
      </c>
      <c r="DI14" s="278">
        <f>YEAR(Model!DI2)</f>
        <v>2034</v>
      </c>
      <c r="DJ14" s="278">
        <f>YEAR(Model!DJ2)</f>
        <v>2034</v>
      </c>
      <c r="DK14" s="278">
        <f>YEAR(Model!DK2)</f>
        <v>2034</v>
      </c>
      <c r="DL14" s="278">
        <f>YEAR(Model!DL2)</f>
        <v>2034</v>
      </c>
      <c r="DM14" s="278">
        <f>YEAR(Model!DM2)</f>
        <v>2034</v>
      </c>
      <c r="DN14" s="278">
        <f>YEAR(Model!DN2)</f>
        <v>2034</v>
      </c>
      <c r="DO14" s="278">
        <f>YEAR(Model!DO2)</f>
        <v>2034</v>
      </c>
      <c r="DP14" s="278">
        <f>YEAR(Model!DP2)</f>
        <v>2034</v>
      </c>
      <c r="DQ14" s="278">
        <f>YEAR(Model!DQ2)</f>
        <v>2034</v>
      </c>
      <c r="DR14" s="278">
        <f>YEAR(Model!DR2)</f>
        <v>2035</v>
      </c>
      <c r="DS14" s="278">
        <f>YEAR(Model!DS2)</f>
        <v>2035</v>
      </c>
      <c r="DT14" s="278">
        <f>YEAR(Model!DT2)</f>
        <v>2035</v>
      </c>
      <c r="DU14" s="278">
        <f>YEAR(Model!DU2)</f>
        <v>2035</v>
      </c>
      <c r="DV14" s="278">
        <f>YEAR(Model!DV2)</f>
        <v>2035</v>
      </c>
      <c r="DW14" s="278" t="e">
        <f>YEAR(Model!#REF!)</f>
        <v>#REF!</v>
      </c>
      <c r="DX14" s="278">
        <f>YEAR(Model!EJ2)</f>
        <v>1900</v>
      </c>
      <c r="DY14" s="278">
        <f>YEAR(Model!EK2)</f>
        <v>1900</v>
      </c>
      <c r="DZ14" s="278">
        <f>YEAR(Model!EL2)</f>
        <v>1900</v>
      </c>
      <c r="EA14" s="278" t="e">
        <f>YEAR(Model!EM2)</f>
        <v>#VALUE!</v>
      </c>
      <c r="EB14" s="278">
        <f>YEAR(Model!EN2)</f>
        <v>1900</v>
      </c>
      <c r="EC14" s="278">
        <f>YEAR(Model!EO2)</f>
        <v>1900</v>
      </c>
      <c r="ED14" s="278">
        <f>YEAR(Model!EP2)</f>
        <v>1900</v>
      </c>
      <c r="EE14" s="278">
        <f>YEAR(Model!EQ2)</f>
        <v>1900</v>
      </c>
      <c r="EF14" s="278">
        <f>YEAR(Model!ER2)</f>
        <v>1900</v>
      </c>
      <c r="EG14" s="278">
        <f>YEAR(Model!ES2)</f>
        <v>1900</v>
      </c>
      <c r="EH14" s="278">
        <f>YEAR(Model!ET2)</f>
        <v>1900</v>
      </c>
      <c r="EI14" s="278">
        <f>YEAR(Model!EU2)</f>
        <v>1900</v>
      </c>
    </row>
    <row r="15" spans="1:140" s="277" customFormat="1" ht="10.5" x14ac:dyDescent="0.45">
      <c r="H15" s="379">
        <f>+ROUNDUP(H16/12,0)</f>
        <v>1</v>
      </c>
      <c r="I15" s="379">
        <f t="shared" ref="I15:BT15" si="47">+ROUNDUP(I16/12,0)</f>
        <v>1</v>
      </c>
      <c r="J15" s="379">
        <f t="shared" si="47"/>
        <v>1</v>
      </c>
      <c r="K15" s="379">
        <f t="shared" si="47"/>
        <v>1</v>
      </c>
      <c r="L15" s="379">
        <f t="shared" si="47"/>
        <v>1</v>
      </c>
      <c r="M15" s="379">
        <f t="shared" si="47"/>
        <v>1</v>
      </c>
      <c r="N15" s="379">
        <f t="shared" si="47"/>
        <v>1</v>
      </c>
      <c r="O15" s="379">
        <f t="shared" si="47"/>
        <v>1</v>
      </c>
      <c r="P15" s="379">
        <f t="shared" si="47"/>
        <v>1</v>
      </c>
      <c r="Q15" s="379">
        <f t="shared" si="47"/>
        <v>1</v>
      </c>
      <c r="R15" s="379">
        <f t="shared" si="47"/>
        <v>1</v>
      </c>
      <c r="S15" s="379">
        <f t="shared" si="47"/>
        <v>1</v>
      </c>
      <c r="T15" s="379">
        <f t="shared" si="47"/>
        <v>2</v>
      </c>
      <c r="U15" s="379">
        <f t="shared" si="47"/>
        <v>2</v>
      </c>
      <c r="V15" s="379">
        <f t="shared" si="47"/>
        <v>2</v>
      </c>
      <c r="W15" s="379">
        <f t="shared" si="47"/>
        <v>2</v>
      </c>
      <c r="X15" s="379">
        <f t="shared" si="47"/>
        <v>2</v>
      </c>
      <c r="Y15" s="379">
        <f t="shared" si="47"/>
        <v>2</v>
      </c>
      <c r="Z15" s="379">
        <f t="shared" si="47"/>
        <v>2</v>
      </c>
      <c r="AA15" s="379">
        <f t="shared" si="47"/>
        <v>2</v>
      </c>
      <c r="AB15" s="379">
        <f t="shared" si="47"/>
        <v>2</v>
      </c>
      <c r="AC15" s="379">
        <f t="shared" si="47"/>
        <v>2</v>
      </c>
      <c r="AD15" s="379">
        <f t="shared" si="47"/>
        <v>2</v>
      </c>
      <c r="AE15" s="379">
        <f t="shared" si="47"/>
        <v>2</v>
      </c>
      <c r="AF15" s="379">
        <f t="shared" si="47"/>
        <v>3</v>
      </c>
      <c r="AG15" s="379">
        <f t="shared" si="47"/>
        <v>3</v>
      </c>
      <c r="AH15" s="379">
        <f t="shared" si="47"/>
        <v>3</v>
      </c>
      <c r="AI15" s="379">
        <f t="shared" si="47"/>
        <v>3</v>
      </c>
      <c r="AJ15" s="379">
        <f t="shared" si="47"/>
        <v>3</v>
      </c>
      <c r="AK15" s="379">
        <f t="shared" si="47"/>
        <v>3</v>
      </c>
      <c r="AL15" s="379">
        <f t="shared" si="47"/>
        <v>3</v>
      </c>
      <c r="AM15" s="379">
        <f t="shared" si="47"/>
        <v>3</v>
      </c>
      <c r="AN15" s="379">
        <f t="shared" si="47"/>
        <v>3</v>
      </c>
      <c r="AO15" s="379">
        <f t="shared" si="47"/>
        <v>3</v>
      </c>
      <c r="AP15" s="379">
        <f t="shared" si="47"/>
        <v>3</v>
      </c>
      <c r="AQ15" s="379">
        <f t="shared" si="47"/>
        <v>3</v>
      </c>
      <c r="AR15" s="379">
        <f t="shared" si="47"/>
        <v>4</v>
      </c>
      <c r="AS15" s="379">
        <f t="shared" si="47"/>
        <v>4</v>
      </c>
      <c r="AT15" s="379">
        <f t="shared" si="47"/>
        <v>4</v>
      </c>
      <c r="AU15" s="379">
        <f t="shared" si="47"/>
        <v>4</v>
      </c>
      <c r="AV15" s="379">
        <f t="shared" si="47"/>
        <v>4</v>
      </c>
      <c r="AW15" s="379">
        <f t="shared" si="47"/>
        <v>4</v>
      </c>
      <c r="AX15" s="379">
        <f t="shared" si="47"/>
        <v>4</v>
      </c>
      <c r="AY15" s="379">
        <f t="shared" si="47"/>
        <v>4</v>
      </c>
      <c r="AZ15" s="379">
        <f t="shared" si="47"/>
        <v>4</v>
      </c>
      <c r="BA15" s="379">
        <f t="shared" si="47"/>
        <v>4</v>
      </c>
      <c r="BB15" s="379">
        <f t="shared" si="47"/>
        <v>4</v>
      </c>
      <c r="BC15" s="379">
        <f t="shared" si="47"/>
        <v>4</v>
      </c>
      <c r="BD15" s="379">
        <f t="shared" si="47"/>
        <v>5</v>
      </c>
      <c r="BE15" s="379">
        <f t="shared" si="47"/>
        <v>5</v>
      </c>
      <c r="BF15" s="379">
        <f t="shared" si="47"/>
        <v>5</v>
      </c>
      <c r="BG15" s="379">
        <f t="shared" si="47"/>
        <v>5</v>
      </c>
      <c r="BH15" s="379">
        <f t="shared" si="47"/>
        <v>5</v>
      </c>
      <c r="BI15" s="379">
        <f t="shared" si="47"/>
        <v>5</v>
      </c>
      <c r="BJ15" s="379">
        <f t="shared" si="47"/>
        <v>5</v>
      </c>
      <c r="BK15" s="379">
        <f t="shared" si="47"/>
        <v>5</v>
      </c>
      <c r="BL15" s="379">
        <f t="shared" si="47"/>
        <v>5</v>
      </c>
      <c r="BM15" s="379">
        <f t="shared" si="47"/>
        <v>5</v>
      </c>
      <c r="BN15" s="379">
        <f t="shared" si="47"/>
        <v>5</v>
      </c>
      <c r="BO15" s="379">
        <f t="shared" si="47"/>
        <v>5</v>
      </c>
      <c r="BP15" s="379">
        <f t="shared" si="47"/>
        <v>6</v>
      </c>
      <c r="BQ15" s="379">
        <f t="shared" si="47"/>
        <v>6</v>
      </c>
      <c r="BR15" s="379">
        <f t="shared" si="47"/>
        <v>6</v>
      </c>
      <c r="BS15" s="379">
        <f t="shared" si="47"/>
        <v>6</v>
      </c>
      <c r="BT15" s="379">
        <f t="shared" si="47"/>
        <v>6</v>
      </c>
      <c r="BU15" s="379">
        <f t="shared" ref="BU15:EF15" si="48">+ROUNDUP(BU16/12,0)</f>
        <v>6</v>
      </c>
      <c r="BV15" s="379">
        <f t="shared" si="48"/>
        <v>6</v>
      </c>
      <c r="BW15" s="379">
        <f t="shared" si="48"/>
        <v>6</v>
      </c>
      <c r="BX15" s="379">
        <f t="shared" si="48"/>
        <v>6</v>
      </c>
      <c r="BY15" s="379">
        <f t="shared" si="48"/>
        <v>6</v>
      </c>
      <c r="BZ15" s="379">
        <f t="shared" si="48"/>
        <v>6</v>
      </c>
      <c r="CA15" s="379">
        <f t="shared" si="48"/>
        <v>6</v>
      </c>
      <c r="CB15" s="379">
        <f t="shared" si="48"/>
        <v>7</v>
      </c>
      <c r="CC15" s="379">
        <f t="shared" si="48"/>
        <v>7</v>
      </c>
      <c r="CD15" s="379">
        <f t="shared" si="48"/>
        <v>7</v>
      </c>
      <c r="CE15" s="379">
        <f t="shared" si="48"/>
        <v>7</v>
      </c>
      <c r="CF15" s="379">
        <f t="shared" si="48"/>
        <v>7</v>
      </c>
      <c r="CG15" s="379">
        <f t="shared" si="48"/>
        <v>7</v>
      </c>
      <c r="CH15" s="379">
        <f t="shared" si="48"/>
        <v>7</v>
      </c>
      <c r="CI15" s="379">
        <f t="shared" si="48"/>
        <v>7</v>
      </c>
      <c r="CJ15" s="379">
        <f t="shared" si="48"/>
        <v>7</v>
      </c>
      <c r="CK15" s="379">
        <f t="shared" si="48"/>
        <v>7</v>
      </c>
      <c r="CL15" s="379">
        <f t="shared" si="48"/>
        <v>7</v>
      </c>
      <c r="CM15" s="379">
        <f t="shared" si="48"/>
        <v>7</v>
      </c>
      <c r="CN15" s="379">
        <f t="shared" si="48"/>
        <v>8</v>
      </c>
      <c r="CO15" s="379">
        <f t="shared" si="48"/>
        <v>8</v>
      </c>
      <c r="CP15" s="379">
        <f t="shared" si="48"/>
        <v>8</v>
      </c>
      <c r="CQ15" s="379">
        <f t="shared" si="48"/>
        <v>8</v>
      </c>
      <c r="CR15" s="379">
        <f t="shared" si="48"/>
        <v>8</v>
      </c>
      <c r="CS15" s="379">
        <f t="shared" si="48"/>
        <v>8</v>
      </c>
      <c r="CT15" s="379">
        <f t="shared" si="48"/>
        <v>8</v>
      </c>
      <c r="CU15" s="379">
        <f t="shared" si="48"/>
        <v>8</v>
      </c>
      <c r="CV15" s="379">
        <f t="shared" si="48"/>
        <v>8</v>
      </c>
      <c r="CW15" s="379">
        <f t="shared" si="48"/>
        <v>8</v>
      </c>
      <c r="CX15" s="379">
        <f t="shared" si="48"/>
        <v>8</v>
      </c>
      <c r="CY15" s="379">
        <f t="shared" si="48"/>
        <v>8</v>
      </c>
      <c r="CZ15" s="379">
        <f t="shared" si="48"/>
        <v>9</v>
      </c>
      <c r="DA15" s="379">
        <f t="shared" si="48"/>
        <v>9</v>
      </c>
      <c r="DB15" s="379">
        <f t="shared" si="48"/>
        <v>9</v>
      </c>
      <c r="DC15" s="379">
        <f t="shared" si="48"/>
        <v>9</v>
      </c>
      <c r="DD15" s="379">
        <f t="shared" si="48"/>
        <v>9</v>
      </c>
      <c r="DE15" s="379">
        <f t="shared" si="48"/>
        <v>9</v>
      </c>
      <c r="DF15" s="379">
        <f t="shared" si="48"/>
        <v>9</v>
      </c>
      <c r="DG15" s="379">
        <f t="shared" si="48"/>
        <v>9</v>
      </c>
      <c r="DH15" s="379">
        <f t="shared" si="48"/>
        <v>9</v>
      </c>
      <c r="DI15" s="379">
        <f t="shared" si="48"/>
        <v>9</v>
      </c>
      <c r="DJ15" s="379">
        <f t="shared" si="48"/>
        <v>9</v>
      </c>
      <c r="DK15" s="379">
        <f t="shared" si="48"/>
        <v>9</v>
      </c>
      <c r="DL15" s="379">
        <f t="shared" si="48"/>
        <v>10</v>
      </c>
      <c r="DM15" s="379">
        <f t="shared" si="48"/>
        <v>10</v>
      </c>
      <c r="DN15" s="379">
        <f t="shared" si="48"/>
        <v>10</v>
      </c>
      <c r="DO15" s="379">
        <f t="shared" si="48"/>
        <v>10</v>
      </c>
      <c r="DP15" s="379">
        <f t="shared" si="48"/>
        <v>10</v>
      </c>
      <c r="DQ15" s="379">
        <f t="shared" si="48"/>
        <v>10</v>
      </c>
      <c r="DR15" s="379">
        <f t="shared" si="48"/>
        <v>10</v>
      </c>
      <c r="DS15" s="379">
        <f t="shared" si="48"/>
        <v>10</v>
      </c>
      <c r="DT15" s="379">
        <f t="shared" si="48"/>
        <v>10</v>
      </c>
      <c r="DU15" s="379">
        <f t="shared" si="48"/>
        <v>10</v>
      </c>
      <c r="DV15" s="379">
        <f t="shared" si="48"/>
        <v>10</v>
      </c>
      <c r="DW15" s="379">
        <f t="shared" si="48"/>
        <v>10</v>
      </c>
      <c r="DX15" s="379">
        <f t="shared" si="48"/>
        <v>11</v>
      </c>
      <c r="DY15" s="379">
        <f t="shared" si="48"/>
        <v>11</v>
      </c>
      <c r="DZ15" s="379">
        <f t="shared" si="48"/>
        <v>11</v>
      </c>
      <c r="EA15" s="379">
        <f t="shared" si="48"/>
        <v>11</v>
      </c>
      <c r="EB15" s="379">
        <f t="shared" si="48"/>
        <v>11</v>
      </c>
      <c r="EC15" s="379">
        <f t="shared" si="48"/>
        <v>11</v>
      </c>
      <c r="ED15" s="379">
        <f t="shared" si="48"/>
        <v>11</v>
      </c>
      <c r="EE15" s="379">
        <f t="shared" si="48"/>
        <v>11</v>
      </c>
      <c r="EF15" s="379">
        <f t="shared" si="48"/>
        <v>11</v>
      </c>
      <c r="EG15" s="379">
        <f t="shared" ref="EG15:EI15" si="49">+ROUNDUP(EG16/12,0)</f>
        <v>11</v>
      </c>
      <c r="EH15" s="379">
        <f t="shared" si="49"/>
        <v>11</v>
      </c>
      <c r="EI15" s="379">
        <f t="shared" si="49"/>
        <v>11</v>
      </c>
    </row>
    <row r="16" spans="1:140" x14ac:dyDescent="0.45">
      <c r="B16" s="60"/>
      <c r="C16" s="60"/>
      <c r="D16" s="60"/>
      <c r="E16" s="60"/>
      <c r="F16" s="60"/>
      <c r="G16" s="60"/>
      <c r="H16" s="212">
        <v>1</v>
      </c>
      <c r="I16" s="61">
        <f>+H16+1</f>
        <v>2</v>
      </c>
      <c r="J16" s="61">
        <f t="shared" ref="J16:BB16" si="50">+I16+1</f>
        <v>3</v>
      </c>
      <c r="K16" s="61">
        <f t="shared" si="50"/>
        <v>4</v>
      </c>
      <c r="L16" s="61">
        <f t="shared" si="50"/>
        <v>5</v>
      </c>
      <c r="M16" s="61">
        <f t="shared" si="50"/>
        <v>6</v>
      </c>
      <c r="N16" s="61">
        <f t="shared" si="50"/>
        <v>7</v>
      </c>
      <c r="O16" s="61">
        <f t="shared" si="50"/>
        <v>8</v>
      </c>
      <c r="P16" s="61">
        <f t="shared" si="50"/>
        <v>9</v>
      </c>
      <c r="Q16" s="61">
        <f t="shared" si="50"/>
        <v>10</v>
      </c>
      <c r="R16" s="61">
        <f t="shared" si="50"/>
        <v>11</v>
      </c>
      <c r="S16" s="61">
        <f t="shared" si="50"/>
        <v>12</v>
      </c>
      <c r="T16" s="61">
        <f t="shared" si="50"/>
        <v>13</v>
      </c>
      <c r="U16" s="61">
        <f t="shared" si="50"/>
        <v>14</v>
      </c>
      <c r="V16" s="61">
        <f t="shared" si="50"/>
        <v>15</v>
      </c>
      <c r="W16" s="61">
        <f t="shared" si="50"/>
        <v>16</v>
      </c>
      <c r="X16" s="61">
        <f t="shared" si="50"/>
        <v>17</v>
      </c>
      <c r="Y16" s="61">
        <f t="shared" si="50"/>
        <v>18</v>
      </c>
      <c r="Z16" s="61">
        <f t="shared" si="50"/>
        <v>19</v>
      </c>
      <c r="AA16" s="61">
        <f t="shared" si="50"/>
        <v>20</v>
      </c>
      <c r="AB16" s="61">
        <f t="shared" si="50"/>
        <v>21</v>
      </c>
      <c r="AC16" s="61">
        <f t="shared" si="50"/>
        <v>22</v>
      </c>
      <c r="AD16" s="61">
        <f t="shared" si="50"/>
        <v>23</v>
      </c>
      <c r="AE16" s="61">
        <f t="shared" si="50"/>
        <v>24</v>
      </c>
      <c r="AF16" s="61">
        <f t="shared" si="50"/>
        <v>25</v>
      </c>
      <c r="AG16" s="61">
        <f t="shared" si="50"/>
        <v>26</v>
      </c>
      <c r="AH16" s="61">
        <f t="shared" si="50"/>
        <v>27</v>
      </c>
      <c r="AI16" s="61">
        <f t="shared" si="50"/>
        <v>28</v>
      </c>
      <c r="AJ16" s="61">
        <f t="shared" si="50"/>
        <v>29</v>
      </c>
      <c r="AK16" s="61">
        <f t="shared" si="50"/>
        <v>30</v>
      </c>
      <c r="AL16" s="61">
        <f t="shared" si="50"/>
        <v>31</v>
      </c>
      <c r="AM16" s="61">
        <f t="shared" si="50"/>
        <v>32</v>
      </c>
      <c r="AN16" s="61">
        <f t="shared" si="50"/>
        <v>33</v>
      </c>
      <c r="AO16" s="61">
        <f t="shared" si="50"/>
        <v>34</v>
      </c>
      <c r="AP16" s="61">
        <f t="shared" si="50"/>
        <v>35</v>
      </c>
      <c r="AQ16" s="61">
        <f t="shared" si="50"/>
        <v>36</v>
      </c>
      <c r="AR16" s="61">
        <f t="shared" si="50"/>
        <v>37</v>
      </c>
      <c r="AS16" s="61">
        <f t="shared" si="50"/>
        <v>38</v>
      </c>
      <c r="AT16" s="61">
        <f t="shared" si="50"/>
        <v>39</v>
      </c>
      <c r="AU16" s="61">
        <f t="shared" si="50"/>
        <v>40</v>
      </c>
      <c r="AV16" s="61">
        <f t="shared" si="50"/>
        <v>41</v>
      </c>
      <c r="AW16" s="61">
        <f t="shared" si="50"/>
        <v>42</v>
      </c>
      <c r="AX16" s="61">
        <f t="shared" si="50"/>
        <v>43</v>
      </c>
      <c r="AY16" s="61">
        <f t="shared" si="50"/>
        <v>44</v>
      </c>
      <c r="AZ16" s="61">
        <f t="shared" si="50"/>
        <v>45</v>
      </c>
      <c r="BA16" s="61">
        <f t="shared" si="50"/>
        <v>46</v>
      </c>
      <c r="BB16" s="61">
        <f t="shared" si="50"/>
        <v>47</v>
      </c>
      <c r="BC16" s="61">
        <f t="shared" ref="BC16" si="51">+BB16+1</f>
        <v>48</v>
      </c>
      <c r="BD16" s="61">
        <f t="shared" ref="BD16" si="52">+BC16+1</f>
        <v>49</v>
      </c>
      <c r="BE16" s="61">
        <f t="shared" ref="BE16" si="53">+BD16+1</f>
        <v>50</v>
      </c>
      <c r="BF16" s="61">
        <f t="shared" ref="BF16" si="54">+BE16+1</f>
        <v>51</v>
      </c>
      <c r="BG16" s="61">
        <f t="shared" ref="BG16" si="55">+BF16+1</f>
        <v>52</v>
      </c>
      <c r="BH16" s="61">
        <f t="shared" ref="BH16" si="56">+BG16+1</f>
        <v>53</v>
      </c>
      <c r="BI16" s="61">
        <f t="shared" ref="BI16" si="57">+BH16+1</f>
        <v>54</v>
      </c>
      <c r="BJ16" s="61">
        <f t="shared" ref="BJ16" si="58">+BI16+1</f>
        <v>55</v>
      </c>
      <c r="BK16" s="61">
        <f t="shared" ref="BK16" si="59">+BJ16+1</f>
        <v>56</v>
      </c>
      <c r="BL16" s="61">
        <f t="shared" ref="BL16" si="60">+BK16+1</f>
        <v>57</v>
      </c>
      <c r="BM16" s="61">
        <f t="shared" ref="BM16" si="61">+BL16+1</f>
        <v>58</v>
      </c>
      <c r="BN16" s="61">
        <f t="shared" ref="BN16" si="62">+BM16+1</f>
        <v>59</v>
      </c>
      <c r="BO16" s="61">
        <f t="shared" ref="BO16" si="63">+BN16+1</f>
        <v>60</v>
      </c>
      <c r="BP16" s="61">
        <f t="shared" ref="BP16" si="64">+BO16+1</f>
        <v>61</v>
      </c>
      <c r="BQ16" s="61">
        <f t="shared" ref="BQ16" si="65">+BP16+1</f>
        <v>62</v>
      </c>
      <c r="BR16" s="61">
        <f t="shared" ref="BR16" si="66">+BQ16+1</f>
        <v>63</v>
      </c>
      <c r="BS16" s="61">
        <f t="shared" ref="BS16" si="67">+BR16+1</f>
        <v>64</v>
      </c>
      <c r="BT16" s="61">
        <f t="shared" ref="BT16" si="68">+BS16+1</f>
        <v>65</v>
      </c>
      <c r="BU16" s="61">
        <f t="shared" ref="BU16" si="69">+BT16+1</f>
        <v>66</v>
      </c>
      <c r="BV16" s="61">
        <f t="shared" ref="BV16" si="70">+BU16+1</f>
        <v>67</v>
      </c>
      <c r="BW16" s="61">
        <f t="shared" ref="BW16" si="71">+BV16+1</f>
        <v>68</v>
      </c>
      <c r="BX16" s="61">
        <f t="shared" ref="BX16" si="72">+BW16+1</f>
        <v>69</v>
      </c>
      <c r="BY16" s="61">
        <f t="shared" ref="BY16" si="73">+BX16+1</f>
        <v>70</v>
      </c>
      <c r="BZ16" s="61">
        <f t="shared" ref="BZ16" si="74">+BY16+1</f>
        <v>71</v>
      </c>
      <c r="CA16" s="61">
        <f t="shared" ref="CA16" si="75">+BZ16+1</f>
        <v>72</v>
      </c>
      <c r="CB16" s="61">
        <f t="shared" ref="CB16" si="76">+CA16+1</f>
        <v>73</v>
      </c>
      <c r="CC16" s="61">
        <f t="shared" ref="CC16" si="77">+CB16+1</f>
        <v>74</v>
      </c>
      <c r="CD16" s="61">
        <f t="shared" ref="CD16" si="78">+CC16+1</f>
        <v>75</v>
      </c>
      <c r="CE16" s="61">
        <f t="shared" ref="CE16" si="79">+CD16+1</f>
        <v>76</v>
      </c>
      <c r="CF16" s="61">
        <f t="shared" ref="CF16" si="80">+CE16+1</f>
        <v>77</v>
      </c>
      <c r="CG16" s="61">
        <f t="shared" ref="CG16" si="81">+CF16+1</f>
        <v>78</v>
      </c>
      <c r="CH16" s="61">
        <f t="shared" ref="CH16" si="82">+CG16+1</f>
        <v>79</v>
      </c>
      <c r="CI16" s="61">
        <f t="shared" ref="CI16" si="83">+CH16+1</f>
        <v>80</v>
      </c>
      <c r="CJ16" s="61">
        <f t="shared" ref="CJ16" si="84">+CI16+1</f>
        <v>81</v>
      </c>
      <c r="CK16" s="61">
        <f t="shared" ref="CK16" si="85">+CJ16+1</f>
        <v>82</v>
      </c>
      <c r="CL16" s="61">
        <f t="shared" ref="CL16" si="86">+CK16+1</f>
        <v>83</v>
      </c>
      <c r="CM16" s="61">
        <f t="shared" ref="CM16" si="87">+CL16+1</f>
        <v>84</v>
      </c>
      <c r="CN16" s="61">
        <f t="shared" ref="CN16" si="88">+CM16+1</f>
        <v>85</v>
      </c>
      <c r="CO16" s="61">
        <f t="shared" ref="CO16" si="89">+CN16+1</f>
        <v>86</v>
      </c>
      <c r="CP16" s="61">
        <f t="shared" ref="CP16" si="90">+CO16+1</f>
        <v>87</v>
      </c>
      <c r="CQ16" s="61">
        <f t="shared" ref="CQ16" si="91">+CP16+1</f>
        <v>88</v>
      </c>
      <c r="CR16" s="61">
        <f t="shared" ref="CR16" si="92">+CQ16+1</f>
        <v>89</v>
      </c>
      <c r="CS16" s="61">
        <f t="shared" ref="CS16" si="93">+CR16+1</f>
        <v>90</v>
      </c>
      <c r="CT16" s="61">
        <f t="shared" ref="CT16" si="94">+CS16+1</f>
        <v>91</v>
      </c>
      <c r="CU16" s="61">
        <f t="shared" ref="CU16" si="95">+CT16+1</f>
        <v>92</v>
      </c>
      <c r="CV16" s="61">
        <f t="shared" ref="CV16" si="96">+CU16+1</f>
        <v>93</v>
      </c>
      <c r="CW16" s="61">
        <f t="shared" ref="CW16" si="97">+CV16+1</f>
        <v>94</v>
      </c>
      <c r="CX16" s="61">
        <f t="shared" ref="CX16" si="98">+CW16+1</f>
        <v>95</v>
      </c>
      <c r="CY16" s="61">
        <f t="shared" ref="CY16" si="99">+CX16+1</f>
        <v>96</v>
      </c>
      <c r="CZ16" s="61">
        <f t="shared" ref="CZ16" si="100">+CY16+1</f>
        <v>97</v>
      </c>
      <c r="DA16" s="61">
        <f t="shared" ref="DA16" si="101">+CZ16+1</f>
        <v>98</v>
      </c>
      <c r="DB16" s="61">
        <f t="shared" ref="DB16" si="102">+DA16+1</f>
        <v>99</v>
      </c>
      <c r="DC16" s="61">
        <f t="shared" ref="DC16" si="103">+DB16+1</f>
        <v>100</v>
      </c>
      <c r="DD16" s="61">
        <f t="shared" ref="DD16" si="104">+DC16+1</f>
        <v>101</v>
      </c>
      <c r="DE16" s="61">
        <f t="shared" ref="DE16" si="105">+DD16+1</f>
        <v>102</v>
      </c>
      <c r="DF16" s="61">
        <f t="shared" ref="DF16" si="106">+DE16+1</f>
        <v>103</v>
      </c>
      <c r="DG16" s="61">
        <f t="shared" ref="DG16" si="107">+DF16+1</f>
        <v>104</v>
      </c>
      <c r="DH16" s="61">
        <f t="shared" ref="DH16" si="108">+DG16+1</f>
        <v>105</v>
      </c>
      <c r="DI16" s="61">
        <f t="shared" ref="DI16" si="109">+DH16+1</f>
        <v>106</v>
      </c>
      <c r="DJ16" s="61">
        <f t="shared" ref="DJ16" si="110">+DI16+1</f>
        <v>107</v>
      </c>
      <c r="DK16" s="61">
        <f t="shared" ref="DK16" si="111">+DJ16+1</f>
        <v>108</v>
      </c>
      <c r="DL16" s="61">
        <f t="shared" ref="DL16" si="112">+DK16+1</f>
        <v>109</v>
      </c>
      <c r="DM16" s="61">
        <f t="shared" ref="DM16" si="113">+DL16+1</f>
        <v>110</v>
      </c>
      <c r="DN16" s="61">
        <f t="shared" ref="DN16" si="114">+DM16+1</f>
        <v>111</v>
      </c>
      <c r="DO16" s="61">
        <f t="shared" ref="DO16" si="115">+DN16+1</f>
        <v>112</v>
      </c>
      <c r="DP16" s="61">
        <f t="shared" ref="DP16" si="116">+DO16+1</f>
        <v>113</v>
      </c>
      <c r="DQ16" s="61">
        <f t="shared" ref="DQ16" si="117">+DP16+1</f>
        <v>114</v>
      </c>
      <c r="DR16" s="61">
        <f t="shared" ref="DR16" si="118">+DQ16+1</f>
        <v>115</v>
      </c>
      <c r="DS16" s="61">
        <f t="shared" ref="DS16" si="119">+DR16+1</f>
        <v>116</v>
      </c>
      <c r="DT16" s="61">
        <f t="shared" ref="DT16" si="120">+DS16+1</f>
        <v>117</v>
      </c>
      <c r="DU16" s="61">
        <f t="shared" ref="DU16" si="121">+DT16+1</f>
        <v>118</v>
      </c>
      <c r="DV16" s="61">
        <f t="shared" ref="DV16" si="122">+DU16+1</f>
        <v>119</v>
      </c>
      <c r="DW16" s="61">
        <f t="shared" ref="DW16" si="123">+DV16+1</f>
        <v>120</v>
      </c>
      <c r="DX16" s="61">
        <f t="shared" ref="DX16" si="124">+DW16+1</f>
        <v>121</v>
      </c>
      <c r="DY16" s="61">
        <f t="shared" ref="DY16" si="125">+DX16+1</f>
        <v>122</v>
      </c>
      <c r="DZ16" s="61">
        <f t="shared" ref="DZ16" si="126">+DY16+1</f>
        <v>123</v>
      </c>
      <c r="EA16" s="61">
        <f t="shared" ref="EA16" si="127">+DZ16+1</f>
        <v>124</v>
      </c>
      <c r="EB16" s="61">
        <f t="shared" ref="EB16" si="128">+EA16+1</f>
        <v>125</v>
      </c>
      <c r="EC16" s="61">
        <f t="shared" ref="EC16" si="129">+EB16+1</f>
        <v>126</v>
      </c>
      <c r="ED16" s="61">
        <f t="shared" ref="ED16" si="130">+EC16+1</f>
        <v>127</v>
      </c>
      <c r="EE16" s="61">
        <f t="shared" ref="EE16" si="131">+ED16+1</f>
        <v>128</v>
      </c>
      <c r="EF16" s="61">
        <f t="shared" ref="EF16" si="132">+EE16+1</f>
        <v>129</v>
      </c>
      <c r="EG16" s="61">
        <f t="shared" ref="EG16" si="133">+EF16+1</f>
        <v>130</v>
      </c>
      <c r="EH16" s="61">
        <f t="shared" ref="EH16" si="134">+EG16+1</f>
        <v>131</v>
      </c>
      <c r="EI16" s="61">
        <f t="shared" ref="EI16" si="135">+EH16+1</f>
        <v>132</v>
      </c>
      <c r="EJ16" s="59"/>
    </row>
    <row r="17" spans="2:139" x14ac:dyDescent="0.45">
      <c r="B17" s="58" t="s">
        <v>73</v>
      </c>
      <c r="H17" s="65">
        <f>COUNTIF(Assumptions!H46:H123,"&gt;0")</f>
        <v>78</v>
      </c>
      <c r="I17" s="65">
        <f>+H20</f>
        <v>78</v>
      </c>
      <c r="J17" s="65">
        <f t="shared" ref="J17:BU17" si="136">+I20</f>
        <v>75</v>
      </c>
      <c r="K17" s="65">
        <f t="shared" si="136"/>
        <v>72</v>
      </c>
      <c r="L17" s="65">
        <f t="shared" si="136"/>
        <v>69</v>
      </c>
      <c r="M17" s="65">
        <f t="shared" si="136"/>
        <v>69</v>
      </c>
      <c r="N17" s="65">
        <f t="shared" si="136"/>
        <v>69</v>
      </c>
      <c r="O17" s="65">
        <f t="shared" si="136"/>
        <v>69</v>
      </c>
      <c r="P17" s="65">
        <f t="shared" si="136"/>
        <v>69</v>
      </c>
      <c r="Q17" s="65">
        <f t="shared" si="136"/>
        <v>69</v>
      </c>
      <c r="R17" s="65">
        <f t="shared" si="136"/>
        <v>69</v>
      </c>
      <c r="S17" s="65">
        <f t="shared" si="136"/>
        <v>69</v>
      </c>
      <c r="T17" s="65">
        <f t="shared" si="136"/>
        <v>69</v>
      </c>
      <c r="U17" s="65">
        <f t="shared" si="136"/>
        <v>69</v>
      </c>
      <c r="V17" s="65">
        <f t="shared" si="136"/>
        <v>69</v>
      </c>
      <c r="W17" s="65">
        <f t="shared" si="136"/>
        <v>69</v>
      </c>
      <c r="X17" s="65">
        <f t="shared" si="136"/>
        <v>69</v>
      </c>
      <c r="Y17" s="65">
        <f t="shared" si="136"/>
        <v>69</v>
      </c>
      <c r="Z17" s="65">
        <f t="shared" si="136"/>
        <v>69</v>
      </c>
      <c r="AA17" s="65">
        <f t="shared" si="136"/>
        <v>69</v>
      </c>
      <c r="AB17" s="65">
        <f t="shared" si="136"/>
        <v>69</v>
      </c>
      <c r="AC17" s="65">
        <f t="shared" si="136"/>
        <v>69</v>
      </c>
      <c r="AD17" s="65">
        <f t="shared" si="136"/>
        <v>69</v>
      </c>
      <c r="AE17" s="65">
        <f t="shared" si="136"/>
        <v>69</v>
      </c>
      <c r="AF17" s="65">
        <f t="shared" si="136"/>
        <v>69</v>
      </c>
      <c r="AG17" s="65">
        <f t="shared" si="136"/>
        <v>69</v>
      </c>
      <c r="AH17" s="65">
        <f t="shared" si="136"/>
        <v>69</v>
      </c>
      <c r="AI17" s="65">
        <f t="shared" si="136"/>
        <v>69</v>
      </c>
      <c r="AJ17" s="65">
        <f t="shared" si="136"/>
        <v>72</v>
      </c>
      <c r="AK17" s="65">
        <f t="shared" si="136"/>
        <v>75</v>
      </c>
      <c r="AL17" s="65">
        <f t="shared" si="136"/>
        <v>78</v>
      </c>
      <c r="AM17" s="65">
        <f t="shared" si="136"/>
        <v>78</v>
      </c>
      <c r="AN17" s="65">
        <f t="shared" si="136"/>
        <v>78</v>
      </c>
      <c r="AO17" s="65">
        <f t="shared" si="136"/>
        <v>78</v>
      </c>
      <c r="AP17" s="65">
        <f t="shared" si="136"/>
        <v>78</v>
      </c>
      <c r="AQ17" s="65">
        <f t="shared" si="136"/>
        <v>78</v>
      </c>
      <c r="AR17" s="65">
        <f t="shared" si="136"/>
        <v>78</v>
      </c>
      <c r="AS17" s="65">
        <f t="shared" si="136"/>
        <v>78</v>
      </c>
      <c r="AT17" s="65">
        <f t="shared" si="136"/>
        <v>78</v>
      </c>
      <c r="AU17" s="65">
        <f t="shared" si="136"/>
        <v>78</v>
      </c>
      <c r="AV17" s="65">
        <f t="shared" si="136"/>
        <v>78</v>
      </c>
      <c r="AW17" s="65">
        <f t="shared" si="136"/>
        <v>78</v>
      </c>
      <c r="AX17" s="65">
        <f t="shared" si="136"/>
        <v>78</v>
      </c>
      <c r="AY17" s="65">
        <f t="shared" si="136"/>
        <v>78</v>
      </c>
      <c r="AZ17" s="65">
        <f t="shared" si="136"/>
        <v>78</v>
      </c>
      <c r="BA17" s="65">
        <f t="shared" si="136"/>
        <v>78</v>
      </c>
      <c r="BB17" s="65">
        <f t="shared" si="136"/>
        <v>78</v>
      </c>
      <c r="BC17" s="65">
        <f t="shared" si="136"/>
        <v>78</v>
      </c>
      <c r="BD17" s="65">
        <f t="shared" si="136"/>
        <v>78</v>
      </c>
      <c r="BE17" s="65">
        <f t="shared" si="136"/>
        <v>78</v>
      </c>
      <c r="BF17" s="65">
        <f t="shared" si="136"/>
        <v>78</v>
      </c>
      <c r="BG17" s="65">
        <f t="shared" si="136"/>
        <v>78</v>
      </c>
      <c r="BH17" s="65">
        <f t="shared" si="136"/>
        <v>78</v>
      </c>
      <c r="BI17" s="65">
        <f t="shared" si="136"/>
        <v>78</v>
      </c>
      <c r="BJ17" s="65">
        <f t="shared" si="136"/>
        <v>78</v>
      </c>
      <c r="BK17" s="65">
        <f t="shared" si="136"/>
        <v>78</v>
      </c>
      <c r="BL17" s="65">
        <f t="shared" si="136"/>
        <v>78</v>
      </c>
      <c r="BM17" s="65">
        <f t="shared" si="136"/>
        <v>78</v>
      </c>
      <c r="BN17" s="65">
        <f t="shared" si="136"/>
        <v>78</v>
      </c>
      <c r="BO17" s="65">
        <f t="shared" si="136"/>
        <v>78</v>
      </c>
      <c r="BP17" s="65">
        <f t="shared" si="136"/>
        <v>78</v>
      </c>
      <c r="BQ17" s="65">
        <f t="shared" si="136"/>
        <v>78</v>
      </c>
      <c r="BR17" s="65">
        <f t="shared" si="136"/>
        <v>78</v>
      </c>
      <c r="BS17" s="65">
        <f t="shared" si="136"/>
        <v>78</v>
      </c>
      <c r="BT17" s="65">
        <f t="shared" si="136"/>
        <v>78</v>
      </c>
      <c r="BU17" s="65">
        <f t="shared" si="136"/>
        <v>78</v>
      </c>
      <c r="BV17" s="65">
        <f t="shared" ref="BV17:CY17" si="137">+BU20</f>
        <v>78</v>
      </c>
      <c r="BW17" s="65">
        <f t="shared" si="137"/>
        <v>78</v>
      </c>
      <c r="BX17" s="65">
        <f t="shared" si="137"/>
        <v>78</v>
      </c>
      <c r="BY17" s="65">
        <f t="shared" si="137"/>
        <v>78</v>
      </c>
      <c r="BZ17" s="65">
        <f t="shared" si="137"/>
        <v>78</v>
      </c>
      <c r="CA17" s="65">
        <f t="shared" si="137"/>
        <v>78</v>
      </c>
      <c r="CB17" s="65">
        <f t="shared" si="137"/>
        <v>78</v>
      </c>
      <c r="CC17" s="65">
        <f t="shared" si="137"/>
        <v>78</v>
      </c>
      <c r="CD17" s="65">
        <f t="shared" si="137"/>
        <v>78</v>
      </c>
      <c r="CE17" s="65">
        <f t="shared" si="137"/>
        <v>78</v>
      </c>
      <c r="CF17" s="65">
        <f t="shared" si="137"/>
        <v>78</v>
      </c>
      <c r="CG17" s="65">
        <f t="shared" si="137"/>
        <v>78</v>
      </c>
      <c r="CH17" s="65">
        <f t="shared" si="137"/>
        <v>78</v>
      </c>
      <c r="CI17" s="65">
        <f t="shared" si="137"/>
        <v>78</v>
      </c>
      <c r="CJ17" s="65">
        <f t="shared" si="137"/>
        <v>78</v>
      </c>
      <c r="CK17" s="65">
        <f t="shared" si="137"/>
        <v>78</v>
      </c>
      <c r="CL17" s="65">
        <f t="shared" si="137"/>
        <v>78</v>
      </c>
      <c r="CM17" s="65">
        <f t="shared" si="137"/>
        <v>78</v>
      </c>
      <c r="CN17" s="65">
        <f t="shared" si="137"/>
        <v>78</v>
      </c>
      <c r="CO17" s="65">
        <f t="shared" si="137"/>
        <v>78</v>
      </c>
      <c r="CP17" s="65">
        <f t="shared" si="137"/>
        <v>78</v>
      </c>
      <c r="CQ17" s="65">
        <f t="shared" si="137"/>
        <v>78</v>
      </c>
      <c r="CR17" s="65">
        <f t="shared" si="137"/>
        <v>78</v>
      </c>
      <c r="CS17" s="65">
        <f t="shared" si="137"/>
        <v>78</v>
      </c>
      <c r="CT17" s="65">
        <f t="shared" si="137"/>
        <v>78</v>
      </c>
      <c r="CU17" s="65">
        <f t="shared" si="137"/>
        <v>78</v>
      </c>
      <c r="CV17" s="65">
        <f t="shared" si="137"/>
        <v>78</v>
      </c>
      <c r="CW17" s="65">
        <f t="shared" si="137"/>
        <v>78</v>
      </c>
      <c r="CX17" s="65">
        <f t="shared" si="137"/>
        <v>78</v>
      </c>
      <c r="CY17" s="65">
        <f t="shared" si="137"/>
        <v>78</v>
      </c>
      <c r="CZ17" s="65">
        <f t="shared" ref="CZ17" si="138">+CY20</f>
        <v>78</v>
      </c>
      <c r="DA17" s="65">
        <f t="shared" ref="DA17" si="139">+CZ20</f>
        <v>78</v>
      </c>
      <c r="DB17" s="65">
        <f t="shared" ref="DB17" si="140">+DA20</f>
        <v>78</v>
      </c>
      <c r="DC17" s="65">
        <f t="shared" ref="DC17" si="141">+DB20</f>
        <v>78</v>
      </c>
      <c r="DD17" s="65">
        <f t="shared" ref="DD17" si="142">+DC20</f>
        <v>78</v>
      </c>
      <c r="DE17" s="65">
        <f t="shared" ref="DE17" si="143">+DD20</f>
        <v>78</v>
      </c>
      <c r="DF17" s="65">
        <f t="shared" ref="DF17" si="144">+DE20</f>
        <v>78</v>
      </c>
      <c r="DG17" s="65">
        <f t="shared" ref="DG17" si="145">+DF20</f>
        <v>78</v>
      </c>
      <c r="DH17" s="65">
        <f t="shared" ref="DH17" si="146">+DG20</f>
        <v>78</v>
      </c>
      <c r="DI17" s="65">
        <f t="shared" ref="DI17" si="147">+DH20</f>
        <v>78</v>
      </c>
      <c r="DJ17" s="65">
        <f t="shared" ref="DJ17" si="148">+DI20</f>
        <v>78</v>
      </c>
      <c r="DK17" s="65">
        <f t="shared" ref="DK17" si="149">+DJ20</f>
        <v>78</v>
      </c>
      <c r="DL17" s="65">
        <f t="shared" ref="DL17" si="150">+DK20</f>
        <v>78</v>
      </c>
      <c r="DM17" s="65">
        <f t="shared" ref="DM17" si="151">+DL20</f>
        <v>78</v>
      </c>
      <c r="DN17" s="65">
        <f t="shared" ref="DN17" si="152">+DM20</f>
        <v>78</v>
      </c>
      <c r="DO17" s="65">
        <f t="shared" ref="DO17" si="153">+DN20</f>
        <v>78</v>
      </c>
      <c r="DP17" s="65">
        <f t="shared" ref="DP17" si="154">+DO20</f>
        <v>78</v>
      </c>
      <c r="DQ17" s="65">
        <f t="shared" ref="DQ17" si="155">+DP20</f>
        <v>78</v>
      </c>
      <c r="DR17" s="65">
        <f t="shared" ref="DR17" si="156">+DQ20</f>
        <v>78</v>
      </c>
      <c r="DS17" s="65">
        <f t="shared" ref="DS17" si="157">+DR20</f>
        <v>78</v>
      </c>
      <c r="DT17" s="65">
        <f t="shared" ref="DT17" si="158">+DS20</f>
        <v>78</v>
      </c>
      <c r="DU17" s="65">
        <f t="shared" ref="DU17" si="159">+DT20</f>
        <v>78</v>
      </c>
      <c r="DV17" s="65">
        <f t="shared" ref="DV17" si="160">+DU20</f>
        <v>78</v>
      </c>
      <c r="DW17" s="65">
        <f t="shared" ref="DW17" si="161">+DV20</f>
        <v>78</v>
      </c>
      <c r="DX17" s="65">
        <f t="shared" ref="DX17" si="162">+DW20</f>
        <v>78</v>
      </c>
      <c r="DY17" s="65">
        <f t="shared" ref="DY17" si="163">+DX20</f>
        <v>78</v>
      </c>
      <c r="DZ17" s="65">
        <f t="shared" ref="DZ17" si="164">+DY20</f>
        <v>78</v>
      </c>
      <c r="EA17" s="65">
        <f t="shared" ref="EA17" si="165">+DZ20</f>
        <v>78</v>
      </c>
      <c r="EB17" s="65">
        <f t="shared" ref="EB17" si="166">+EA20</f>
        <v>78</v>
      </c>
      <c r="EC17" s="65">
        <f t="shared" ref="EC17" si="167">+EB20</f>
        <v>78</v>
      </c>
      <c r="ED17" s="65">
        <f t="shared" ref="ED17" si="168">+EC20</f>
        <v>78</v>
      </c>
      <c r="EE17" s="65">
        <f t="shared" ref="EE17" si="169">+ED20</f>
        <v>78</v>
      </c>
      <c r="EF17" s="65">
        <f t="shared" ref="EF17" si="170">+EE20</f>
        <v>78</v>
      </c>
      <c r="EG17" s="65">
        <f t="shared" ref="EG17" si="171">+EF20</f>
        <v>78</v>
      </c>
      <c r="EH17" s="65">
        <f t="shared" ref="EH17" si="172">+EG20</f>
        <v>78</v>
      </c>
      <c r="EI17" s="65">
        <f t="shared" ref="EI17" si="173">+EH20</f>
        <v>78</v>
      </c>
    </row>
    <row r="18" spans="2:139" x14ac:dyDescent="0.45">
      <c r="B18" s="58" t="s">
        <v>254</v>
      </c>
      <c r="H18" s="65">
        <f>-COUNTIFS(Assumptions!$C$46:$C$123,1,Assumptions!$F$46:$F$123,'NOI Walk'!H16,Assumptions!$H$46:$H$123,"&gt;0")-COUNTIFS(Assumptions!$C$46:$C$123,2,Assumptions!$F$46:$F$123,H16)</f>
        <v>0</v>
      </c>
      <c r="I18" s="65">
        <f>-COUNTIFS(Assumptions!$C$46:$C$123,1,Assumptions!$F$46:$F$123,'NOI Walk'!I16,Assumptions!$H$46:$H$123,"&gt;0")-COUNTIFS(Assumptions!$C$46:$C$123,2,Assumptions!$F$46:$F$123,I16)</f>
        <v>-3</v>
      </c>
      <c r="J18" s="65">
        <f>-COUNTIFS(Assumptions!$C$46:$C$123,1,Assumptions!$F$46:$F$123,'NOI Walk'!J16,Assumptions!$H$46:$H$123,"&gt;0")-COUNTIFS(Assumptions!$C$46:$C$123,2,Assumptions!$F$46:$F$123,J16)</f>
        <v>-3</v>
      </c>
      <c r="K18" s="65">
        <f>-COUNTIFS(Assumptions!$C$46:$C$123,1,Assumptions!$F$46:$F$123,'NOI Walk'!K16,Assumptions!$H$46:$H$123,"&gt;0")-COUNTIFS(Assumptions!$C$46:$C$123,2,Assumptions!$F$46:$F$123,K16)</f>
        <v>-3</v>
      </c>
      <c r="L18" s="65">
        <f>-COUNTIFS(Assumptions!$C$46:$C$123,1,Assumptions!$F$46:$F$123,'NOI Walk'!L16,Assumptions!$H$46:$H$123,"&gt;0")-COUNTIFS(Assumptions!$C$46:$C$123,2,Assumptions!$F$46:$F$123,L16)</f>
        <v>-3</v>
      </c>
      <c r="M18" s="65">
        <f>-COUNTIFS(Assumptions!$C$46:$C$123,1,Assumptions!$F$46:$F$123,'NOI Walk'!M16,Assumptions!$H$46:$H$123,"&gt;0")-COUNTIFS(Assumptions!$C$46:$C$123,2,Assumptions!$F$46:$F$123,M16)</f>
        <v>-3</v>
      </c>
      <c r="N18" s="65">
        <f>-COUNTIFS(Assumptions!$C$46:$C$123,1,Assumptions!$F$46:$F$123,'NOI Walk'!N16,Assumptions!$H$46:$H$123,"&gt;0")-COUNTIFS(Assumptions!$C$46:$C$123,2,Assumptions!$F$46:$F$123,N16)</f>
        <v>-3</v>
      </c>
      <c r="O18" s="65">
        <f>-COUNTIFS(Assumptions!$C$46:$C$123,1,Assumptions!$F$46:$F$123,'NOI Walk'!O16,Assumptions!$H$46:$H$123,"&gt;0")-COUNTIFS(Assumptions!$C$46:$C$123,2,Assumptions!$F$46:$F$123,O16)</f>
        <v>-3</v>
      </c>
      <c r="P18" s="65">
        <f>-COUNTIFS(Assumptions!$C$46:$C$123,1,Assumptions!$F$46:$F$123,'NOI Walk'!P16,Assumptions!$H$46:$H$123,"&gt;0")-COUNTIFS(Assumptions!$C$46:$C$123,2,Assumptions!$F$46:$F$123,P16)</f>
        <v>-3</v>
      </c>
      <c r="Q18" s="65">
        <f>-COUNTIFS(Assumptions!$C$46:$C$123,1,Assumptions!$F$46:$F$123,'NOI Walk'!Q16,Assumptions!$H$46:$H$123,"&gt;0")-COUNTIFS(Assumptions!$C$46:$C$123,2,Assumptions!$F$46:$F$123,Q16)</f>
        <v>-3</v>
      </c>
      <c r="R18" s="65">
        <f>-COUNTIFS(Assumptions!$C$46:$C$123,1,Assumptions!$F$46:$F$123,'NOI Walk'!R16,Assumptions!$H$46:$H$123,"&gt;0")-COUNTIFS(Assumptions!$C$46:$C$123,2,Assumptions!$F$46:$F$123,R16)</f>
        <v>-3</v>
      </c>
      <c r="S18" s="65">
        <f>-COUNTIFS(Assumptions!$C$46:$C$123,1,Assumptions!$F$46:$F$123,'NOI Walk'!S16,Assumptions!$H$46:$H$123,"&gt;0")-COUNTIFS(Assumptions!$C$46:$C$123,2,Assumptions!$F$46:$F$123,S16)</f>
        <v>-3</v>
      </c>
      <c r="T18" s="65">
        <f>-COUNTIFS(Assumptions!$C$46:$C$123,1,Assumptions!$F$46:$F$123,'NOI Walk'!T16,Assumptions!$H$46:$H$123,"&gt;0")-COUNTIFS(Assumptions!$C$46:$C$123,2,Assumptions!$F$46:$F$123,T16)</f>
        <v>-3</v>
      </c>
      <c r="U18" s="65">
        <f>-COUNTIFS(Assumptions!$C$46:$C$123,1,Assumptions!$F$46:$F$123,'NOI Walk'!U16,Assumptions!$H$46:$H$123,"&gt;0")-COUNTIFS(Assumptions!$C$46:$C$123,2,Assumptions!$F$46:$F$123,U16)</f>
        <v>-3</v>
      </c>
      <c r="V18" s="65">
        <f>-COUNTIFS(Assumptions!$C$46:$C$123,1,Assumptions!$F$46:$F$123,'NOI Walk'!V16,Assumptions!$H$46:$H$123,"&gt;0")-COUNTIFS(Assumptions!$C$46:$C$123,2,Assumptions!$F$46:$F$123,V16)</f>
        <v>-3</v>
      </c>
      <c r="W18" s="65">
        <f>-COUNTIFS(Assumptions!$C$46:$C$123,1,Assumptions!$F$46:$F$123,'NOI Walk'!W16,Assumptions!$H$46:$H$123,"&gt;0")-COUNTIFS(Assumptions!$C$46:$C$123,2,Assumptions!$F$46:$F$123,W16)</f>
        <v>-3</v>
      </c>
      <c r="X18" s="65">
        <f>-COUNTIFS(Assumptions!$C$46:$C$123,1,Assumptions!$F$46:$F$123,'NOI Walk'!X16,Assumptions!$H$46:$H$123,"&gt;0")-COUNTIFS(Assumptions!$C$46:$C$123,2,Assumptions!$F$46:$F$123,X16)</f>
        <v>-3</v>
      </c>
      <c r="Y18" s="65">
        <f>-COUNTIFS(Assumptions!$C$46:$C$123,1,Assumptions!$F$46:$F$123,'NOI Walk'!Y16,Assumptions!$H$46:$H$123,"&gt;0")-COUNTIFS(Assumptions!$C$46:$C$123,2,Assumptions!$F$46:$F$123,Y16)</f>
        <v>-3</v>
      </c>
      <c r="Z18" s="65">
        <f>-COUNTIFS(Assumptions!$C$46:$C$123,1,Assumptions!$F$46:$F$123,'NOI Walk'!Z16,Assumptions!$H$46:$H$123,"&gt;0")-COUNTIFS(Assumptions!$C$46:$C$123,2,Assumptions!$F$46:$F$123,Z16)</f>
        <v>-3</v>
      </c>
      <c r="AA18" s="65">
        <f>-COUNTIFS(Assumptions!$C$46:$C$123,1,Assumptions!$F$46:$F$123,'NOI Walk'!AA16,Assumptions!$H$46:$H$123,"&gt;0")-COUNTIFS(Assumptions!$C$46:$C$123,2,Assumptions!$F$46:$F$123,AA16)</f>
        <v>-3</v>
      </c>
      <c r="AB18" s="65">
        <f>-COUNTIFS(Assumptions!$C$46:$C$123,1,Assumptions!$F$46:$F$123,'NOI Walk'!AB16,Assumptions!$H$46:$H$123,"&gt;0")-COUNTIFS(Assumptions!$C$46:$C$123,2,Assumptions!$F$46:$F$123,AB16)</f>
        <v>-3</v>
      </c>
      <c r="AC18" s="65">
        <f>-COUNTIFS(Assumptions!$C$46:$C$123,1,Assumptions!$F$46:$F$123,'NOI Walk'!AC16,Assumptions!$H$46:$H$123,"&gt;0")-COUNTIFS(Assumptions!$C$46:$C$123,2,Assumptions!$F$46:$F$123,AC16)</f>
        <v>-3</v>
      </c>
      <c r="AD18" s="65">
        <f>-COUNTIFS(Assumptions!$C$46:$C$123,1,Assumptions!$F$46:$F$123,'NOI Walk'!AD16,Assumptions!$H$46:$H$123,"&gt;0")-COUNTIFS(Assumptions!$C$46:$C$123,2,Assumptions!$F$46:$F$123,AD16)</f>
        <v>-3</v>
      </c>
      <c r="AE18" s="65">
        <f>-COUNTIFS(Assumptions!$C$46:$C$123,1,Assumptions!$F$46:$F$123,'NOI Walk'!AE16,Assumptions!$H$46:$H$123,"&gt;0")-COUNTIFS(Assumptions!$C$46:$C$123,2,Assumptions!$F$46:$F$123,AE16)</f>
        <v>-3</v>
      </c>
      <c r="AF18" s="65">
        <f>-COUNTIFS(Assumptions!$C$46:$C$123,1,Assumptions!$F$46:$F$123,'NOI Walk'!AF16,Assumptions!$H$46:$H$123,"&gt;0")-COUNTIFS(Assumptions!$C$46:$C$123,2,Assumptions!$F$46:$F$123,AF16)</f>
        <v>-3</v>
      </c>
      <c r="AG18" s="65">
        <f>-COUNTIFS(Assumptions!$C$46:$C$123,1,Assumptions!$F$46:$F$123,'NOI Walk'!AG16,Assumptions!$H$46:$H$123,"&gt;0")-COUNTIFS(Assumptions!$C$46:$C$123,2,Assumptions!$F$46:$F$123,AG16)</f>
        <v>-3</v>
      </c>
      <c r="AH18" s="65">
        <f>-COUNTIFS(Assumptions!$C$46:$C$123,1,Assumptions!$F$46:$F$123,'NOI Walk'!AH16,Assumptions!$H$46:$H$123,"&gt;0")-COUNTIFS(Assumptions!$C$46:$C$123,2,Assumptions!$F$46:$F$123,AH16)</f>
        <v>-3</v>
      </c>
      <c r="AI18" s="65">
        <f>-COUNTIFS(Assumptions!$C$46:$C$123,1,Assumptions!$F$46:$F$123,'NOI Walk'!AI16,Assumptions!$H$46:$H$123,"&gt;0")-COUNTIFS(Assumptions!$C$46:$C$123,2,Assumptions!$F$46:$F$123,AI16)</f>
        <v>0</v>
      </c>
      <c r="AJ18" s="65">
        <f>-COUNTIFS(Assumptions!$C$46:$C$123,1,Assumptions!$F$46:$F$123,'NOI Walk'!AJ16,Assumptions!$H$46:$H$123,"&gt;0")-COUNTIFS(Assumptions!$C$46:$C$123,2,Assumptions!$F$46:$F$123,AJ16)</f>
        <v>0</v>
      </c>
      <c r="AK18" s="65">
        <f>-COUNTIFS(Assumptions!$C$46:$C$123,1,Assumptions!$F$46:$F$123,'NOI Walk'!AK16,Assumptions!$H$46:$H$123,"&gt;0")-COUNTIFS(Assumptions!$C$46:$C$123,2,Assumptions!$F$46:$F$123,AK16)</f>
        <v>0</v>
      </c>
      <c r="AL18" s="65">
        <f>-COUNTIFS(Assumptions!$C$46:$C$123,1,Assumptions!$F$46:$F$123,'NOI Walk'!AL16,Assumptions!$H$46:$H$123,"&gt;0")-COUNTIFS(Assumptions!$C$46:$C$123,2,Assumptions!$F$46:$F$123,AL16)</f>
        <v>0</v>
      </c>
      <c r="AM18" s="65">
        <f>-COUNTIFS(Assumptions!$C$46:$C$123,1,Assumptions!$F$46:$F$123,'NOI Walk'!AM16,Assumptions!$H$46:$H$123,"&gt;0")-COUNTIFS(Assumptions!$C$46:$C$123,2,Assumptions!$F$46:$F$123,AM16)</f>
        <v>0</v>
      </c>
      <c r="AN18" s="65">
        <f>-COUNTIFS(Assumptions!$C$46:$C$123,1,Assumptions!$F$46:$F$123,'NOI Walk'!AN16,Assumptions!$H$46:$H$123,"&gt;0")-COUNTIFS(Assumptions!$C$46:$C$123,2,Assumptions!$F$46:$F$123,AN16)</f>
        <v>0</v>
      </c>
      <c r="AO18" s="65">
        <f>-COUNTIFS(Assumptions!$C$46:$C$123,1,Assumptions!$F$46:$F$123,'NOI Walk'!AO16,Assumptions!$H$46:$H$123,"&gt;0")-COUNTIFS(Assumptions!$C$46:$C$123,2,Assumptions!$F$46:$F$123,AO16)</f>
        <v>0</v>
      </c>
      <c r="AP18" s="65">
        <f>-COUNTIFS(Assumptions!$C$46:$C$123,1,Assumptions!$F$46:$F$123,'NOI Walk'!AP16,Assumptions!$H$46:$H$123,"&gt;0")-COUNTIFS(Assumptions!$C$46:$C$123,2,Assumptions!$F$46:$F$123,AP16)</f>
        <v>0</v>
      </c>
      <c r="AQ18" s="65">
        <f>-COUNTIFS(Assumptions!$C$46:$C$123,1,Assumptions!$F$46:$F$123,'NOI Walk'!AQ16,Assumptions!$H$46:$H$123,"&gt;0")-COUNTIFS(Assumptions!$C$46:$C$123,2,Assumptions!$F$46:$F$123,AQ16)</f>
        <v>0</v>
      </c>
      <c r="AR18" s="65">
        <f>-COUNTIFS(Assumptions!$C$46:$C$123,1,Assumptions!$F$46:$F$123,'NOI Walk'!AR16,Assumptions!$H$46:$H$123,"&gt;0")-COUNTIFS(Assumptions!$C$46:$C$123,2,Assumptions!$F$46:$F$123,AR16)</f>
        <v>0</v>
      </c>
      <c r="AS18" s="65">
        <f>-COUNTIFS(Assumptions!$C$46:$C$123,1,Assumptions!$F$46:$F$123,'NOI Walk'!AS16,Assumptions!$H$46:$H$123,"&gt;0")-COUNTIFS(Assumptions!$C$46:$C$123,2,Assumptions!$F$46:$F$123,AS16)</f>
        <v>0</v>
      </c>
      <c r="AT18" s="65">
        <f>-COUNTIFS(Assumptions!$C$46:$C$123,1,Assumptions!$F$46:$F$123,'NOI Walk'!AT16,Assumptions!$H$46:$H$123,"&gt;0")-COUNTIFS(Assumptions!$C$46:$C$123,2,Assumptions!$F$46:$F$123,AT16)</f>
        <v>0</v>
      </c>
      <c r="AU18" s="65">
        <f>-COUNTIFS(Assumptions!$C$46:$C$123,1,Assumptions!$F$46:$F$123,'NOI Walk'!AU16,Assumptions!$H$46:$H$123,"&gt;0")-COUNTIFS(Assumptions!$C$46:$C$123,2,Assumptions!$F$46:$F$123,AU16)</f>
        <v>0</v>
      </c>
      <c r="AV18" s="65">
        <f>-COUNTIFS(Assumptions!$C$46:$C$123,1,Assumptions!$F$46:$F$123,'NOI Walk'!AV16,Assumptions!$H$46:$H$123,"&gt;0")-COUNTIFS(Assumptions!$C$46:$C$123,2,Assumptions!$F$46:$F$123,AV16)</f>
        <v>0</v>
      </c>
      <c r="AW18" s="65">
        <f>-COUNTIFS(Assumptions!$C$46:$C$123,1,Assumptions!$F$46:$F$123,'NOI Walk'!AW16,Assumptions!$H$46:$H$123,"&gt;0")-COUNTIFS(Assumptions!$C$46:$C$123,2,Assumptions!$F$46:$F$123,AW16)</f>
        <v>0</v>
      </c>
      <c r="AX18" s="65">
        <f>-COUNTIFS(Assumptions!$C$46:$C$123,1,Assumptions!$F$46:$F$123,'NOI Walk'!AX16,Assumptions!$H$46:$H$123,"&gt;0")-COUNTIFS(Assumptions!$C$46:$C$123,2,Assumptions!$F$46:$F$123,AX16)</f>
        <v>0</v>
      </c>
      <c r="AY18" s="65">
        <f>-COUNTIFS(Assumptions!$C$46:$C$123,1,Assumptions!$F$46:$F$123,'NOI Walk'!AY16,Assumptions!$H$46:$H$123,"&gt;0")-COUNTIFS(Assumptions!$C$46:$C$123,2,Assumptions!$F$46:$F$123,AY16)</f>
        <v>0</v>
      </c>
      <c r="AZ18" s="65">
        <f>-COUNTIFS(Assumptions!$C$46:$C$123,1,Assumptions!$F$46:$F$123,'NOI Walk'!AZ16,Assumptions!$H$46:$H$123,"&gt;0")-COUNTIFS(Assumptions!$C$46:$C$123,2,Assumptions!$F$46:$F$123,AZ16)</f>
        <v>0</v>
      </c>
      <c r="BA18" s="65">
        <f>-COUNTIFS(Assumptions!$C$46:$C$123,1,Assumptions!$F$46:$F$123,'NOI Walk'!BA16,Assumptions!$H$46:$H$123,"&gt;0")-COUNTIFS(Assumptions!$C$46:$C$123,2,Assumptions!$F$46:$F$123,BA16)</f>
        <v>0</v>
      </c>
      <c r="BB18" s="65">
        <f>-COUNTIFS(Assumptions!$C$46:$C$123,1,Assumptions!$F$46:$F$123,'NOI Walk'!BB16,Assumptions!$H$46:$H$123,"&gt;0")-COUNTIFS(Assumptions!$C$46:$C$123,2,Assumptions!$F$46:$F$123,BB16)</f>
        <v>0</v>
      </c>
      <c r="BC18" s="65">
        <f>-COUNTIFS(Assumptions!$C$46:$C$123,1,Assumptions!$F$46:$F$123,'NOI Walk'!BC16,Assumptions!$H$46:$H$123,"&gt;0")-COUNTIFS(Assumptions!$C$46:$C$123,2,Assumptions!$F$46:$F$123,BC16)</f>
        <v>0</v>
      </c>
      <c r="BD18" s="65">
        <f>-COUNTIFS(Assumptions!$C$46:$C$123,1,Assumptions!$F$46:$F$123,'NOI Walk'!BD16,Assumptions!$H$46:$H$123,"&gt;0")-COUNTIFS(Assumptions!$C$46:$C$123,2,Assumptions!$F$46:$F$123,BD16)</f>
        <v>0</v>
      </c>
      <c r="BE18" s="65">
        <f>-COUNTIFS(Assumptions!$C$46:$C$123,1,Assumptions!$F$46:$F$123,'NOI Walk'!BE16,Assumptions!$H$46:$H$123,"&gt;0")-COUNTIFS(Assumptions!$C$46:$C$123,2,Assumptions!$F$46:$F$123,BE16)</f>
        <v>0</v>
      </c>
      <c r="BF18" s="65">
        <f>-COUNTIFS(Assumptions!$C$46:$C$123,1,Assumptions!$F$46:$F$123,'NOI Walk'!BF16,Assumptions!$H$46:$H$123,"&gt;0")-COUNTIFS(Assumptions!$C$46:$C$123,2,Assumptions!$F$46:$F$123,BF16)</f>
        <v>0</v>
      </c>
      <c r="BG18" s="65">
        <f>-COUNTIFS(Assumptions!$C$46:$C$123,1,Assumptions!$F$46:$F$123,'NOI Walk'!BG16,Assumptions!$H$46:$H$123,"&gt;0")-COUNTIFS(Assumptions!$C$46:$C$123,2,Assumptions!$F$46:$F$123,BG16)</f>
        <v>0</v>
      </c>
      <c r="BH18" s="65">
        <f>-COUNTIFS(Assumptions!$C$46:$C$123,1,Assumptions!$F$46:$F$123,'NOI Walk'!BH16,Assumptions!$H$46:$H$123,"&gt;0")-COUNTIFS(Assumptions!$C$46:$C$123,2,Assumptions!$F$46:$F$123,BH16)</f>
        <v>0</v>
      </c>
      <c r="BI18" s="65">
        <f>-COUNTIFS(Assumptions!$C$46:$C$123,1,Assumptions!$F$46:$F$123,'NOI Walk'!BI16,Assumptions!$H$46:$H$123,"&gt;0")-COUNTIFS(Assumptions!$C$46:$C$123,2,Assumptions!$F$46:$F$123,BI16)</f>
        <v>0</v>
      </c>
      <c r="BJ18" s="65">
        <f>-COUNTIFS(Assumptions!$C$46:$C$123,1,Assumptions!$F$46:$F$123,'NOI Walk'!BJ16,Assumptions!$H$46:$H$123,"&gt;0")-COUNTIFS(Assumptions!$C$46:$C$123,2,Assumptions!$F$46:$F$123,BJ16)</f>
        <v>0</v>
      </c>
      <c r="BK18" s="65">
        <f>-COUNTIFS(Assumptions!$C$46:$C$123,1,Assumptions!$F$46:$F$123,'NOI Walk'!BK16,Assumptions!$H$46:$H$123,"&gt;0")-COUNTIFS(Assumptions!$C$46:$C$123,2,Assumptions!$F$46:$F$123,BK16)</f>
        <v>0</v>
      </c>
      <c r="BL18" s="65">
        <f>-COUNTIFS(Assumptions!$C$46:$C$123,1,Assumptions!$F$46:$F$123,'NOI Walk'!BL16,Assumptions!$H$46:$H$123,"&gt;0")-COUNTIFS(Assumptions!$C$46:$C$123,2,Assumptions!$F$46:$F$123,BL16)</f>
        <v>0</v>
      </c>
      <c r="BM18" s="65">
        <f>-COUNTIFS(Assumptions!$C$46:$C$123,1,Assumptions!$F$46:$F$123,'NOI Walk'!BM16,Assumptions!$H$46:$H$123,"&gt;0")-COUNTIFS(Assumptions!$C$46:$C$123,2,Assumptions!$F$46:$F$123,BM16)</f>
        <v>0</v>
      </c>
      <c r="BN18" s="65">
        <f>-COUNTIFS(Assumptions!$C$46:$C$123,1,Assumptions!$F$46:$F$123,'NOI Walk'!BN16,Assumptions!$H$46:$H$123,"&gt;0")-COUNTIFS(Assumptions!$C$46:$C$123,2,Assumptions!$F$46:$F$123,BN16)</f>
        <v>0</v>
      </c>
      <c r="BO18" s="65">
        <f>-COUNTIFS(Assumptions!$C$46:$C$123,1,Assumptions!$F$46:$F$123,'NOI Walk'!BO16,Assumptions!$H$46:$H$123,"&gt;0")-COUNTIFS(Assumptions!$C$46:$C$123,2,Assumptions!$F$46:$F$123,BO16)</f>
        <v>0</v>
      </c>
      <c r="BP18" s="65">
        <f>-COUNTIFS(Assumptions!$C$46:$C$123,1,Assumptions!$F$46:$F$123,'NOI Walk'!BP16,Assumptions!$H$46:$H$123,"&gt;0")-COUNTIFS(Assumptions!$C$46:$C$123,2,Assumptions!$F$46:$F$123,BP16)</f>
        <v>0</v>
      </c>
      <c r="BQ18" s="65">
        <f>-COUNTIFS(Assumptions!$C$46:$C$123,1,Assumptions!$F$46:$F$123,'NOI Walk'!BQ16,Assumptions!$H$46:$H$123,"&gt;0")-COUNTIFS(Assumptions!$C$46:$C$123,2,Assumptions!$F$46:$F$123,BQ16)</f>
        <v>0</v>
      </c>
      <c r="BR18" s="65">
        <f>-COUNTIFS(Assumptions!$C$46:$C$123,1,Assumptions!$F$46:$F$123,'NOI Walk'!BR16,Assumptions!$H$46:$H$123,"&gt;0")-COUNTIFS(Assumptions!$C$46:$C$123,2,Assumptions!$F$46:$F$123,BR16)</f>
        <v>0</v>
      </c>
      <c r="BS18" s="65">
        <f>-COUNTIFS(Assumptions!$C$46:$C$123,1,Assumptions!$F$46:$F$123,'NOI Walk'!BS16,Assumptions!$H$46:$H$123,"&gt;0")-COUNTIFS(Assumptions!$C$46:$C$123,2,Assumptions!$F$46:$F$123,BS16)</f>
        <v>0</v>
      </c>
      <c r="BT18" s="65">
        <f>-COUNTIFS(Assumptions!$C$46:$C$123,1,Assumptions!$F$46:$F$123,'NOI Walk'!BT16,Assumptions!$H$46:$H$123,"&gt;0")-COUNTIFS(Assumptions!$C$46:$C$123,2,Assumptions!$F$46:$F$123,BT16)</f>
        <v>0</v>
      </c>
      <c r="BU18" s="65">
        <f>-COUNTIFS(Assumptions!$C$46:$C$123,1,Assumptions!$F$46:$F$123,'NOI Walk'!BU16,Assumptions!$H$46:$H$123,"&gt;0")-COUNTIFS(Assumptions!$C$46:$C$123,2,Assumptions!$F$46:$F$123,BU16)</f>
        <v>0</v>
      </c>
      <c r="BV18" s="65">
        <f>-COUNTIFS(Assumptions!$C$46:$C$123,1,Assumptions!$F$46:$F$123,'NOI Walk'!BV16,Assumptions!$H$46:$H$123,"&gt;0")-COUNTIFS(Assumptions!$C$46:$C$123,2,Assumptions!$F$46:$F$123,BV16)</f>
        <v>0</v>
      </c>
      <c r="BW18" s="65">
        <f>-COUNTIFS(Assumptions!$C$46:$C$123,1,Assumptions!$F$46:$F$123,'NOI Walk'!BW16,Assumptions!$H$46:$H$123,"&gt;0")-COUNTIFS(Assumptions!$C$46:$C$123,2,Assumptions!$F$46:$F$123,BW16)</f>
        <v>0</v>
      </c>
      <c r="BX18" s="65">
        <f>-COUNTIFS(Assumptions!$C$46:$C$123,1,Assumptions!$F$46:$F$123,'NOI Walk'!BX16,Assumptions!$H$46:$H$123,"&gt;0")-COUNTIFS(Assumptions!$C$46:$C$123,2,Assumptions!$F$46:$F$123,BX16)</f>
        <v>0</v>
      </c>
      <c r="BY18" s="65">
        <f>-COUNTIFS(Assumptions!$C$46:$C$123,1,Assumptions!$F$46:$F$123,'NOI Walk'!BY16,Assumptions!$H$46:$H$123,"&gt;0")-COUNTIFS(Assumptions!$C$46:$C$123,2,Assumptions!$F$46:$F$123,BY16)</f>
        <v>0</v>
      </c>
      <c r="BZ18" s="65">
        <f>-COUNTIFS(Assumptions!$C$46:$C$123,1,Assumptions!$F$46:$F$123,'NOI Walk'!BZ16,Assumptions!$H$46:$H$123,"&gt;0")-COUNTIFS(Assumptions!$C$46:$C$123,2,Assumptions!$F$46:$F$123,BZ16)</f>
        <v>0</v>
      </c>
      <c r="CA18" s="65">
        <f>-COUNTIFS(Assumptions!$C$46:$C$123,1,Assumptions!$F$46:$F$123,'NOI Walk'!CA16,Assumptions!$H$46:$H$123,"&gt;0")-COUNTIFS(Assumptions!$C$46:$C$123,2,Assumptions!$F$46:$F$123,CA16)</f>
        <v>0</v>
      </c>
      <c r="CB18" s="65">
        <f>-COUNTIFS(Assumptions!$C$46:$C$123,1,Assumptions!$F$46:$F$123,'NOI Walk'!CB16,Assumptions!$H$46:$H$123,"&gt;0")-COUNTIFS(Assumptions!$C$46:$C$123,2,Assumptions!$F$46:$F$123,CB16)</f>
        <v>0</v>
      </c>
      <c r="CC18" s="65">
        <f>-COUNTIFS(Assumptions!$C$46:$C$123,1,Assumptions!$F$46:$F$123,'NOI Walk'!CC16,Assumptions!$H$46:$H$123,"&gt;0")-COUNTIFS(Assumptions!$C$46:$C$123,2,Assumptions!$F$46:$F$123,CC16)</f>
        <v>0</v>
      </c>
      <c r="CD18" s="65">
        <f>-COUNTIFS(Assumptions!$C$46:$C$123,1,Assumptions!$F$46:$F$123,'NOI Walk'!CD16,Assumptions!$H$46:$H$123,"&gt;0")-COUNTIFS(Assumptions!$C$46:$C$123,2,Assumptions!$F$46:$F$123,CD16)</f>
        <v>0</v>
      </c>
      <c r="CE18" s="65">
        <f>-COUNTIFS(Assumptions!$C$46:$C$123,1,Assumptions!$F$46:$F$123,'NOI Walk'!CE16,Assumptions!$H$46:$H$123,"&gt;0")-COUNTIFS(Assumptions!$C$46:$C$123,2,Assumptions!$F$46:$F$123,CE16)</f>
        <v>0</v>
      </c>
      <c r="CF18" s="65">
        <f>-COUNTIFS(Assumptions!$C$46:$C$123,1,Assumptions!$F$46:$F$123,'NOI Walk'!CF16,Assumptions!$H$46:$H$123,"&gt;0")-COUNTIFS(Assumptions!$C$46:$C$123,2,Assumptions!$F$46:$F$123,CF16)</f>
        <v>0</v>
      </c>
      <c r="CG18" s="65">
        <f>-COUNTIFS(Assumptions!$C$46:$C$123,1,Assumptions!$F$46:$F$123,'NOI Walk'!CG16,Assumptions!$H$46:$H$123,"&gt;0")-COUNTIFS(Assumptions!$C$46:$C$123,2,Assumptions!$F$46:$F$123,CG16)</f>
        <v>0</v>
      </c>
      <c r="CH18" s="65">
        <f>-COUNTIFS(Assumptions!$C$46:$C$123,1,Assumptions!$F$46:$F$123,'NOI Walk'!CH16,Assumptions!$H$46:$H$123,"&gt;0")-COUNTIFS(Assumptions!$C$46:$C$123,2,Assumptions!$F$46:$F$123,CH16)</f>
        <v>0</v>
      </c>
      <c r="CI18" s="65">
        <f>-COUNTIFS(Assumptions!$C$46:$C$123,1,Assumptions!$F$46:$F$123,'NOI Walk'!CI16,Assumptions!$H$46:$H$123,"&gt;0")-COUNTIFS(Assumptions!$C$46:$C$123,2,Assumptions!$F$46:$F$123,CI16)</f>
        <v>0</v>
      </c>
      <c r="CJ18" s="65">
        <f>-COUNTIFS(Assumptions!$C$46:$C$123,1,Assumptions!$F$46:$F$123,'NOI Walk'!CJ16,Assumptions!$H$46:$H$123,"&gt;0")-COUNTIFS(Assumptions!$C$46:$C$123,2,Assumptions!$F$46:$F$123,CJ16)</f>
        <v>0</v>
      </c>
      <c r="CK18" s="65">
        <f>-COUNTIFS(Assumptions!$C$46:$C$123,1,Assumptions!$F$46:$F$123,'NOI Walk'!CK16,Assumptions!$H$46:$H$123,"&gt;0")-COUNTIFS(Assumptions!$C$46:$C$123,2,Assumptions!$F$46:$F$123,CK16)</f>
        <v>0</v>
      </c>
      <c r="CL18" s="65">
        <f>-COUNTIFS(Assumptions!$C$46:$C$123,1,Assumptions!$F$46:$F$123,'NOI Walk'!CL16,Assumptions!$H$46:$H$123,"&gt;0")-COUNTIFS(Assumptions!$C$46:$C$123,2,Assumptions!$F$46:$F$123,CL16)</f>
        <v>0</v>
      </c>
      <c r="CM18" s="65">
        <f>-COUNTIFS(Assumptions!$C$46:$C$123,1,Assumptions!$F$46:$F$123,'NOI Walk'!CM16,Assumptions!$H$46:$H$123,"&gt;0")-COUNTIFS(Assumptions!$C$46:$C$123,2,Assumptions!$F$46:$F$123,CM16)</f>
        <v>0</v>
      </c>
      <c r="CN18" s="65">
        <f>-COUNTIFS(Assumptions!$C$46:$C$123,1,Assumptions!$F$46:$F$123,'NOI Walk'!CN16,Assumptions!$H$46:$H$123,"&gt;0")-COUNTIFS(Assumptions!$C$46:$C$123,2,Assumptions!$F$46:$F$123,CN16)</f>
        <v>0</v>
      </c>
      <c r="CO18" s="65">
        <f>-COUNTIFS(Assumptions!$C$46:$C$123,1,Assumptions!$F$46:$F$123,'NOI Walk'!CO16,Assumptions!$H$46:$H$123,"&gt;0")-COUNTIFS(Assumptions!$C$46:$C$123,2,Assumptions!$F$46:$F$123,CO16)</f>
        <v>0</v>
      </c>
      <c r="CP18" s="65">
        <f>-COUNTIFS(Assumptions!$C$46:$C$123,1,Assumptions!$F$46:$F$123,'NOI Walk'!CP16,Assumptions!$H$46:$H$123,"&gt;0")-COUNTIFS(Assumptions!$C$46:$C$123,2,Assumptions!$F$46:$F$123,CP16)</f>
        <v>0</v>
      </c>
      <c r="CQ18" s="65">
        <f>-COUNTIFS(Assumptions!$C$46:$C$123,1,Assumptions!$F$46:$F$123,'NOI Walk'!CQ16,Assumptions!$H$46:$H$123,"&gt;0")-COUNTIFS(Assumptions!$C$46:$C$123,2,Assumptions!$F$46:$F$123,CQ16)</f>
        <v>0</v>
      </c>
      <c r="CR18" s="65">
        <f>-COUNTIFS(Assumptions!$C$46:$C$123,1,Assumptions!$F$46:$F$123,'NOI Walk'!CR16,Assumptions!$H$46:$H$123,"&gt;0")-COUNTIFS(Assumptions!$C$46:$C$123,2,Assumptions!$F$46:$F$123,CR16)</f>
        <v>0</v>
      </c>
      <c r="CS18" s="65">
        <f>-COUNTIFS(Assumptions!$C$46:$C$123,1,Assumptions!$F$46:$F$123,'NOI Walk'!CS16,Assumptions!$H$46:$H$123,"&gt;0")-COUNTIFS(Assumptions!$C$46:$C$123,2,Assumptions!$F$46:$F$123,CS16)</f>
        <v>0</v>
      </c>
      <c r="CT18" s="65">
        <f>-COUNTIFS(Assumptions!$C$46:$C$123,1,Assumptions!$F$46:$F$123,'NOI Walk'!CT16,Assumptions!$H$46:$H$123,"&gt;0")-COUNTIFS(Assumptions!$C$46:$C$123,2,Assumptions!$F$46:$F$123,CT16)</f>
        <v>0</v>
      </c>
      <c r="CU18" s="65">
        <f>-COUNTIFS(Assumptions!$C$46:$C$123,1,Assumptions!$F$46:$F$123,'NOI Walk'!CU16,Assumptions!$H$46:$H$123,"&gt;0")-COUNTIFS(Assumptions!$C$46:$C$123,2,Assumptions!$F$46:$F$123,CU16)</f>
        <v>0</v>
      </c>
      <c r="CV18" s="65">
        <f>-COUNTIFS(Assumptions!$C$46:$C$123,1,Assumptions!$F$46:$F$123,'NOI Walk'!CV16,Assumptions!$H$46:$H$123,"&gt;0")-COUNTIFS(Assumptions!$C$46:$C$123,2,Assumptions!$F$46:$F$123,CV16)</f>
        <v>0</v>
      </c>
      <c r="CW18" s="65">
        <f>-COUNTIFS(Assumptions!$C$46:$C$123,1,Assumptions!$F$46:$F$123,'NOI Walk'!CW16,Assumptions!$H$46:$H$123,"&gt;0")-COUNTIFS(Assumptions!$C$46:$C$123,2,Assumptions!$F$46:$F$123,CW16)</f>
        <v>0</v>
      </c>
      <c r="CX18" s="65">
        <f>-COUNTIFS(Assumptions!$C$46:$C$123,1,Assumptions!$F$46:$F$123,'NOI Walk'!CX16,Assumptions!$H$46:$H$123,"&gt;0")-COUNTIFS(Assumptions!$C$46:$C$123,2,Assumptions!$F$46:$F$123,CX16)</f>
        <v>0</v>
      </c>
      <c r="CY18" s="65">
        <f>-COUNTIFS(Assumptions!$C$46:$C$123,1,Assumptions!$F$46:$F$123,'NOI Walk'!CY16,Assumptions!$H$46:$H$123,"&gt;0")-COUNTIFS(Assumptions!$C$46:$C$123,2,Assumptions!$F$46:$F$123,CY16)</f>
        <v>0</v>
      </c>
      <c r="CZ18" s="65">
        <f>-COUNTIFS(Assumptions!$C$46:$C$123,1,Assumptions!$F$46:$F$123,'NOI Walk'!CZ16,Assumptions!$H$46:$H$123,"&gt;0")-COUNTIFS(Assumptions!$C$46:$C$123,2,Assumptions!$F$46:$F$123,CZ16)</f>
        <v>0</v>
      </c>
      <c r="DA18" s="65">
        <f>-COUNTIFS(Assumptions!$C$46:$C$123,1,Assumptions!$F$46:$F$123,'NOI Walk'!DA16,Assumptions!$H$46:$H$123,"&gt;0")-COUNTIFS(Assumptions!$C$46:$C$123,2,Assumptions!$F$46:$F$123,DA16)</f>
        <v>0</v>
      </c>
      <c r="DB18" s="65">
        <f>-COUNTIFS(Assumptions!$C$46:$C$123,1,Assumptions!$F$46:$F$123,'NOI Walk'!DB16,Assumptions!$H$46:$H$123,"&gt;0")-COUNTIFS(Assumptions!$C$46:$C$123,2,Assumptions!$F$46:$F$123,DB16)</f>
        <v>0</v>
      </c>
      <c r="DC18" s="65">
        <f>-COUNTIFS(Assumptions!$C$46:$C$123,1,Assumptions!$F$46:$F$123,'NOI Walk'!DC16,Assumptions!$H$46:$H$123,"&gt;0")-COUNTIFS(Assumptions!$C$46:$C$123,2,Assumptions!$F$46:$F$123,DC16)</f>
        <v>0</v>
      </c>
      <c r="DD18" s="65">
        <f>-COUNTIFS(Assumptions!$C$46:$C$123,1,Assumptions!$F$46:$F$123,'NOI Walk'!DD16,Assumptions!$H$46:$H$123,"&gt;0")-COUNTIFS(Assumptions!$C$46:$C$123,2,Assumptions!$F$46:$F$123,DD16)</f>
        <v>0</v>
      </c>
      <c r="DE18" s="65">
        <f>-COUNTIFS(Assumptions!$C$46:$C$123,1,Assumptions!$F$46:$F$123,'NOI Walk'!DE16,Assumptions!$H$46:$H$123,"&gt;0")-COUNTIFS(Assumptions!$C$46:$C$123,2,Assumptions!$F$46:$F$123,DE16)</f>
        <v>0</v>
      </c>
      <c r="DF18" s="65">
        <f>-COUNTIFS(Assumptions!$C$46:$C$123,1,Assumptions!$F$46:$F$123,'NOI Walk'!DF16,Assumptions!$H$46:$H$123,"&gt;0")-COUNTIFS(Assumptions!$C$46:$C$123,2,Assumptions!$F$46:$F$123,DF16)</f>
        <v>0</v>
      </c>
      <c r="DG18" s="65">
        <f>-COUNTIFS(Assumptions!$C$46:$C$123,1,Assumptions!$F$46:$F$123,'NOI Walk'!DG16,Assumptions!$H$46:$H$123,"&gt;0")-COUNTIFS(Assumptions!$C$46:$C$123,2,Assumptions!$F$46:$F$123,DG16)</f>
        <v>0</v>
      </c>
      <c r="DH18" s="65">
        <f>-COUNTIFS(Assumptions!$C$46:$C$123,1,Assumptions!$F$46:$F$123,'NOI Walk'!DH16,Assumptions!$H$46:$H$123,"&gt;0")-COUNTIFS(Assumptions!$C$46:$C$123,2,Assumptions!$F$46:$F$123,DH16)</f>
        <v>0</v>
      </c>
      <c r="DI18" s="65">
        <f>-COUNTIFS(Assumptions!$C$46:$C$123,1,Assumptions!$F$46:$F$123,'NOI Walk'!DI16,Assumptions!$H$46:$H$123,"&gt;0")-COUNTIFS(Assumptions!$C$46:$C$123,2,Assumptions!$F$46:$F$123,DI16)</f>
        <v>0</v>
      </c>
      <c r="DJ18" s="65">
        <f>-COUNTIFS(Assumptions!$C$46:$C$123,1,Assumptions!$F$46:$F$123,'NOI Walk'!DJ16,Assumptions!$H$46:$H$123,"&gt;0")-COUNTIFS(Assumptions!$C$46:$C$123,2,Assumptions!$F$46:$F$123,DJ16)</f>
        <v>0</v>
      </c>
      <c r="DK18" s="65">
        <f>-COUNTIFS(Assumptions!$C$46:$C$123,1,Assumptions!$F$46:$F$123,'NOI Walk'!DK16,Assumptions!$H$46:$H$123,"&gt;0")-COUNTIFS(Assumptions!$C$46:$C$123,2,Assumptions!$F$46:$F$123,DK16)</f>
        <v>0</v>
      </c>
      <c r="DL18" s="65">
        <f>-COUNTIFS(Assumptions!$C$46:$C$123,1,Assumptions!$F$46:$F$123,'NOI Walk'!DL16,Assumptions!$H$46:$H$123,"&gt;0")-COUNTIFS(Assumptions!$C$46:$C$123,2,Assumptions!$F$46:$F$123,DL16)</f>
        <v>0</v>
      </c>
      <c r="DM18" s="65">
        <f>-COUNTIFS(Assumptions!$C$46:$C$123,1,Assumptions!$F$46:$F$123,'NOI Walk'!DM16,Assumptions!$H$46:$H$123,"&gt;0")-COUNTIFS(Assumptions!$C$46:$C$123,2,Assumptions!$F$46:$F$123,DM16)</f>
        <v>0</v>
      </c>
      <c r="DN18" s="65">
        <f>-COUNTIFS(Assumptions!$C$46:$C$123,1,Assumptions!$F$46:$F$123,'NOI Walk'!DN16,Assumptions!$H$46:$H$123,"&gt;0")-COUNTIFS(Assumptions!$C$46:$C$123,2,Assumptions!$F$46:$F$123,DN16)</f>
        <v>0</v>
      </c>
      <c r="DO18" s="65">
        <f>-COUNTIFS(Assumptions!$C$46:$C$123,1,Assumptions!$F$46:$F$123,'NOI Walk'!DO16,Assumptions!$H$46:$H$123,"&gt;0")-COUNTIFS(Assumptions!$C$46:$C$123,2,Assumptions!$F$46:$F$123,DO16)</f>
        <v>0</v>
      </c>
      <c r="DP18" s="65">
        <f>-COUNTIFS(Assumptions!$C$46:$C$123,1,Assumptions!$F$46:$F$123,'NOI Walk'!DP16,Assumptions!$H$46:$H$123,"&gt;0")-COUNTIFS(Assumptions!$C$46:$C$123,2,Assumptions!$F$46:$F$123,DP16)</f>
        <v>0</v>
      </c>
      <c r="DQ18" s="65">
        <f>-COUNTIFS(Assumptions!$C$46:$C$123,1,Assumptions!$F$46:$F$123,'NOI Walk'!DQ16,Assumptions!$H$46:$H$123,"&gt;0")-COUNTIFS(Assumptions!$C$46:$C$123,2,Assumptions!$F$46:$F$123,DQ16)</f>
        <v>0</v>
      </c>
      <c r="DR18" s="65">
        <f>-COUNTIFS(Assumptions!$C$46:$C$123,1,Assumptions!$F$46:$F$123,'NOI Walk'!DR16,Assumptions!$H$46:$H$123,"&gt;0")-COUNTIFS(Assumptions!$C$46:$C$123,2,Assumptions!$F$46:$F$123,DR16)</f>
        <v>0</v>
      </c>
      <c r="DS18" s="65">
        <f>-COUNTIFS(Assumptions!$C$46:$C$123,1,Assumptions!$F$46:$F$123,'NOI Walk'!DS16,Assumptions!$H$46:$H$123,"&gt;0")-COUNTIFS(Assumptions!$C$46:$C$123,2,Assumptions!$F$46:$F$123,DS16)</f>
        <v>0</v>
      </c>
      <c r="DT18" s="65">
        <f>-COUNTIFS(Assumptions!$C$46:$C$123,1,Assumptions!$F$46:$F$123,'NOI Walk'!DT16,Assumptions!$H$46:$H$123,"&gt;0")-COUNTIFS(Assumptions!$C$46:$C$123,2,Assumptions!$F$46:$F$123,DT16)</f>
        <v>0</v>
      </c>
      <c r="DU18" s="65">
        <f>-COUNTIFS(Assumptions!$C$46:$C$123,1,Assumptions!$F$46:$F$123,'NOI Walk'!DU16,Assumptions!$H$46:$H$123,"&gt;0")-COUNTIFS(Assumptions!$C$46:$C$123,2,Assumptions!$F$46:$F$123,DU16)</f>
        <v>0</v>
      </c>
      <c r="DV18" s="65">
        <f>-COUNTIFS(Assumptions!$C$46:$C$123,1,Assumptions!$F$46:$F$123,'NOI Walk'!DV16,Assumptions!$H$46:$H$123,"&gt;0")-COUNTIFS(Assumptions!$C$46:$C$123,2,Assumptions!$F$46:$F$123,DV16)</f>
        <v>0</v>
      </c>
      <c r="DW18" s="65">
        <f>-COUNTIFS(Assumptions!$C$46:$C$123,1,Assumptions!$F$46:$F$123,'NOI Walk'!DW16,Assumptions!$H$46:$H$123,"&gt;0")-COUNTIFS(Assumptions!$C$46:$C$123,2,Assumptions!$F$46:$F$123,DW16)</f>
        <v>0</v>
      </c>
      <c r="DX18" s="65">
        <f>-COUNTIFS(Assumptions!$C$46:$C$123,1,Assumptions!$F$46:$F$123,'NOI Walk'!DX16,Assumptions!$H$46:$H$123,"&gt;0")-COUNTIFS(Assumptions!$C$46:$C$123,2,Assumptions!$F$46:$F$123,DX16)</f>
        <v>0</v>
      </c>
      <c r="DY18" s="65">
        <f>-COUNTIFS(Assumptions!$C$46:$C$123,1,Assumptions!$F$46:$F$123,'NOI Walk'!DY16,Assumptions!$H$46:$H$123,"&gt;0")-COUNTIFS(Assumptions!$C$46:$C$123,2,Assumptions!$F$46:$F$123,DY16)</f>
        <v>0</v>
      </c>
      <c r="DZ18" s="65">
        <f>-COUNTIFS(Assumptions!$C$46:$C$123,1,Assumptions!$F$46:$F$123,'NOI Walk'!DZ16,Assumptions!$H$46:$H$123,"&gt;0")-COUNTIFS(Assumptions!$C$46:$C$123,2,Assumptions!$F$46:$F$123,DZ16)</f>
        <v>0</v>
      </c>
      <c r="EA18" s="65">
        <f>-COUNTIFS(Assumptions!$C$46:$C$123,1,Assumptions!$F$46:$F$123,'NOI Walk'!EA16,Assumptions!$H$46:$H$123,"&gt;0")-COUNTIFS(Assumptions!$C$46:$C$123,2,Assumptions!$F$46:$F$123,EA16)</f>
        <v>0</v>
      </c>
      <c r="EB18" s="65">
        <f>-COUNTIFS(Assumptions!$C$46:$C$123,1,Assumptions!$F$46:$F$123,'NOI Walk'!EB16,Assumptions!$H$46:$H$123,"&gt;0")-COUNTIFS(Assumptions!$C$46:$C$123,2,Assumptions!$F$46:$F$123,EB16)</f>
        <v>0</v>
      </c>
      <c r="EC18" s="65">
        <f>-COUNTIFS(Assumptions!$C$46:$C$123,1,Assumptions!$F$46:$F$123,'NOI Walk'!EC16,Assumptions!$H$46:$H$123,"&gt;0")-COUNTIFS(Assumptions!$C$46:$C$123,2,Assumptions!$F$46:$F$123,EC16)</f>
        <v>0</v>
      </c>
      <c r="ED18" s="65">
        <f>-COUNTIFS(Assumptions!$C$46:$C$123,1,Assumptions!$F$46:$F$123,'NOI Walk'!ED16,Assumptions!$H$46:$H$123,"&gt;0")-COUNTIFS(Assumptions!$C$46:$C$123,2,Assumptions!$F$46:$F$123,ED16)</f>
        <v>0</v>
      </c>
      <c r="EE18" s="65">
        <f>-COUNTIFS(Assumptions!$C$46:$C$123,1,Assumptions!$F$46:$F$123,'NOI Walk'!EE16,Assumptions!$H$46:$H$123,"&gt;0")-COUNTIFS(Assumptions!$C$46:$C$123,2,Assumptions!$F$46:$F$123,EE16)</f>
        <v>0</v>
      </c>
      <c r="EF18" s="65">
        <f>-COUNTIFS(Assumptions!$C$46:$C$123,1,Assumptions!$F$46:$F$123,'NOI Walk'!EF16,Assumptions!$H$46:$H$123,"&gt;0")-COUNTIFS(Assumptions!$C$46:$C$123,2,Assumptions!$F$46:$F$123,EF16)</f>
        <v>0</v>
      </c>
      <c r="EG18" s="65">
        <f>-COUNTIFS(Assumptions!$C$46:$C$123,1,Assumptions!$F$46:$F$123,'NOI Walk'!EG16,Assumptions!$H$46:$H$123,"&gt;0")-COUNTIFS(Assumptions!$C$46:$C$123,2,Assumptions!$F$46:$F$123,EG16)</f>
        <v>0</v>
      </c>
      <c r="EH18" s="65">
        <f>-COUNTIFS(Assumptions!$C$46:$C$123,1,Assumptions!$F$46:$F$123,'NOI Walk'!EH16,Assumptions!$H$46:$H$123,"&gt;0")-COUNTIFS(Assumptions!$C$46:$C$123,2,Assumptions!$F$46:$F$123,EH16)</f>
        <v>0</v>
      </c>
      <c r="EI18" s="65">
        <f>-COUNTIFS(Assumptions!$C$46:$C$123,1,Assumptions!$F$46:$F$123,'NOI Walk'!EI16,Assumptions!$H$46:$H$123,"&gt;0")-COUNTIFS(Assumptions!$C$46:$C$123,2,Assumptions!$F$46:$F$123,EI16)</f>
        <v>0</v>
      </c>
    </row>
    <row r="19" spans="2:139" x14ac:dyDescent="0.45">
      <c r="B19" s="58" t="s">
        <v>74</v>
      </c>
      <c r="H19" s="65">
        <f>COUNTIFS(Assumptions!$C$46:$C$123,1,Assumptions!$F$46:$F$123,'NOI Walk'!H16-SUM('NOI Walk'!$K$3:$K$4))+COUNTIFS(Assumptions!$C$46:$C$123,2,Assumptions!$F$46:$F$123,'NOI Walk'!H16)</f>
        <v>0</v>
      </c>
      <c r="I19" s="65">
        <f>COUNTIFS(Assumptions!$C$46:$C$123,1,Assumptions!$F$46:$F$123,'NOI Walk'!I16-SUM('NOI Walk'!$K$3:$K$4))+COUNTIFS(Assumptions!$C$46:$C$123,2,Assumptions!$F$46:$F$123,'NOI Walk'!I16)</f>
        <v>0</v>
      </c>
      <c r="J19" s="65">
        <f>COUNTIFS(Assumptions!$C$46:$C$123,1,Assumptions!$F$46:$F$123,'NOI Walk'!J16-SUM('NOI Walk'!$K$3:$K$4))+COUNTIFS(Assumptions!$C$46:$C$123,2,Assumptions!$F$46:$F$123,'NOI Walk'!J16)</f>
        <v>0</v>
      </c>
      <c r="K19" s="65">
        <f>COUNTIFS(Assumptions!$C$46:$C$123,1,Assumptions!$F$46:$F$123,'NOI Walk'!K16-SUM('NOI Walk'!$K$3:$K$4))+COUNTIFS(Assumptions!$C$46:$C$123,2,Assumptions!$F$46:$F$123,'NOI Walk'!K16)</f>
        <v>0</v>
      </c>
      <c r="L19" s="65">
        <f>COUNTIFS(Assumptions!$C$46:$C$123,1,Assumptions!$F$46:$F$123,'NOI Walk'!L16-SUM('NOI Walk'!$K$3:$K$4))+COUNTIFS(Assumptions!$C$46:$C$123,2,Assumptions!$F$46:$F$123,'NOI Walk'!L16)</f>
        <v>3</v>
      </c>
      <c r="M19" s="65">
        <f>COUNTIFS(Assumptions!$C$46:$C$123,1,Assumptions!$F$46:$F$123,'NOI Walk'!M16-SUM('NOI Walk'!$K$3:$K$4))+COUNTIFS(Assumptions!$C$46:$C$123,2,Assumptions!$F$46:$F$123,'NOI Walk'!M16)</f>
        <v>3</v>
      </c>
      <c r="N19" s="65">
        <f>COUNTIFS(Assumptions!$C$46:$C$123,1,Assumptions!$F$46:$F$123,'NOI Walk'!N16-SUM('NOI Walk'!$K$3:$K$4))+COUNTIFS(Assumptions!$C$46:$C$123,2,Assumptions!$F$46:$F$123,'NOI Walk'!N16)</f>
        <v>3</v>
      </c>
      <c r="O19" s="65">
        <f>COUNTIFS(Assumptions!$C$46:$C$123,1,Assumptions!$F$46:$F$123,'NOI Walk'!O16-SUM('NOI Walk'!$K$3:$K$4))+COUNTIFS(Assumptions!$C$46:$C$123,2,Assumptions!$F$46:$F$123,'NOI Walk'!O16)</f>
        <v>3</v>
      </c>
      <c r="P19" s="65">
        <f>COUNTIFS(Assumptions!$C$46:$C$123,1,Assumptions!$F$46:$F$123,'NOI Walk'!P16-SUM('NOI Walk'!$K$3:$K$4))+COUNTIFS(Assumptions!$C$46:$C$123,2,Assumptions!$F$46:$F$123,'NOI Walk'!P16)</f>
        <v>3</v>
      </c>
      <c r="Q19" s="65">
        <f>COUNTIFS(Assumptions!$C$46:$C$123,1,Assumptions!$F$46:$F$123,'NOI Walk'!Q16-SUM('NOI Walk'!$K$3:$K$4))+COUNTIFS(Assumptions!$C$46:$C$123,2,Assumptions!$F$46:$F$123,'NOI Walk'!Q16)</f>
        <v>3</v>
      </c>
      <c r="R19" s="65">
        <f>COUNTIFS(Assumptions!$C$46:$C$123,1,Assumptions!$F$46:$F$123,'NOI Walk'!R16-SUM('NOI Walk'!$K$3:$K$4))+COUNTIFS(Assumptions!$C$46:$C$123,2,Assumptions!$F$46:$F$123,'NOI Walk'!R16)</f>
        <v>3</v>
      </c>
      <c r="S19" s="65">
        <f>COUNTIFS(Assumptions!$C$46:$C$123,1,Assumptions!$F$46:$F$123,'NOI Walk'!S16-SUM('NOI Walk'!$K$3:$K$4))+COUNTIFS(Assumptions!$C$46:$C$123,2,Assumptions!$F$46:$F$123,'NOI Walk'!S16)</f>
        <v>3</v>
      </c>
      <c r="T19" s="65">
        <f>COUNTIFS(Assumptions!$C$46:$C$123,1,Assumptions!$F$46:$F$123,'NOI Walk'!T16-SUM('NOI Walk'!$K$3:$K$4))+COUNTIFS(Assumptions!$C$46:$C$123,2,Assumptions!$F$46:$F$123,'NOI Walk'!T16)</f>
        <v>3</v>
      </c>
      <c r="U19" s="65">
        <f>COUNTIFS(Assumptions!$C$46:$C$123,1,Assumptions!$F$46:$F$123,'NOI Walk'!U16-SUM('NOI Walk'!$K$3:$K$4))+COUNTIFS(Assumptions!$C$46:$C$123,2,Assumptions!$F$46:$F$123,'NOI Walk'!U16)</f>
        <v>3</v>
      </c>
      <c r="V19" s="65">
        <f>COUNTIFS(Assumptions!$C$46:$C$123,1,Assumptions!$F$46:$F$123,'NOI Walk'!V16-SUM('NOI Walk'!$K$3:$K$4))+COUNTIFS(Assumptions!$C$46:$C$123,2,Assumptions!$F$46:$F$123,'NOI Walk'!V16)</f>
        <v>3</v>
      </c>
      <c r="W19" s="65">
        <f>COUNTIFS(Assumptions!$C$46:$C$123,1,Assumptions!$F$46:$F$123,'NOI Walk'!W16-SUM('NOI Walk'!$K$3:$K$4))+COUNTIFS(Assumptions!$C$46:$C$123,2,Assumptions!$F$46:$F$123,'NOI Walk'!W16)</f>
        <v>3</v>
      </c>
      <c r="X19" s="65">
        <f>COUNTIFS(Assumptions!$C$46:$C$123,1,Assumptions!$F$46:$F$123,'NOI Walk'!X16-SUM('NOI Walk'!$K$3:$K$4))+COUNTIFS(Assumptions!$C$46:$C$123,2,Assumptions!$F$46:$F$123,'NOI Walk'!X16)</f>
        <v>3</v>
      </c>
      <c r="Y19" s="65">
        <f>COUNTIFS(Assumptions!$C$46:$C$123,1,Assumptions!$F$46:$F$123,'NOI Walk'!Y16-SUM('NOI Walk'!$K$3:$K$4))+COUNTIFS(Assumptions!$C$46:$C$123,2,Assumptions!$F$46:$F$123,'NOI Walk'!Y16)</f>
        <v>3</v>
      </c>
      <c r="Z19" s="65">
        <f>COUNTIFS(Assumptions!$C$46:$C$123,1,Assumptions!$F$46:$F$123,'NOI Walk'!Z16-SUM('NOI Walk'!$K$3:$K$4))+COUNTIFS(Assumptions!$C$46:$C$123,2,Assumptions!$F$46:$F$123,'NOI Walk'!Z16)</f>
        <v>3</v>
      </c>
      <c r="AA19" s="65">
        <f>COUNTIFS(Assumptions!$C$46:$C$123,1,Assumptions!$F$46:$F$123,'NOI Walk'!AA16-SUM('NOI Walk'!$K$3:$K$4))+COUNTIFS(Assumptions!$C$46:$C$123,2,Assumptions!$F$46:$F$123,'NOI Walk'!AA16)</f>
        <v>3</v>
      </c>
      <c r="AB19" s="65">
        <f>COUNTIFS(Assumptions!$C$46:$C$123,1,Assumptions!$F$46:$F$123,'NOI Walk'!AB16-SUM('NOI Walk'!$K$3:$K$4))+COUNTIFS(Assumptions!$C$46:$C$123,2,Assumptions!$F$46:$F$123,'NOI Walk'!AB16)</f>
        <v>3</v>
      </c>
      <c r="AC19" s="65">
        <f>COUNTIFS(Assumptions!$C$46:$C$123,1,Assumptions!$F$46:$F$123,'NOI Walk'!AC16-SUM('NOI Walk'!$K$3:$K$4))+COUNTIFS(Assumptions!$C$46:$C$123,2,Assumptions!$F$46:$F$123,'NOI Walk'!AC16)</f>
        <v>3</v>
      </c>
      <c r="AD19" s="65">
        <f>COUNTIFS(Assumptions!$C$46:$C$123,1,Assumptions!$F$46:$F$123,'NOI Walk'!AD16-SUM('NOI Walk'!$K$3:$K$4))+COUNTIFS(Assumptions!$C$46:$C$123,2,Assumptions!$F$46:$F$123,'NOI Walk'!AD16)</f>
        <v>3</v>
      </c>
      <c r="AE19" s="65">
        <f>COUNTIFS(Assumptions!$C$46:$C$123,1,Assumptions!$F$46:$F$123,'NOI Walk'!AE16-SUM('NOI Walk'!$K$3:$K$4))+COUNTIFS(Assumptions!$C$46:$C$123,2,Assumptions!$F$46:$F$123,'NOI Walk'!AE16)</f>
        <v>3</v>
      </c>
      <c r="AF19" s="65">
        <f>COUNTIFS(Assumptions!$C$46:$C$123,1,Assumptions!$F$46:$F$123,'NOI Walk'!AF16-SUM('NOI Walk'!$K$3:$K$4))+COUNTIFS(Assumptions!$C$46:$C$123,2,Assumptions!$F$46:$F$123,'NOI Walk'!AF16)</f>
        <v>3</v>
      </c>
      <c r="AG19" s="65">
        <f>COUNTIFS(Assumptions!$C$46:$C$123,1,Assumptions!$F$46:$F$123,'NOI Walk'!AG16-SUM('NOI Walk'!$K$3:$K$4))+COUNTIFS(Assumptions!$C$46:$C$123,2,Assumptions!$F$46:$F$123,'NOI Walk'!AG16)</f>
        <v>3</v>
      </c>
      <c r="AH19" s="65">
        <f>COUNTIFS(Assumptions!$C$46:$C$123,1,Assumptions!$F$46:$F$123,'NOI Walk'!AH16-SUM('NOI Walk'!$K$3:$K$4))+COUNTIFS(Assumptions!$C$46:$C$123,2,Assumptions!$F$46:$F$123,'NOI Walk'!AH16)</f>
        <v>3</v>
      </c>
      <c r="AI19" s="65">
        <f>COUNTIFS(Assumptions!$C$46:$C$123,1,Assumptions!$F$46:$F$123,'NOI Walk'!AI16-SUM('NOI Walk'!$K$3:$K$4))+COUNTIFS(Assumptions!$C$46:$C$123,2,Assumptions!$F$46:$F$123,'NOI Walk'!AI16)</f>
        <v>3</v>
      </c>
      <c r="AJ19" s="65">
        <f>COUNTIFS(Assumptions!$C$46:$C$123,1,Assumptions!$F$46:$F$123,'NOI Walk'!AJ16-SUM('NOI Walk'!$K$3:$K$4))+COUNTIFS(Assumptions!$C$46:$C$123,2,Assumptions!$F$46:$F$123,'NOI Walk'!AJ16)</f>
        <v>3</v>
      </c>
      <c r="AK19" s="65">
        <f>COUNTIFS(Assumptions!$C$46:$C$123,1,Assumptions!$F$46:$F$123,'NOI Walk'!AK16-SUM('NOI Walk'!$K$3:$K$4))+COUNTIFS(Assumptions!$C$46:$C$123,2,Assumptions!$F$46:$F$123,'NOI Walk'!AK16)</f>
        <v>3</v>
      </c>
      <c r="AL19" s="65">
        <f>COUNTIFS(Assumptions!$C$46:$C$123,1,Assumptions!$F$46:$F$123,'NOI Walk'!AL16-SUM('NOI Walk'!$K$3:$K$4))+COUNTIFS(Assumptions!$C$46:$C$123,2,Assumptions!$F$46:$F$123,'NOI Walk'!AL16)</f>
        <v>0</v>
      </c>
      <c r="AM19" s="65">
        <f>COUNTIFS(Assumptions!$C$46:$C$123,1,Assumptions!$F$46:$F$123,'NOI Walk'!AM16-SUM('NOI Walk'!$K$3:$K$4))+COUNTIFS(Assumptions!$C$46:$C$123,2,Assumptions!$F$46:$F$123,'NOI Walk'!AM16)</f>
        <v>0</v>
      </c>
      <c r="AN19" s="65">
        <f>COUNTIFS(Assumptions!$C$46:$C$123,1,Assumptions!$F$46:$F$123,'NOI Walk'!AN16-SUM('NOI Walk'!$K$3:$K$4))+COUNTIFS(Assumptions!$C$46:$C$123,2,Assumptions!$F$46:$F$123,'NOI Walk'!AN16)</f>
        <v>0</v>
      </c>
      <c r="AO19" s="65">
        <f>COUNTIFS(Assumptions!$C$46:$C$123,1,Assumptions!$F$46:$F$123,'NOI Walk'!AO16-SUM('NOI Walk'!$K$3:$K$4))+COUNTIFS(Assumptions!$C$46:$C$123,2,Assumptions!$F$46:$F$123,'NOI Walk'!AO16)</f>
        <v>0</v>
      </c>
      <c r="AP19" s="65">
        <f>COUNTIFS(Assumptions!$C$46:$C$123,1,Assumptions!$F$46:$F$123,'NOI Walk'!AP16-SUM('NOI Walk'!$K$3:$K$4))+COUNTIFS(Assumptions!$C$46:$C$123,2,Assumptions!$F$46:$F$123,'NOI Walk'!AP16)</f>
        <v>0</v>
      </c>
      <c r="AQ19" s="65">
        <f>COUNTIFS(Assumptions!$C$46:$C$123,1,Assumptions!$F$46:$F$123,'NOI Walk'!AQ16-SUM('NOI Walk'!$K$3:$K$4))+COUNTIFS(Assumptions!$C$46:$C$123,2,Assumptions!$F$46:$F$123,'NOI Walk'!AQ16)</f>
        <v>0</v>
      </c>
      <c r="AR19" s="65">
        <f>COUNTIFS(Assumptions!$C$46:$C$123,1,Assumptions!$F$46:$F$123,'NOI Walk'!AR16-SUM('NOI Walk'!$K$3:$K$4))+COUNTIFS(Assumptions!$C$46:$C$123,2,Assumptions!$F$46:$F$123,'NOI Walk'!AR16)</f>
        <v>0</v>
      </c>
      <c r="AS19" s="65">
        <f>COUNTIFS(Assumptions!$C$46:$C$123,1,Assumptions!$F$46:$F$123,'NOI Walk'!AS16-SUM('NOI Walk'!$K$3:$K$4))+COUNTIFS(Assumptions!$C$46:$C$123,2,Assumptions!$F$46:$F$123,'NOI Walk'!AS16)</f>
        <v>0</v>
      </c>
      <c r="AT19" s="65">
        <f>COUNTIFS(Assumptions!$C$46:$C$123,1,Assumptions!$F$46:$F$123,'NOI Walk'!AT16-SUM('NOI Walk'!$K$3:$K$4))+COUNTIFS(Assumptions!$C$46:$C$123,2,Assumptions!$F$46:$F$123,'NOI Walk'!AT16)</f>
        <v>0</v>
      </c>
      <c r="AU19" s="65">
        <f>COUNTIFS(Assumptions!$C$46:$C$123,1,Assumptions!$F$46:$F$123,'NOI Walk'!AU16-SUM('NOI Walk'!$K$3:$K$4))+COUNTIFS(Assumptions!$C$46:$C$123,2,Assumptions!$F$46:$F$123,'NOI Walk'!AU16)</f>
        <v>0</v>
      </c>
      <c r="AV19" s="65">
        <f>COUNTIFS(Assumptions!$C$46:$C$123,1,Assumptions!$F$46:$F$123,'NOI Walk'!AV16-SUM('NOI Walk'!$K$3:$K$4))+COUNTIFS(Assumptions!$C$46:$C$123,2,Assumptions!$F$46:$F$123,'NOI Walk'!AV16)</f>
        <v>0</v>
      </c>
      <c r="AW19" s="65">
        <f>COUNTIFS(Assumptions!$C$46:$C$123,1,Assumptions!$F$46:$F$123,'NOI Walk'!AW16-SUM('NOI Walk'!$K$3:$K$4))+COUNTIFS(Assumptions!$C$46:$C$123,2,Assumptions!$F$46:$F$123,'NOI Walk'!AW16)</f>
        <v>0</v>
      </c>
      <c r="AX19" s="65">
        <f>COUNTIFS(Assumptions!$C$46:$C$123,1,Assumptions!$F$46:$F$123,'NOI Walk'!AX16-SUM('NOI Walk'!$K$3:$K$4))+COUNTIFS(Assumptions!$C$46:$C$123,2,Assumptions!$F$46:$F$123,'NOI Walk'!AX16)</f>
        <v>0</v>
      </c>
      <c r="AY19" s="65">
        <f>COUNTIFS(Assumptions!$C$46:$C$123,1,Assumptions!$F$46:$F$123,'NOI Walk'!AY16-SUM('NOI Walk'!$K$3:$K$4))+COUNTIFS(Assumptions!$C$46:$C$123,2,Assumptions!$F$46:$F$123,'NOI Walk'!AY16)</f>
        <v>0</v>
      </c>
      <c r="AZ19" s="65">
        <f>COUNTIFS(Assumptions!$C$46:$C$123,1,Assumptions!$F$46:$F$123,'NOI Walk'!AZ16-SUM('NOI Walk'!$K$3:$K$4))+COUNTIFS(Assumptions!$C$46:$C$123,2,Assumptions!$F$46:$F$123,'NOI Walk'!AZ16)</f>
        <v>0</v>
      </c>
      <c r="BA19" s="65">
        <f>COUNTIFS(Assumptions!$C$46:$C$123,1,Assumptions!$F$46:$F$123,'NOI Walk'!BA16-SUM('NOI Walk'!$K$3:$K$4))+COUNTIFS(Assumptions!$C$46:$C$123,2,Assumptions!$F$46:$F$123,'NOI Walk'!BA16)</f>
        <v>0</v>
      </c>
      <c r="BB19" s="65">
        <f>COUNTIFS(Assumptions!$C$46:$C$123,1,Assumptions!$F$46:$F$123,'NOI Walk'!BB16-SUM('NOI Walk'!$K$3:$K$4))+COUNTIFS(Assumptions!$C$46:$C$123,2,Assumptions!$F$46:$F$123,'NOI Walk'!BB16)</f>
        <v>0</v>
      </c>
      <c r="BC19" s="65">
        <f>COUNTIFS(Assumptions!$C$46:$C$123,1,Assumptions!$F$46:$F$123,'NOI Walk'!BC16-SUM('NOI Walk'!$K$3:$K$4))+COUNTIFS(Assumptions!$C$46:$C$123,2,Assumptions!$F$46:$F$123,'NOI Walk'!BC16)</f>
        <v>0</v>
      </c>
      <c r="BD19" s="65">
        <f>COUNTIFS(Assumptions!$C$46:$C$123,1,Assumptions!$F$46:$F$123,'NOI Walk'!BD16-SUM('NOI Walk'!$K$3:$K$4))+COUNTIFS(Assumptions!$C$46:$C$123,2,Assumptions!$F$46:$F$123,'NOI Walk'!BD16)</f>
        <v>0</v>
      </c>
      <c r="BE19" s="65">
        <f>COUNTIFS(Assumptions!$C$46:$C$123,1,Assumptions!$F$46:$F$123,'NOI Walk'!BE16-SUM('NOI Walk'!$K$3:$K$4))+COUNTIFS(Assumptions!$C$46:$C$123,2,Assumptions!$F$46:$F$123,'NOI Walk'!BE16)</f>
        <v>0</v>
      </c>
      <c r="BF19" s="65">
        <f>COUNTIFS(Assumptions!$C$46:$C$123,1,Assumptions!$F$46:$F$123,'NOI Walk'!BF16-SUM('NOI Walk'!$K$3:$K$4))+COUNTIFS(Assumptions!$C$46:$C$123,2,Assumptions!$F$46:$F$123,'NOI Walk'!BF16)</f>
        <v>0</v>
      </c>
      <c r="BG19" s="65">
        <f>COUNTIFS(Assumptions!$C$46:$C$123,1,Assumptions!$F$46:$F$123,'NOI Walk'!BG16-SUM('NOI Walk'!$K$3:$K$4))+COUNTIFS(Assumptions!$C$46:$C$123,2,Assumptions!$F$46:$F$123,'NOI Walk'!BG16)</f>
        <v>0</v>
      </c>
      <c r="BH19" s="65">
        <f>COUNTIFS(Assumptions!$C$46:$C$123,1,Assumptions!$F$46:$F$123,'NOI Walk'!BH16-SUM('NOI Walk'!$K$3:$K$4))+COUNTIFS(Assumptions!$C$46:$C$123,2,Assumptions!$F$46:$F$123,'NOI Walk'!BH16)</f>
        <v>0</v>
      </c>
      <c r="BI19" s="65">
        <f>COUNTIFS(Assumptions!$C$46:$C$123,1,Assumptions!$F$46:$F$123,'NOI Walk'!BI16-SUM('NOI Walk'!$K$3:$K$4))+COUNTIFS(Assumptions!$C$46:$C$123,2,Assumptions!$F$46:$F$123,'NOI Walk'!BI16)</f>
        <v>0</v>
      </c>
      <c r="BJ19" s="65">
        <f>COUNTIFS(Assumptions!$C$46:$C$123,1,Assumptions!$F$46:$F$123,'NOI Walk'!BJ16-SUM('NOI Walk'!$K$3:$K$4))+COUNTIFS(Assumptions!$C$46:$C$123,2,Assumptions!$F$46:$F$123,'NOI Walk'!BJ16)</f>
        <v>0</v>
      </c>
      <c r="BK19" s="65">
        <f>COUNTIFS(Assumptions!$C$46:$C$123,1,Assumptions!$F$46:$F$123,'NOI Walk'!BK16-SUM('NOI Walk'!$K$3:$K$4))+COUNTIFS(Assumptions!$C$46:$C$123,2,Assumptions!$F$46:$F$123,'NOI Walk'!BK16)</f>
        <v>0</v>
      </c>
      <c r="BL19" s="65">
        <f>COUNTIFS(Assumptions!$C$46:$C$123,1,Assumptions!$F$46:$F$123,'NOI Walk'!BL16-SUM('NOI Walk'!$K$3:$K$4))+COUNTIFS(Assumptions!$C$46:$C$123,2,Assumptions!$F$46:$F$123,'NOI Walk'!BL16)</f>
        <v>0</v>
      </c>
      <c r="BM19" s="65">
        <f>COUNTIFS(Assumptions!$C$46:$C$123,1,Assumptions!$F$46:$F$123,'NOI Walk'!BM16-SUM('NOI Walk'!$K$3:$K$4))+COUNTIFS(Assumptions!$C$46:$C$123,2,Assumptions!$F$46:$F$123,'NOI Walk'!BM16)</f>
        <v>0</v>
      </c>
      <c r="BN19" s="65">
        <f>COUNTIFS(Assumptions!$C$46:$C$123,1,Assumptions!$F$46:$F$123,'NOI Walk'!BN16-SUM('NOI Walk'!$K$3:$K$4))+COUNTIFS(Assumptions!$C$46:$C$123,2,Assumptions!$F$46:$F$123,'NOI Walk'!BN16)</f>
        <v>0</v>
      </c>
      <c r="BO19" s="65">
        <f>COUNTIFS(Assumptions!$C$46:$C$123,1,Assumptions!$F$46:$F$123,'NOI Walk'!BO16-SUM('NOI Walk'!$K$3:$K$4))+COUNTIFS(Assumptions!$C$46:$C$123,2,Assumptions!$F$46:$F$123,'NOI Walk'!BO16)</f>
        <v>0</v>
      </c>
      <c r="BP19" s="65">
        <f>COUNTIFS(Assumptions!$C$46:$C$123,1,Assumptions!$F$46:$F$123,'NOI Walk'!BP16-SUM('NOI Walk'!$K$3:$K$4))+COUNTIFS(Assumptions!$C$46:$C$123,2,Assumptions!$F$46:$F$123,'NOI Walk'!BP16)</f>
        <v>0</v>
      </c>
      <c r="BQ19" s="65">
        <f>COUNTIFS(Assumptions!$C$46:$C$123,1,Assumptions!$F$46:$F$123,'NOI Walk'!BQ16-SUM('NOI Walk'!$K$3:$K$4))+COUNTIFS(Assumptions!$C$46:$C$123,2,Assumptions!$F$46:$F$123,'NOI Walk'!BQ16)</f>
        <v>0</v>
      </c>
      <c r="BR19" s="65">
        <f>COUNTIFS(Assumptions!$C$46:$C$123,1,Assumptions!$F$46:$F$123,'NOI Walk'!BR16-SUM('NOI Walk'!$K$3:$K$4))+COUNTIFS(Assumptions!$C$46:$C$123,2,Assumptions!$F$46:$F$123,'NOI Walk'!BR16)</f>
        <v>0</v>
      </c>
      <c r="BS19" s="65">
        <f>COUNTIFS(Assumptions!$C$46:$C$123,1,Assumptions!$F$46:$F$123,'NOI Walk'!BS16-SUM('NOI Walk'!$K$3:$K$4))+COUNTIFS(Assumptions!$C$46:$C$123,2,Assumptions!$F$46:$F$123,'NOI Walk'!BS16)</f>
        <v>0</v>
      </c>
      <c r="BT19" s="65">
        <f>COUNTIFS(Assumptions!$C$46:$C$123,1,Assumptions!$F$46:$F$123,'NOI Walk'!BT16-SUM('NOI Walk'!$K$3:$K$4))+COUNTIFS(Assumptions!$C$46:$C$123,2,Assumptions!$F$46:$F$123,'NOI Walk'!BT16)</f>
        <v>0</v>
      </c>
      <c r="BU19" s="65">
        <f>COUNTIFS(Assumptions!$C$46:$C$123,1,Assumptions!$F$46:$F$123,'NOI Walk'!BU16-SUM('NOI Walk'!$K$3:$K$4))+COUNTIFS(Assumptions!$C$46:$C$123,2,Assumptions!$F$46:$F$123,'NOI Walk'!BU16)</f>
        <v>0</v>
      </c>
      <c r="BV19" s="65">
        <f>COUNTIFS(Assumptions!$C$46:$C$123,1,Assumptions!$F$46:$F$123,'NOI Walk'!BV16-SUM('NOI Walk'!$K$3:$K$4))+COUNTIFS(Assumptions!$C$46:$C$123,2,Assumptions!$F$46:$F$123,'NOI Walk'!BV16)</f>
        <v>0</v>
      </c>
      <c r="BW19" s="65">
        <f>COUNTIFS(Assumptions!$C$46:$C$123,1,Assumptions!$F$46:$F$123,'NOI Walk'!BW16-SUM('NOI Walk'!$K$3:$K$4))+COUNTIFS(Assumptions!$C$46:$C$123,2,Assumptions!$F$46:$F$123,'NOI Walk'!BW16)</f>
        <v>0</v>
      </c>
      <c r="BX19" s="65">
        <f>COUNTIFS(Assumptions!$C$46:$C$123,1,Assumptions!$F$46:$F$123,'NOI Walk'!BX16-SUM('NOI Walk'!$K$3:$K$4))+COUNTIFS(Assumptions!$C$46:$C$123,2,Assumptions!$F$46:$F$123,'NOI Walk'!BX16)</f>
        <v>0</v>
      </c>
      <c r="BY19" s="65">
        <f>COUNTIFS(Assumptions!$C$46:$C$123,1,Assumptions!$F$46:$F$123,'NOI Walk'!BY16-SUM('NOI Walk'!$K$3:$K$4))+COUNTIFS(Assumptions!$C$46:$C$123,2,Assumptions!$F$46:$F$123,'NOI Walk'!BY16)</f>
        <v>0</v>
      </c>
      <c r="BZ19" s="65">
        <f>COUNTIFS(Assumptions!$C$46:$C$123,1,Assumptions!$F$46:$F$123,'NOI Walk'!BZ16-SUM('NOI Walk'!$K$3:$K$4))+COUNTIFS(Assumptions!$C$46:$C$123,2,Assumptions!$F$46:$F$123,'NOI Walk'!BZ16)</f>
        <v>0</v>
      </c>
      <c r="CA19" s="65">
        <f>COUNTIFS(Assumptions!$C$46:$C$123,1,Assumptions!$F$46:$F$123,'NOI Walk'!CA16-SUM('NOI Walk'!$K$3:$K$4))+COUNTIFS(Assumptions!$C$46:$C$123,2,Assumptions!$F$46:$F$123,'NOI Walk'!CA16)</f>
        <v>0</v>
      </c>
      <c r="CB19" s="65">
        <f>COUNTIFS(Assumptions!$C$46:$C$123,1,Assumptions!$F$46:$F$123,'NOI Walk'!CB16-SUM('NOI Walk'!$K$3:$K$4))+COUNTIFS(Assumptions!$C$46:$C$123,2,Assumptions!$F$46:$F$123,'NOI Walk'!CB16)</f>
        <v>0</v>
      </c>
      <c r="CC19" s="65">
        <f>COUNTIFS(Assumptions!$C$46:$C$123,1,Assumptions!$F$46:$F$123,'NOI Walk'!CC16-SUM('NOI Walk'!$K$3:$K$4))+COUNTIFS(Assumptions!$C$46:$C$123,2,Assumptions!$F$46:$F$123,'NOI Walk'!CC16)</f>
        <v>0</v>
      </c>
      <c r="CD19" s="65">
        <f>COUNTIFS(Assumptions!$C$46:$C$123,1,Assumptions!$F$46:$F$123,'NOI Walk'!CD16-SUM('NOI Walk'!$K$3:$K$4))+COUNTIFS(Assumptions!$C$46:$C$123,2,Assumptions!$F$46:$F$123,'NOI Walk'!CD16)</f>
        <v>0</v>
      </c>
      <c r="CE19" s="65">
        <f>COUNTIFS(Assumptions!$C$46:$C$123,1,Assumptions!$F$46:$F$123,'NOI Walk'!CE16-SUM('NOI Walk'!$K$3:$K$4))+COUNTIFS(Assumptions!$C$46:$C$123,2,Assumptions!$F$46:$F$123,'NOI Walk'!CE16)</f>
        <v>0</v>
      </c>
      <c r="CF19" s="65">
        <f>COUNTIFS(Assumptions!$C$46:$C$123,1,Assumptions!$F$46:$F$123,'NOI Walk'!CF16-SUM('NOI Walk'!$K$3:$K$4))+COUNTIFS(Assumptions!$C$46:$C$123,2,Assumptions!$F$46:$F$123,'NOI Walk'!CF16)</f>
        <v>0</v>
      </c>
      <c r="CG19" s="65">
        <f>COUNTIFS(Assumptions!$C$46:$C$123,1,Assumptions!$F$46:$F$123,'NOI Walk'!CG16-SUM('NOI Walk'!$K$3:$K$4))+COUNTIFS(Assumptions!$C$46:$C$123,2,Assumptions!$F$46:$F$123,'NOI Walk'!CG16)</f>
        <v>0</v>
      </c>
      <c r="CH19" s="65">
        <f>COUNTIFS(Assumptions!$C$46:$C$123,1,Assumptions!$F$46:$F$123,'NOI Walk'!CH16-SUM('NOI Walk'!$K$3:$K$4))+COUNTIFS(Assumptions!$C$46:$C$123,2,Assumptions!$F$46:$F$123,'NOI Walk'!CH16)</f>
        <v>0</v>
      </c>
      <c r="CI19" s="65">
        <f>COUNTIFS(Assumptions!$C$46:$C$123,1,Assumptions!$F$46:$F$123,'NOI Walk'!CI16-SUM('NOI Walk'!$K$3:$K$4))+COUNTIFS(Assumptions!$C$46:$C$123,2,Assumptions!$F$46:$F$123,'NOI Walk'!CI16)</f>
        <v>0</v>
      </c>
      <c r="CJ19" s="65">
        <f>COUNTIFS(Assumptions!$C$46:$C$123,1,Assumptions!$F$46:$F$123,'NOI Walk'!CJ16-SUM('NOI Walk'!$K$3:$K$4))+COUNTIFS(Assumptions!$C$46:$C$123,2,Assumptions!$F$46:$F$123,'NOI Walk'!CJ16)</f>
        <v>0</v>
      </c>
      <c r="CK19" s="65">
        <f>COUNTIFS(Assumptions!$C$46:$C$123,1,Assumptions!$F$46:$F$123,'NOI Walk'!CK16-SUM('NOI Walk'!$K$3:$K$4))+COUNTIFS(Assumptions!$C$46:$C$123,2,Assumptions!$F$46:$F$123,'NOI Walk'!CK16)</f>
        <v>0</v>
      </c>
      <c r="CL19" s="65">
        <f>COUNTIFS(Assumptions!$C$46:$C$123,1,Assumptions!$F$46:$F$123,'NOI Walk'!CL16-SUM('NOI Walk'!$K$3:$K$4))+COUNTIFS(Assumptions!$C$46:$C$123,2,Assumptions!$F$46:$F$123,'NOI Walk'!CL16)</f>
        <v>0</v>
      </c>
      <c r="CM19" s="65">
        <f>COUNTIFS(Assumptions!$C$46:$C$123,1,Assumptions!$F$46:$F$123,'NOI Walk'!CM16-SUM('NOI Walk'!$K$3:$K$4))+COUNTIFS(Assumptions!$C$46:$C$123,2,Assumptions!$F$46:$F$123,'NOI Walk'!CM16)</f>
        <v>0</v>
      </c>
      <c r="CN19" s="65">
        <f>COUNTIFS(Assumptions!$C$46:$C$123,1,Assumptions!$F$46:$F$123,'NOI Walk'!CN16-SUM('NOI Walk'!$K$3:$K$4))+COUNTIFS(Assumptions!$C$46:$C$123,2,Assumptions!$F$46:$F$123,'NOI Walk'!CN16)</f>
        <v>0</v>
      </c>
      <c r="CO19" s="65">
        <f>COUNTIFS(Assumptions!$C$46:$C$123,1,Assumptions!$F$46:$F$123,'NOI Walk'!CO16-SUM('NOI Walk'!$K$3:$K$4))+COUNTIFS(Assumptions!$C$46:$C$123,2,Assumptions!$F$46:$F$123,'NOI Walk'!CO16)</f>
        <v>0</v>
      </c>
      <c r="CP19" s="65">
        <f>COUNTIFS(Assumptions!$C$46:$C$123,1,Assumptions!$F$46:$F$123,'NOI Walk'!CP16-SUM('NOI Walk'!$K$3:$K$4))+COUNTIFS(Assumptions!$C$46:$C$123,2,Assumptions!$F$46:$F$123,'NOI Walk'!CP16)</f>
        <v>0</v>
      </c>
      <c r="CQ19" s="65">
        <f>COUNTIFS(Assumptions!$C$46:$C$123,1,Assumptions!$F$46:$F$123,'NOI Walk'!CQ16-SUM('NOI Walk'!$K$3:$K$4))+COUNTIFS(Assumptions!$C$46:$C$123,2,Assumptions!$F$46:$F$123,'NOI Walk'!CQ16)</f>
        <v>0</v>
      </c>
      <c r="CR19" s="65">
        <f>COUNTIFS(Assumptions!$C$46:$C$123,1,Assumptions!$F$46:$F$123,'NOI Walk'!CR16-SUM('NOI Walk'!$K$3:$K$4))+COUNTIFS(Assumptions!$C$46:$C$123,2,Assumptions!$F$46:$F$123,'NOI Walk'!CR16)</f>
        <v>0</v>
      </c>
      <c r="CS19" s="65">
        <f>COUNTIFS(Assumptions!$C$46:$C$123,1,Assumptions!$F$46:$F$123,'NOI Walk'!CS16-SUM('NOI Walk'!$K$3:$K$4))+COUNTIFS(Assumptions!$C$46:$C$123,2,Assumptions!$F$46:$F$123,'NOI Walk'!CS16)</f>
        <v>0</v>
      </c>
      <c r="CT19" s="65">
        <f>COUNTIFS(Assumptions!$C$46:$C$123,1,Assumptions!$F$46:$F$123,'NOI Walk'!CT16-SUM('NOI Walk'!$K$3:$K$4))+COUNTIFS(Assumptions!$C$46:$C$123,2,Assumptions!$F$46:$F$123,'NOI Walk'!CT16)</f>
        <v>0</v>
      </c>
      <c r="CU19" s="65">
        <f>COUNTIFS(Assumptions!$C$46:$C$123,1,Assumptions!$F$46:$F$123,'NOI Walk'!CU16-SUM('NOI Walk'!$K$3:$K$4))+COUNTIFS(Assumptions!$C$46:$C$123,2,Assumptions!$F$46:$F$123,'NOI Walk'!CU16)</f>
        <v>0</v>
      </c>
      <c r="CV19" s="65">
        <f>COUNTIFS(Assumptions!$C$46:$C$123,1,Assumptions!$F$46:$F$123,'NOI Walk'!CV16-SUM('NOI Walk'!$K$3:$K$4))+COUNTIFS(Assumptions!$C$46:$C$123,2,Assumptions!$F$46:$F$123,'NOI Walk'!CV16)</f>
        <v>0</v>
      </c>
      <c r="CW19" s="65">
        <f>COUNTIFS(Assumptions!$C$46:$C$123,1,Assumptions!$F$46:$F$123,'NOI Walk'!CW16-SUM('NOI Walk'!$K$3:$K$4))+COUNTIFS(Assumptions!$C$46:$C$123,2,Assumptions!$F$46:$F$123,'NOI Walk'!CW16)</f>
        <v>0</v>
      </c>
      <c r="CX19" s="65">
        <f>COUNTIFS(Assumptions!$C$46:$C$123,1,Assumptions!$F$46:$F$123,'NOI Walk'!CX16-SUM('NOI Walk'!$K$3:$K$4))+COUNTIFS(Assumptions!$C$46:$C$123,2,Assumptions!$F$46:$F$123,'NOI Walk'!CX16)</f>
        <v>0</v>
      </c>
      <c r="CY19" s="65">
        <f>COUNTIFS(Assumptions!$C$46:$C$123,1,Assumptions!$F$46:$F$123,'NOI Walk'!CY16-SUM('NOI Walk'!$K$3:$K$4))+COUNTIFS(Assumptions!$C$46:$C$123,2,Assumptions!$F$46:$F$123,'NOI Walk'!CY16)</f>
        <v>0</v>
      </c>
      <c r="CZ19" s="65">
        <f>COUNTIFS(Assumptions!$C$46:$C$123,1,Assumptions!$F$46:$F$123,'NOI Walk'!CZ16-SUM('NOI Walk'!$K$3:$K$4))+COUNTIFS(Assumptions!$C$46:$C$123,2,Assumptions!$F$46:$F$123,'NOI Walk'!CZ16)</f>
        <v>0</v>
      </c>
      <c r="DA19" s="65">
        <f>COUNTIFS(Assumptions!$C$46:$C$123,1,Assumptions!$F$46:$F$123,'NOI Walk'!DA16-SUM('NOI Walk'!$K$3:$K$4))+COUNTIFS(Assumptions!$C$46:$C$123,2,Assumptions!$F$46:$F$123,'NOI Walk'!DA16)</f>
        <v>0</v>
      </c>
      <c r="DB19" s="65">
        <f>COUNTIFS(Assumptions!$C$46:$C$123,1,Assumptions!$F$46:$F$123,'NOI Walk'!DB16-SUM('NOI Walk'!$K$3:$K$4))+COUNTIFS(Assumptions!$C$46:$C$123,2,Assumptions!$F$46:$F$123,'NOI Walk'!DB16)</f>
        <v>0</v>
      </c>
      <c r="DC19" s="65">
        <f>COUNTIFS(Assumptions!$C$46:$C$123,1,Assumptions!$F$46:$F$123,'NOI Walk'!DC16-SUM('NOI Walk'!$K$3:$K$4))+COUNTIFS(Assumptions!$C$46:$C$123,2,Assumptions!$F$46:$F$123,'NOI Walk'!DC16)</f>
        <v>0</v>
      </c>
      <c r="DD19" s="65">
        <f>COUNTIFS(Assumptions!$C$46:$C$123,1,Assumptions!$F$46:$F$123,'NOI Walk'!DD16-SUM('NOI Walk'!$K$3:$K$4))+COUNTIFS(Assumptions!$C$46:$C$123,2,Assumptions!$F$46:$F$123,'NOI Walk'!DD16)</f>
        <v>0</v>
      </c>
      <c r="DE19" s="65">
        <f>COUNTIFS(Assumptions!$C$46:$C$123,1,Assumptions!$F$46:$F$123,'NOI Walk'!DE16-SUM('NOI Walk'!$K$3:$K$4))+COUNTIFS(Assumptions!$C$46:$C$123,2,Assumptions!$F$46:$F$123,'NOI Walk'!DE16)</f>
        <v>0</v>
      </c>
      <c r="DF19" s="65">
        <f>COUNTIFS(Assumptions!$C$46:$C$123,1,Assumptions!$F$46:$F$123,'NOI Walk'!DF16-SUM('NOI Walk'!$K$3:$K$4))+COUNTIFS(Assumptions!$C$46:$C$123,2,Assumptions!$F$46:$F$123,'NOI Walk'!DF16)</f>
        <v>0</v>
      </c>
      <c r="DG19" s="65">
        <f>COUNTIFS(Assumptions!$C$46:$C$123,1,Assumptions!$F$46:$F$123,'NOI Walk'!DG16-SUM('NOI Walk'!$K$3:$K$4))+COUNTIFS(Assumptions!$C$46:$C$123,2,Assumptions!$F$46:$F$123,'NOI Walk'!DG16)</f>
        <v>0</v>
      </c>
      <c r="DH19" s="65">
        <f>COUNTIFS(Assumptions!$C$46:$C$123,1,Assumptions!$F$46:$F$123,'NOI Walk'!DH16-SUM('NOI Walk'!$K$3:$K$4))+COUNTIFS(Assumptions!$C$46:$C$123,2,Assumptions!$F$46:$F$123,'NOI Walk'!DH16)</f>
        <v>0</v>
      </c>
      <c r="DI19" s="65">
        <f>COUNTIFS(Assumptions!$C$46:$C$123,1,Assumptions!$F$46:$F$123,'NOI Walk'!DI16-SUM('NOI Walk'!$K$3:$K$4))+COUNTIFS(Assumptions!$C$46:$C$123,2,Assumptions!$F$46:$F$123,'NOI Walk'!DI16)</f>
        <v>0</v>
      </c>
      <c r="DJ19" s="65">
        <f>COUNTIFS(Assumptions!$C$46:$C$123,1,Assumptions!$F$46:$F$123,'NOI Walk'!DJ16-SUM('NOI Walk'!$K$3:$K$4))+COUNTIFS(Assumptions!$C$46:$C$123,2,Assumptions!$F$46:$F$123,'NOI Walk'!DJ16)</f>
        <v>0</v>
      </c>
      <c r="DK19" s="65">
        <f>COUNTIFS(Assumptions!$C$46:$C$123,1,Assumptions!$F$46:$F$123,'NOI Walk'!DK16-SUM('NOI Walk'!$K$3:$K$4))+COUNTIFS(Assumptions!$C$46:$C$123,2,Assumptions!$F$46:$F$123,'NOI Walk'!DK16)</f>
        <v>0</v>
      </c>
      <c r="DL19" s="65">
        <f>COUNTIFS(Assumptions!$C$46:$C$123,1,Assumptions!$F$46:$F$123,'NOI Walk'!DL16-SUM('NOI Walk'!$K$3:$K$4))+COUNTIFS(Assumptions!$C$46:$C$123,2,Assumptions!$F$46:$F$123,'NOI Walk'!DL16)</f>
        <v>0</v>
      </c>
      <c r="DM19" s="65">
        <f>COUNTIFS(Assumptions!$C$46:$C$123,1,Assumptions!$F$46:$F$123,'NOI Walk'!DM16-SUM('NOI Walk'!$K$3:$K$4))+COUNTIFS(Assumptions!$C$46:$C$123,2,Assumptions!$F$46:$F$123,'NOI Walk'!DM16)</f>
        <v>0</v>
      </c>
      <c r="DN19" s="65">
        <f>COUNTIFS(Assumptions!$C$46:$C$123,1,Assumptions!$F$46:$F$123,'NOI Walk'!DN16-SUM('NOI Walk'!$K$3:$K$4))+COUNTIFS(Assumptions!$C$46:$C$123,2,Assumptions!$F$46:$F$123,'NOI Walk'!DN16)</f>
        <v>0</v>
      </c>
      <c r="DO19" s="65">
        <f>COUNTIFS(Assumptions!$C$46:$C$123,1,Assumptions!$F$46:$F$123,'NOI Walk'!DO16-SUM('NOI Walk'!$K$3:$K$4))+COUNTIFS(Assumptions!$C$46:$C$123,2,Assumptions!$F$46:$F$123,'NOI Walk'!DO16)</f>
        <v>0</v>
      </c>
      <c r="DP19" s="65">
        <f>COUNTIFS(Assumptions!$C$46:$C$123,1,Assumptions!$F$46:$F$123,'NOI Walk'!DP16-SUM('NOI Walk'!$K$3:$K$4))+COUNTIFS(Assumptions!$C$46:$C$123,2,Assumptions!$F$46:$F$123,'NOI Walk'!DP16)</f>
        <v>0</v>
      </c>
      <c r="DQ19" s="65">
        <f>COUNTIFS(Assumptions!$C$46:$C$123,1,Assumptions!$F$46:$F$123,'NOI Walk'!DQ16-SUM('NOI Walk'!$K$3:$K$4))+COUNTIFS(Assumptions!$C$46:$C$123,2,Assumptions!$F$46:$F$123,'NOI Walk'!DQ16)</f>
        <v>0</v>
      </c>
      <c r="DR19" s="65">
        <f>COUNTIFS(Assumptions!$C$46:$C$123,1,Assumptions!$F$46:$F$123,'NOI Walk'!DR16-SUM('NOI Walk'!$K$3:$K$4))+COUNTIFS(Assumptions!$C$46:$C$123,2,Assumptions!$F$46:$F$123,'NOI Walk'!DR16)</f>
        <v>0</v>
      </c>
      <c r="DS19" s="65">
        <f>COUNTIFS(Assumptions!$C$46:$C$123,1,Assumptions!$F$46:$F$123,'NOI Walk'!DS16-SUM('NOI Walk'!$K$3:$K$4))+COUNTIFS(Assumptions!$C$46:$C$123,2,Assumptions!$F$46:$F$123,'NOI Walk'!DS16)</f>
        <v>0</v>
      </c>
      <c r="DT19" s="65">
        <f>COUNTIFS(Assumptions!$C$46:$C$123,1,Assumptions!$F$46:$F$123,'NOI Walk'!DT16-SUM('NOI Walk'!$K$3:$K$4))+COUNTIFS(Assumptions!$C$46:$C$123,2,Assumptions!$F$46:$F$123,'NOI Walk'!DT16)</f>
        <v>0</v>
      </c>
      <c r="DU19" s="65">
        <f>COUNTIFS(Assumptions!$C$46:$C$123,1,Assumptions!$F$46:$F$123,'NOI Walk'!DU16-SUM('NOI Walk'!$K$3:$K$4))+COUNTIFS(Assumptions!$C$46:$C$123,2,Assumptions!$F$46:$F$123,'NOI Walk'!DU16)</f>
        <v>0</v>
      </c>
      <c r="DV19" s="65">
        <f>COUNTIFS(Assumptions!$C$46:$C$123,1,Assumptions!$F$46:$F$123,'NOI Walk'!DV16-SUM('NOI Walk'!$K$3:$K$4))+COUNTIFS(Assumptions!$C$46:$C$123,2,Assumptions!$F$46:$F$123,'NOI Walk'!DV16)</f>
        <v>0</v>
      </c>
      <c r="DW19" s="65">
        <f>COUNTIFS(Assumptions!$C$46:$C$123,1,Assumptions!$F$46:$F$123,'NOI Walk'!DW16-SUM('NOI Walk'!$K$3:$K$4))+COUNTIFS(Assumptions!$C$46:$C$123,2,Assumptions!$F$46:$F$123,'NOI Walk'!DW16)</f>
        <v>0</v>
      </c>
      <c r="DX19" s="65">
        <f>COUNTIFS(Assumptions!$C$46:$C$123,1,Assumptions!$F$46:$F$123,'NOI Walk'!DX16-SUM('NOI Walk'!$K$3:$K$4))+COUNTIFS(Assumptions!$C$46:$C$123,2,Assumptions!$F$46:$F$123,'NOI Walk'!DX16)</f>
        <v>0</v>
      </c>
      <c r="DY19" s="65">
        <f>COUNTIFS(Assumptions!$C$46:$C$123,1,Assumptions!$F$46:$F$123,'NOI Walk'!DY16-SUM('NOI Walk'!$K$3:$K$4))+COUNTIFS(Assumptions!$C$46:$C$123,2,Assumptions!$F$46:$F$123,'NOI Walk'!DY16)</f>
        <v>0</v>
      </c>
      <c r="DZ19" s="65">
        <f>COUNTIFS(Assumptions!$C$46:$C$123,1,Assumptions!$F$46:$F$123,'NOI Walk'!DZ16-SUM('NOI Walk'!$K$3:$K$4))+COUNTIFS(Assumptions!$C$46:$C$123,2,Assumptions!$F$46:$F$123,'NOI Walk'!DZ16)</f>
        <v>0</v>
      </c>
      <c r="EA19" s="65">
        <f>COUNTIFS(Assumptions!$C$46:$C$123,1,Assumptions!$F$46:$F$123,'NOI Walk'!EA16-SUM('NOI Walk'!$K$3:$K$4))+COUNTIFS(Assumptions!$C$46:$C$123,2,Assumptions!$F$46:$F$123,'NOI Walk'!EA16)</f>
        <v>0</v>
      </c>
      <c r="EB19" s="65">
        <f>COUNTIFS(Assumptions!$C$46:$C$123,1,Assumptions!$F$46:$F$123,'NOI Walk'!EB16-SUM('NOI Walk'!$K$3:$K$4))+COUNTIFS(Assumptions!$C$46:$C$123,2,Assumptions!$F$46:$F$123,'NOI Walk'!EB16)</f>
        <v>0</v>
      </c>
      <c r="EC19" s="65">
        <f>COUNTIFS(Assumptions!$C$46:$C$123,1,Assumptions!$F$46:$F$123,'NOI Walk'!EC16-SUM('NOI Walk'!$K$3:$K$4))+COUNTIFS(Assumptions!$C$46:$C$123,2,Assumptions!$F$46:$F$123,'NOI Walk'!EC16)</f>
        <v>0</v>
      </c>
      <c r="ED19" s="65">
        <f>COUNTIFS(Assumptions!$C$46:$C$123,1,Assumptions!$F$46:$F$123,'NOI Walk'!ED16-SUM('NOI Walk'!$K$3:$K$4))+COUNTIFS(Assumptions!$C$46:$C$123,2,Assumptions!$F$46:$F$123,'NOI Walk'!ED16)</f>
        <v>0</v>
      </c>
      <c r="EE19" s="65">
        <f>COUNTIFS(Assumptions!$C$46:$C$123,1,Assumptions!$F$46:$F$123,'NOI Walk'!EE16-SUM('NOI Walk'!$K$3:$K$4))+COUNTIFS(Assumptions!$C$46:$C$123,2,Assumptions!$F$46:$F$123,'NOI Walk'!EE16)</f>
        <v>0</v>
      </c>
      <c r="EF19" s="65">
        <f>COUNTIFS(Assumptions!$C$46:$C$123,1,Assumptions!$F$46:$F$123,'NOI Walk'!EF16-SUM('NOI Walk'!$K$3:$K$4))+COUNTIFS(Assumptions!$C$46:$C$123,2,Assumptions!$F$46:$F$123,'NOI Walk'!EF16)</f>
        <v>0</v>
      </c>
      <c r="EG19" s="65">
        <f>COUNTIFS(Assumptions!$C$46:$C$123,1,Assumptions!$F$46:$F$123,'NOI Walk'!EG16-SUM('NOI Walk'!$K$3:$K$4))+COUNTIFS(Assumptions!$C$46:$C$123,2,Assumptions!$F$46:$F$123,'NOI Walk'!EG16)</f>
        <v>0</v>
      </c>
      <c r="EH19" s="65">
        <f>COUNTIFS(Assumptions!$C$46:$C$123,1,Assumptions!$F$46:$F$123,'NOI Walk'!EH16-SUM('NOI Walk'!$K$3:$K$4))+COUNTIFS(Assumptions!$C$46:$C$123,2,Assumptions!$F$46:$F$123,'NOI Walk'!EH16)</f>
        <v>0</v>
      </c>
      <c r="EI19" s="65">
        <f>COUNTIFS(Assumptions!$C$46:$C$123,1,Assumptions!$F$46:$F$123,'NOI Walk'!EI16-SUM('NOI Walk'!$K$3:$K$4))+COUNTIFS(Assumptions!$C$46:$C$123,2,Assumptions!$F$46:$F$123,'NOI Walk'!EI16)</f>
        <v>0</v>
      </c>
    </row>
    <row r="20" spans="2:139" x14ac:dyDescent="0.45">
      <c r="B20" s="58" t="s">
        <v>75</v>
      </c>
      <c r="H20" s="65">
        <f>SUM(H17:H19)</f>
        <v>78</v>
      </c>
      <c r="I20" s="65">
        <f>SUM(I17:I19)</f>
        <v>75</v>
      </c>
      <c r="J20" s="65">
        <f t="shared" ref="J20:BU20" si="174">SUM(J17:J19)</f>
        <v>72</v>
      </c>
      <c r="K20" s="65">
        <f t="shared" si="174"/>
        <v>69</v>
      </c>
      <c r="L20" s="65">
        <f t="shared" si="174"/>
        <v>69</v>
      </c>
      <c r="M20" s="65">
        <f t="shared" si="174"/>
        <v>69</v>
      </c>
      <c r="N20" s="65">
        <f t="shared" si="174"/>
        <v>69</v>
      </c>
      <c r="O20" s="65">
        <f t="shared" si="174"/>
        <v>69</v>
      </c>
      <c r="P20" s="65">
        <f t="shared" si="174"/>
        <v>69</v>
      </c>
      <c r="Q20" s="65">
        <f t="shared" si="174"/>
        <v>69</v>
      </c>
      <c r="R20" s="65">
        <f t="shared" si="174"/>
        <v>69</v>
      </c>
      <c r="S20" s="65">
        <f t="shared" si="174"/>
        <v>69</v>
      </c>
      <c r="T20" s="65">
        <f t="shared" si="174"/>
        <v>69</v>
      </c>
      <c r="U20" s="65">
        <f t="shared" si="174"/>
        <v>69</v>
      </c>
      <c r="V20" s="65">
        <f t="shared" si="174"/>
        <v>69</v>
      </c>
      <c r="W20" s="65">
        <f t="shared" si="174"/>
        <v>69</v>
      </c>
      <c r="X20" s="65">
        <f t="shared" si="174"/>
        <v>69</v>
      </c>
      <c r="Y20" s="65">
        <f t="shared" si="174"/>
        <v>69</v>
      </c>
      <c r="Z20" s="65">
        <f t="shared" si="174"/>
        <v>69</v>
      </c>
      <c r="AA20" s="65">
        <f t="shared" si="174"/>
        <v>69</v>
      </c>
      <c r="AB20" s="65">
        <f t="shared" si="174"/>
        <v>69</v>
      </c>
      <c r="AC20" s="65">
        <f t="shared" si="174"/>
        <v>69</v>
      </c>
      <c r="AD20" s="65">
        <f t="shared" si="174"/>
        <v>69</v>
      </c>
      <c r="AE20" s="65">
        <f t="shared" si="174"/>
        <v>69</v>
      </c>
      <c r="AF20" s="65">
        <f t="shared" si="174"/>
        <v>69</v>
      </c>
      <c r="AG20" s="65">
        <f t="shared" si="174"/>
        <v>69</v>
      </c>
      <c r="AH20" s="65">
        <f t="shared" si="174"/>
        <v>69</v>
      </c>
      <c r="AI20" s="65">
        <f t="shared" si="174"/>
        <v>72</v>
      </c>
      <c r="AJ20" s="65">
        <f t="shared" si="174"/>
        <v>75</v>
      </c>
      <c r="AK20" s="65">
        <f t="shared" si="174"/>
        <v>78</v>
      </c>
      <c r="AL20" s="65">
        <f t="shared" si="174"/>
        <v>78</v>
      </c>
      <c r="AM20" s="65">
        <f t="shared" si="174"/>
        <v>78</v>
      </c>
      <c r="AN20" s="65">
        <f t="shared" si="174"/>
        <v>78</v>
      </c>
      <c r="AO20" s="65">
        <f t="shared" si="174"/>
        <v>78</v>
      </c>
      <c r="AP20" s="65">
        <f t="shared" si="174"/>
        <v>78</v>
      </c>
      <c r="AQ20" s="65">
        <f t="shared" si="174"/>
        <v>78</v>
      </c>
      <c r="AR20" s="65">
        <f t="shared" si="174"/>
        <v>78</v>
      </c>
      <c r="AS20" s="65">
        <f t="shared" si="174"/>
        <v>78</v>
      </c>
      <c r="AT20" s="65">
        <f t="shared" si="174"/>
        <v>78</v>
      </c>
      <c r="AU20" s="65">
        <f t="shared" si="174"/>
        <v>78</v>
      </c>
      <c r="AV20" s="65">
        <f t="shared" si="174"/>
        <v>78</v>
      </c>
      <c r="AW20" s="65">
        <f t="shared" si="174"/>
        <v>78</v>
      </c>
      <c r="AX20" s="65">
        <f t="shared" si="174"/>
        <v>78</v>
      </c>
      <c r="AY20" s="65">
        <f t="shared" si="174"/>
        <v>78</v>
      </c>
      <c r="AZ20" s="65">
        <f t="shared" si="174"/>
        <v>78</v>
      </c>
      <c r="BA20" s="65">
        <f t="shared" si="174"/>
        <v>78</v>
      </c>
      <c r="BB20" s="65">
        <f t="shared" si="174"/>
        <v>78</v>
      </c>
      <c r="BC20" s="65">
        <f t="shared" si="174"/>
        <v>78</v>
      </c>
      <c r="BD20" s="65">
        <f t="shared" si="174"/>
        <v>78</v>
      </c>
      <c r="BE20" s="65">
        <f t="shared" si="174"/>
        <v>78</v>
      </c>
      <c r="BF20" s="65">
        <f t="shared" si="174"/>
        <v>78</v>
      </c>
      <c r="BG20" s="65">
        <f t="shared" si="174"/>
        <v>78</v>
      </c>
      <c r="BH20" s="65">
        <f t="shared" si="174"/>
        <v>78</v>
      </c>
      <c r="BI20" s="65">
        <f t="shared" si="174"/>
        <v>78</v>
      </c>
      <c r="BJ20" s="65">
        <f t="shared" si="174"/>
        <v>78</v>
      </c>
      <c r="BK20" s="65">
        <f t="shared" si="174"/>
        <v>78</v>
      </c>
      <c r="BL20" s="65">
        <f t="shared" si="174"/>
        <v>78</v>
      </c>
      <c r="BM20" s="65">
        <f t="shared" si="174"/>
        <v>78</v>
      </c>
      <c r="BN20" s="65">
        <f t="shared" si="174"/>
        <v>78</v>
      </c>
      <c r="BO20" s="65">
        <f t="shared" si="174"/>
        <v>78</v>
      </c>
      <c r="BP20" s="65">
        <f t="shared" si="174"/>
        <v>78</v>
      </c>
      <c r="BQ20" s="65">
        <f t="shared" si="174"/>
        <v>78</v>
      </c>
      <c r="BR20" s="65">
        <f t="shared" si="174"/>
        <v>78</v>
      </c>
      <c r="BS20" s="65">
        <f t="shared" si="174"/>
        <v>78</v>
      </c>
      <c r="BT20" s="65">
        <f t="shared" si="174"/>
        <v>78</v>
      </c>
      <c r="BU20" s="65">
        <f t="shared" si="174"/>
        <v>78</v>
      </c>
      <c r="BV20" s="65">
        <f t="shared" ref="BV20:CY20" si="175">SUM(BV17:BV19)</f>
        <v>78</v>
      </c>
      <c r="BW20" s="65">
        <f t="shared" si="175"/>
        <v>78</v>
      </c>
      <c r="BX20" s="65">
        <f t="shared" si="175"/>
        <v>78</v>
      </c>
      <c r="BY20" s="65">
        <f t="shared" si="175"/>
        <v>78</v>
      </c>
      <c r="BZ20" s="65">
        <f t="shared" si="175"/>
        <v>78</v>
      </c>
      <c r="CA20" s="65">
        <f t="shared" si="175"/>
        <v>78</v>
      </c>
      <c r="CB20" s="65">
        <f t="shared" si="175"/>
        <v>78</v>
      </c>
      <c r="CC20" s="65">
        <f t="shared" si="175"/>
        <v>78</v>
      </c>
      <c r="CD20" s="65">
        <f t="shared" si="175"/>
        <v>78</v>
      </c>
      <c r="CE20" s="65">
        <f t="shared" si="175"/>
        <v>78</v>
      </c>
      <c r="CF20" s="65">
        <f t="shared" si="175"/>
        <v>78</v>
      </c>
      <c r="CG20" s="65">
        <f t="shared" si="175"/>
        <v>78</v>
      </c>
      <c r="CH20" s="65">
        <f t="shared" si="175"/>
        <v>78</v>
      </c>
      <c r="CI20" s="65">
        <f t="shared" si="175"/>
        <v>78</v>
      </c>
      <c r="CJ20" s="65">
        <f t="shared" si="175"/>
        <v>78</v>
      </c>
      <c r="CK20" s="65">
        <f t="shared" si="175"/>
        <v>78</v>
      </c>
      <c r="CL20" s="65">
        <f t="shared" si="175"/>
        <v>78</v>
      </c>
      <c r="CM20" s="65">
        <f t="shared" si="175"/>
        <v>78</v>
      </c>
      <c r="CN20" s="65">
        <f t="shared" si="175"/>
        <v>78</v>
      </c>
      <c r="CO20" s="65">
        <f t="shared" si="175"/>
        <v>78</v>
      </c>
      <c r="CP20" s="65">
        <f t="shared" si="175"/>
        <v>78</v>
      </c>
      <c r="CQ20" s="65">
        <f t="shared" si="175"/>
        <v>78</v>
      </c>
      <c r="CR20" s="65">
        <f t="shared" si="175"/>
        <v>78</v>
      </c>
      <c r="CS20" s="65">
        <f t="shared" si="175"/>
        <v>78</v>
      </c>
      <c r="CT20" s="65">
        <f t="shared" si="175"/>
        <v>78</v>
      </c>
      <c r="CU20" s="65">
        <f t="shared" si="175"/>
        <v>78</v>
      </c>
      <c r="CV20" s="65">
        <f t="shared" si="175"/>
        <v>78</v>
      </c>
      <c r="CW20" s="65">
        <f t="shared" si="175"/>
        <v>78</v>
      </c>
      <c r="CX20" s="65">
        <f t="shared" si="175"/>
        <v>78</v>
      </c>
      <c r="CY20" s="65">
        <f t="shared" si="175"/>
        <v>78</v>
      </c>
      <c r="CZ20" s="65">
        <f t="shared" ref="CZ20:EI20" si="176">SUM(CZ17:CZ19)</f>
        <v>78</v>
      </c>
      <c r="DA20" s="65">
        <f t="shared" si="176"/>
        <v>78</v>
      </c>
      <c r="DB20" s="65">
        <f t="shared" si="176"/>
        <v>78</v>
      </c>
      <c r="DC20" s="65">
        <f t="shared" si="176"/>
        <v>78</v>
      </c>
      <c r="DD20" s="65">
        <f t="shared" si="176"/>
        <v>78</v>
      </c>
      <c r="DE20" s="65">
        <f t="shared" si="176"/>
        <v>78</v>
      </c>
      <c r="DF20" s="65">
        <f t="shared" si="176"/>
        <v>78</v>
      </c>
      <c r="DG20" s="65">
        <f t="shared" si="176"/>
        <v>78</v>
      </c>
      <c r="DH20" s="65">
        <f t="shared" si="176"/>
        <v>78</v>
      </c>
      <c r="DI20" s="65">
        <f t="shared" si="176"/>
        <v>78</v>
      </c>
      <c r="DJ20" s="65">
        <f t="shared" si="176"/>
        <v>78</v>
      </c>
      <c r="DK20" s="65">
        <f t="shared" si="176"/>
        <v>78</v>
      </c>
      <c r="DL20" s="65">
        <f t="shared" si="176"/>
        <v>78</v>
      </c>
      <c r="DM20" s="65">
        <f t="shared" si="176"/>
        <v>78</v>
      </c>
      <c r="DN20" s="65">
        <f t="shared" si="176"/>
        <v>78</v>
      </c>
      <c r="DO20" s="65">
        <f t="shared" si="176"/>
        <v>78</v>
      </c>
      <c r="DP20" s="65">
        <f t="shared" si="176"/>
        <v>78</v>
      </c>
      <c r="DQ20" s="65">
        <f t="shared" si="176"/>
        <v>78</v>
      </c>
      <c r="DR20" s="65">
        <f t="shared" si="176"/>
        <v>78</v>
      </c>
      <c r="DS20" s="65">
        <f t="shared" si="176"/>
        <v>78</v>
      </c>
      <c r="DT20" s="65">
        <f t="shared" si="176"/>
        <v>78</v>
      </c>
      <c r="DU20" s="65">
        <f t="shared" si="176"/>
        <v>78</v>
      </c>
      <c r="DV20" s="65">
        <f t="shared" si="176"/>
        <v>78</v>
      </c>
      <c r="DW20" s="65">
        <f t="shared" si="176"/>
        <v>78</v>
      </c>
      <c r="DX20" s="65">
        <f t="shared" si="176"/>
        <v>78</v>
      </c>
      <c r="DY20" s="65">
        <f t="shared" si="176"/>
        <v>78</v>
      </c>
      <c r="DZ20" s="65">
        <f t="shared" si="176"/>
        <v>78</v>
      </c>
      <c r="EA20" s="65">
        <f t="shared" si="176"/>
        <v>78</v>
      </c>
      <c r="EB20" s="65">
        <f t="shared" si="176"/>
        <v>78</v>
      </c>
      <c r="EC20" s="65">
        <f t="shared" si="176"/>
        <v>78</v>
      </c>
      <c r="ED20" s="65">
        <f t="shared" si="176"/>
        <v>78</v>
      </c>
      <c r="EE20" s="65">
        <f t="shared" si="176"/>
        <v>78</v>
      </c>
      <c r="EF20" s="65">
        <f t="shared" si="176"/>
        <v>78</v>
      </c>
      <c r="EG20" s="65">
        <f t="shared" si="176"/>
        <v>78</v>
      </c>
      <c r="EH20" s="65">
        <f t="shared" si="176"/>
        <v>78</v>
      </c>
      <c r="EI20" s="65">
        <f t="shared" si="176"/>
        <v>78</v>
      </c>
    </row>
    <row r="21" spans="2:139" x14ac:dyDescent="0.45"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65"/>
      <c r="BW21" s="65"/>
      <c r="BX21" s="65"/>
      <c r="BY21" s="65"/>
      <c r="BZ21" s="65"/>
      <c r="CA21" s="65"/>
      <c r="CB21" s="65"/>
      <c r="CC21" s="65"/>
      <c r="CD21" s="65"/>
      <c r="CE21" s="65"/>
      <c r="CF21" s="65"/>
      <c r="CG21" s="65"/>
      <c r="CH21" s="65"/>
      <c r="CI21" s="65"/>
      <c r="CJ21" s="65"/>
      <c r="CK21" s="65"/>
      <c r="CL21" s="65"/>
      <c r="CM21" s="65"/>
      <c r="CN21" s="65"/>
      <c r="CO21" s="65"/>
      <c r="CP21" s="65"/>
      <c r="CQ21" s="65"/>
      <c r="CR21" s="65"/>
      <c r="CS21" s="65"/>
      <c r="CT21" s="65"/>
      <c r="CU21" s="65"/>
      <c r="CV21" s="65"/>
      <c r="CW21" s="65"/>
      <c r="CX21" s="65"/>
      <c r="CY21" s="65"/>
      <c r="CZ21" s="65"/>
      <c r="DA21" s="65"/>
      <c r="DB21" s="65"/>
      <c r="DC21" s="65"/>
      <c r="DD21" s="65"/>
      <c r="DE21" s="65"/>
      <c r="DF21" s="65"/>
      <c r="DG21" s="65"/>
      <c r="DH21" s="65"/>
      <c r="DI21" s="65"/>
      <c r="DJ21" s="65"/>
      <c r="DK21" s="65"/>
      <c r="DL21" s="65"/>
      <c r="DM21" s="65"/>
      <c r="DN21" s="65"/>
      <c r="DO21" s="65"/>
      <c r="DP21" s="65"/>
      <c r="DQ21" s="65"/>
      <c r="DR21" s="65"/>
      <c r="DS21" s="65"/>
      <c r="DT21" s="65"/>
      <c r="DU21" s="65"/>
      <c r="DV21" s="65"/>
      <c r="DW21" s="65"/>
      <c r="DX21" s="65"/>
      <c r="DY21" s="65"/>
      <c r="DZ21" s="65"/>
      <c r="EA21" s="65"/>
      <c r="EB21" s="65"/>
      <c r="EC21" s="65"/>
      <c r="ED21" s="65"/>
      <c r="EE21" s="65"/>
      <c r="EF21" s="65"/>
      <c r="EG21" s="65"/>
      <c r="EH21" s="65"/>
      <c r="EI21" s="65"/>
    </row>
    <row r="22" spans="2:139" x14ac:dyDescent="0.45">
      <c r="B22" s="58" t="s">
        <v>81</v>
      </c>
      <c r="H22" s="65">
        <f>+$C$4*$C$2*H10</f>
        <v>189995.00000000003</v>
      </c>
      <c r="I22" s="65">
        <f t="shared" ref="I22:BT22" si="177">+$C$4*$C$2*I10</f>
        <v>190390.82291666672</v>
      </c>
      <c r="J22" s="65">
        <f t="shared" si="177"/>
        <v>190787.47046440979</v>
      </c>
      <c r="K22" s="65">
        <f t="shared" si="177"/>
        <v>191184.94436121068</v>
      </c>
      <c r="L22" s="65">
        <f t="shared" si="177"/>
        <v>191583.24632862987</v>
      </c>
      <c r="M22" s="65">
        <f t="shared" si="177"/>
        <v>191982.37809181455</v>
      </c>
      <c r="N22" s="65">
        <f t="shared" si="177"/>
        <v>192382.34137950584</v>
      </c>
      <c r="O22" s="65">
        <f t="shared" si="177"/>
        <v>192783.13792404652</v>
      </c>
      <c r="P22" s="65">
        <f t="shared" si="177"/>
        <v>193184.76946138829</v>
      </c>
      <c r="Q22" s="65">
        <f t="shared" si="177"/>
        <v>193587.23773109957</v>
      </c>
      <c r="R22" s="65">
        <f t="shared" si="177"/>
        <v>193990.54447637271</v>
      </c>
      <c r="S22" s="65">
        <f t="shared" si="177"/>
        <v>194394.69144403184</v>
      </c>
      <c r="T22" s="65">
        <f t="shared" si="177"/>
        <v>194799.68038454026</v>
      </c>
      <c r="U22" s="65">
        <f t="shared" si="177"/>
        <v>195205.51305200809</v>
      </c>
      <c r="V22" s="65">
        <f t="shared" si="177"/>
        <v>195612.19120419977</v>
      </c>
      <c r="W22" s="65">
        <f t="shared" si="177"/>
        <v>196019.71660254191</v>
      </c>
      <c r="X22" s="65">
        <f t="shared" si="177"/>
        <v>196428.09101213058</v>
      </c>
      <c r="Y22" s="65">
        <f t="shared" si="177"/>
        <v>196837.31620173922</v>
      </c>
      <c r="Z22" s="65">
        <f t="shared" si="177"/>
        <v>197247.39394382614</v>
      </c>
      <c r="AA22" s="65">
        <f t="shared" si="177"/>
        <v>197658.32601454249</v>
      </c>
      <c r="AB22" s="65">
        <f t="shared" si="177"/>
        <v>198070.11419373949</v>
      </c>
      <c r="AC22" s="65">
        <f t="shared" si="177"/>
        <v>198482.76026497647</v>
      </c>
      <c r="AD22" s="65">
        <f t="shared" si="177"/>
        <v>198896.26601552853</v>
      </c>
      <c r="AE22" s="65">
        <f t="shared" si="177"/>
        <v>199310.63323639423</v>
      </c>
      <c r="AF22" s="65">
        <f t="shared" si="177"/>
        <v>199725.86372230339</v>
      </c>
      <c r="AG22" s="65">
        <f t="shared" si="177"/>
        <v>200141.95927172489</v>
      </c>
      <c r="AH22" s="65">
        <f t="shared" si="177"/>
        <v>200558.92168687438</v>
      </c>
      <c r="AI22" s="65">
        <f t="shared" si="177"/>
        <v>200976.75277372202</v>
      </c>
      <c r="AJ22" s="65">
        <f t="shared" si="177"/>
        <v>201395.45434200065</v>
      </c>
      <c r="AK22" s="65">
        <f t="shared" si="177"/>
        <v>201815.0282052132</v>
      </c>
      <c r="AL22" s="65">
        <f t="shared" si="177"/>
        <v>202235.47618064072</v>
      </c>
      <c r="AM22" s="65">
        <f t="shared" si="177"/>
        <v>202656.80008935044</v>
      </c>
      <c r="AN22" s="65">
        <f t="shared" si="177"/>
        <v>203079.00175620327</v>
      </c>
      <c r="AO22" s="65">
        <f t="shared" si="177"/>
        <v>203502.08300986205</v>
      </c>
      <c r="AP22" s="65">
        <f t="shared" si="177"/>
        <v>203926.04568279925</v>
      </c>
      <c r="AQ22" s="65">
        <f t="shared" si="177"/>
        <v>204350.89161130515</v>
      </c>
      <c r="AR22" s="65">
        <f t="shared" si="177"/>
        <v>204776.62263549538</v>
      </c>
      <c r="AS22" s="65">
        <f t="shared" si="177"/>
        <v>205203.24059931937</v>
      </c>
      <c r="AT22" s="65">
        <f t="shared" si="177"/>
        <v>205630.74735056798</v>
      </c>
      <c r="AU22" s="65">
        <f t="shared" si="177"/>
        <v>206059.14474088169</v>
      </c>
      <c r="AV22" s="65">
        <f t="shared" si="177"/>
        <v>206488.43462575853</v>
      </c>
      <c r="AW22" s="65">
        <f t="shared" si="177"/>
        <v>206918.61886456222</v>
      </c>
      <c r="AX22" s="65">
        <f t="shared" si="177"/>
        <v>207349.69932053008</v>
      </c>
      <c r="AY22" s="65">
        <f t="shared" si="177"/>
        <v>207781.6778607812</v>
      </c>
      <c r="AZ22" s="65">
        <f t="shared" si="177"/>
        <v>208214.55635632455</v>
      </c>
      <c r="BA22" s="65">
        <f t="shared" si="177"/>
        <v>208648.3366820669</v>
      </c>
      <c r="BB22" s="65">
        <f t="shared" si="177"/>
        <v>209083.02071682122</v>
      </c>
      <c r="BC22" s="65">
        <f t="shared" si="177"/>
        <v>209518.61034331465</v>
      </c>
      <c r="BD22" s="65">
        <f t="shared" si="177"/>
        <v>209955.10744819662</v>
      </c>
      <c r="BE22" s="65">
        <f t="shared" si="177"/>
        <v>210392.51392204704</v>
      </c>
      <c r="BF22" s="65">
        <f t="shared" si="177"/>
        <v>210830.83165938462</v>
      </c>
      <c r="BG22" s="65">
        <f t="shared" si="177"/>
        <v>211270.06255867504</v>
      </c>
      <c r="BH22" s="65">
        <f t="shared" si="177"/>
        <v>211710.208522339</v>
      </c>
      <c r="BI22" s="65">
        <f t="shared" si="177"/>
        <v>212151.27145676056</v>
      </c>
      <c r="BJ22" s="65">
        <f t="shared" si="177"/>
        <v>212593.25327229549</v>
      </c>
      <c r="BK22" s="65">
        <f t="shared" si="177"/>
        <v>213036.15588327948</v>
      </c>
      <c r="BL22" s="65">
        <f t="shared" si="177"/>
        <v>213479.9812080363</v>
      </c>
      <c r="BM22" s="65">
        <f t="shared" si="177"/>
        <v>213924.73116888644</v>
      </c>
      <c r="BN22" s="65">
        <f t="shared" si="177"/>
        <v>214370.40769215501</v>
      </c>
      <c r="BO22" s="65">
        <f t="shared" si="177"/>
        <v>214817.01270818032</v>
      </c>
      <c r="BP22" s="65">
        <f t="shared" si="177"/>
        <v>215264.54815132241</v>
      </c>
      <c r="BQ22" s="65">
        <f t="shared" si="177"/>
        <v>215713.01595997106</v>
      </c>
      <c r="BR22" s="65">
        <f t="shared" si="177"/>
        <v>216162.41807655431</v>
      </c>
      <c r="BS22" s="65">
        <f t="shared" si="177"/>
        <v>216612.75644754717</v>
      </c>
      <c r="BT22" s="65">
        <f t="shared" si="177"/>
        <v>217064.0330234796</v>
      </c>
      <c r="BU22" s="65">
        <f t="shared" ref="BU22:EF22" si="178">+$C$4*$C$2*BU10</f>
        <v>217516.2497589452</v>
      </c>
      <c r="BV22" s="65">
        <f t="shared" si="178"/>
        <v>217969.40861260967</v>
      </c>
      <c r="BW22" s="65">
        <f t="shared" si="178"/>
        <v>218423.51154721936</v>
      </c>
      <c r="BX22" s="65">
        <f t="shared" si="178"/>
        <v>218878.56052960939</v>
      </c>
      <c r="BY22" s="65">
        <f t="shared" si="178"/>
        <v>219334.55753071274</v>
      </c>
      <c r="BZ22" s="65">
        <f t="shared" si="178"/>
        <v>219791.50452556845</v>
      </c>
      <c r="CA22" s="65">
        <f t="shared" si="178"/>
        <v>220249.40349333012</v>
      </c>
      <c r="CB22" s="65">
        <f t="shared" si="178"/>
        <v>220708.25641727456</v>
      </c>
      <c r="CC22" s="65">
        <f t="shared" si="178"/>
        <v>221168.06528481055</v>
      </c>
      <c r="CD22" s="65">
        <f t="shared" si="178"/>
        <v>221628.8320874873</v>
      </c>
      <c r="CE22" s="65">
        <f t="shared" si="178"/>
        <v>222090.55882100289</v>
      </c>
      <c r="CF22" s="65">
        <f t="shared" si="178"/>
        <v>222553.24748521336</v>
      </c>
      <c r="CG22" s="65">
        <f t="shared" si="178"/>
        <v>223016.90008414094</v>
      </c>
      <c r="CH22" s="65">
        <f t="shared" si="178"/>
        <v>223481.51862598289</v>
      </c>
      <c r="CI22" s="65">
        <f t="shared" si="178"/>
        <v>223947.10512312039</v>
      </c>
      <c r="CJ22" s="65">
        <f t="shared" si="178"/>
        <v>224413.66159212694</v>
      </c>
      <c r="CK22" s="65">
        <f t="shared" si="178"/>
        <v>224881.19005377725</v>
      </c>
      <c r="CL22" s="65">
        <f t="shared" si="178"/>
        <v>225349.69253305593</v>
      </c>
      <c r="CM22" s="65">
        <f t="shared" si="178"/>
        <v>225819.17105916649</v>
      </c>
      <c r="CN22" s="65">
        <f t="shared" si="178"/>
        <v>226289.6276655398</v>
      </c>
      <c r="CO22" s="65">
        <f t="shared" si="178"/>
        <v>226761.06438984303</v>
      </c>
      <c r="CP22" s="65">
        <f t="shared" si="178"/>
        <v>227233.48327398856</v>
      </c>
      <c r="CQ22" s="65">
        <f t="shared" si="178"/>
        <v>227706.88636414276</v>
      </c>
      <c r="CR22" s="65">
        <f t="shared" si="178"/>
        <v>228181.27571073474</v>
      </c>
      <c r="CS22" s="65">
        <f t="shared" si="178"/>
        <v>228656.65336846546</v>
      </c>
      <c r="CT22" s="65">
        <f t="shared" si="178"/>
        <v>229133.02139631647</v>
      </c>
      <c r="CU22" s="65">
        <f t="shared" si="178"/>
        <v>229610.38185755882</v>
      </c>
      <c r="CV22" s="65">
        <f t="shared" si="178"/>
        <v>230088.73681976213</v>
      </c>
      <c r="CW22" s="65">
        <f t="shared" si="178"/>
        <v>230568.0883548033</v>
      </c>
      <c r="CX22" s="65">
        <f t="shared" si="178"/>
        <v>231048.43853887584</v>
      </c>
      <c r="CY22" s="65">
        <f t="shared" si="178"/>
        <v>231529.78945249855</v>
      </c>
      <c r="CZ22" s="65">
        <f t="shared" si="178"/>
        <v>232012.14318052458</v>
      </c>
      <c r="DA22" s="65">
        <f t="shared" si="178"/>
        <v>232495.50181215073</v>
      </c>
      <c r="DB22" s="65">
        <f t="shared" si="178"/>
        <v>232979.867440926</v>
      </c>
      <c r="DC22" s="65">
        <f t="shared" si="178"/>
        <v>233465.24216476135</v>
      </c>
      <c r="DD22" s="65">
        <f t="shared" si="178"/>
        <v>233951.62808593796</v>
      </c>
      <c r="DE22" s="65">
        <f t="shared" si="178"/>
        <v>234439.02731111701</v>
      </c>
      <c r="DF22" s="65">
        <f t="shared" si="178"/>
        <v>234927.44195134856</v>
      </c>
      <c r="DG22" s="65">
        <f t="shared" si="178"/>
        <v>235416.87412208057</v>
      </c>
      <c r="DH22" s="65">
        <f t="shared" si="178"/>
        <v>235907.32594316825</v>
      </c>
      <c r="DI22" s="65">
        <f t="shared" si="178"/>
        <v>236398.79953888321</v>
      </c>
      <c r="DJ22" s="65">
        <f t="shared" si="178"/>
        <v>236891.2970379226</v>
      </c>
      <c r="DK22" s="65">
        <f t="shared" si="178"/>
        <v>237384.82057341831</v>
      </c>
      <c r="DL22" s="65">
        <f t="shared" si="178"/>
        <v>237879.37228294628</v>
      </c>
      <c r="DM22" s="65">
        <f t="shared" si="178"/>
        <v>238374.95430853579</v>
      </c>
      <c r="DN22" s="65">
        <f t="shared" si="178"/>
        <v>238871.56879667856</v>
      </c>
      <c r="DO22" s="65">
        <f t="shared" si="178"/>
        <v>239369.21789833836</v>
      </c>
      <c r="DP22" s="65">
        <f t="shared" si="178"/>
        <v>239867.90376895998</v>
      </c>
      <c r="DQ22" s="65">
        <f t="shared" si="178"/>
        <v>240367.62856847869</v>
      </c>
      <c r="DR22" s="65">
        <f t="shared" si="178"/>
        <v>240868.39446132965</v>
      </c>
      <c r="DS22" s="65">
        <f t="shared" si="178"/>
        <v>241370.20361645744</v>
      </c>
      <c r="DT22" s="65">
        <f t="shared" si="178"/>
        <v>241873.05820732511</v>
      </c>
      <c r="DU22" s="65">
        <f t="shared" si="178"/>
        <v>242376.96041192373</v>
      </c>
      <c r="DV22" s="65">
        <f t="shared" si="178"/>
        <v>242881.91241278194</v>
      </c>
      <c r="DW22" s="65">
        <f t="shared" si="178"/>
        <v>243387.91639697528</v>
      </c>
      <c r="DX22" s="65">
        <f t="shared" si="178"/>
        <v>243894.97455613565</v>
      </c>
      <c r="DY22" s="65">
        <f t="shared" si="178"/>
        <v>244403.08908646097</v>
      </c>
      <c r="DZ22" s="65">
        <f t="shared" si="178"/>
        <v>244912.2621887245</v>
      </c>
      <c r="EA22" s="65">
        <f t="shared" si="178"/>
        <v>245422.49606828435</v>
      </c>
      <c r="EB22" s="65">
        <f t="shared" si="178"/>
        <v>245933.79293509334</v>
      </c>
      <c r="EC22" s="65">
        <f t="shared" si="178"/>
        <v>246446.15500370815</v>
      </c>
      <c r="ED22" s="65">
        <f t="shared" si="178"/>
        <v>246959.58449329922</v>
      </c>
      <c r="EE22" s="65">
        <f t="shared" si="178"/>
        <v>247474.08362766026</v>
      </c>
      <c r="EF22" s="65">
        <f t="shared" si="178"/>
        <v>247989.65463521788</v>
      </c>
      <c r="EG22" s="65">
        <f t="shared" ref="EG22:EI22" si="179">+$C$4*$C$2*EG10</f>
        <v>248506.29974904133</v>
      </c>
      <c r="EH22" s="65">
        <f t="shared" si="179"/>
        <v>249024.02120685184</v>
      </c>
      <c r="EI22" s="65">
        <f t="shared" si="179"/>
        <v>249542.82125103284</v>
      </c>
    </row>
    <row r="23" spans="2:139" x14ac:dyDescent="0.45">
      <c r="B23" s="58" t="s">
        <v>371</v>
      </c>
      <c r="H23" s="65">
        <f>($C$3-$C$4)*($C$2-SUM($H$19:H19))*H10</f>
        <v>-67223.116999999998</v>
      </c>
      <c r="I23" s="65">
        <f>($C$3-$C$4)*($C$2-SUM($H$19:I19))*I10</f>
        <v>-67363.165160416669</v>
      </c>
      <c r="J23" s="65">
        <f>($C$3-$C$4)*($C$2-SUM($H$19:J19))*J10</f>
        <v>-67503.505087834215</v>
      </c>
      <c r="K23" s="65">
        <f>($C$3-$C$4)*($C$2-SUM($H$19:K19))*K10</f>
        <v>-67644.137390100543</v>
      </c>
      <c r="L23" s="65">
        <f>($C$3-$C$4)*($C$2-SUM($H$19:L19))*L10</f>
        <v>-65177.944881086471</v>
      </c>
      <c r="M23" s="65">
        <f>($C$3-$C$4)*($C$2-SUM($H$19:M19))*M10</f>
        <v>-62701.182975605196</v>
      </c>
      <c r="N23" s="65">
        <f>($C$3-$C$4)*($C$2-SUM($H$19:N19))*N10</f>
        <v>-60213.818338465302</v>
      </c>
      <c r="O23" s="65">
        <f>($C$3-$C$4)*($C$2-SUM($H$19:O19))*O10</f>
        <v>-57715.817541452903</v>
      </c>
      <c r="P23" s="65">
        <f>($C$3-$C$4)*($C$2-SUM($H$19:P19))*P10</f>
        <v>-55207.147063088618</v>
      </c>
      <c r="Q23" s="65">
        <f>($C$3-$C$4)*($C$2-SUM($H$19:Q19))*Q10</f>
        <v>-52687.773288384182</v>
      </c>
      <c r="R23" s="65">
        <f>($C$3-$C$4)*($C$2-SUM($H$19:R19))*R10</f>
        <v>-50157.662508598245</v>
      </c>
      <c r="S23" s="65">
        <f>($C$3-$C$4)*($C$2-SUM($H$19:S19))*S10</f>
        <v>-47616.780920991623</v>
      </c>
      <c r="T23" s="65">
        <f>($C$3-$C$4)*($C$2-SUM($H$19:T19))*T10</f>
        <v>-45065.09462858201</v>
      </c>
      <c r="U23" s="65">
        <f>($C$3-$C$4)*($C$2-SUM($H$19:U19))*U10</f>
        <v>-42502.569639897942</v>
      </c>
      <c r="V23" s="65">
        <f>($C$3-$C$4)*($C$2-SUM($H$19:V19))*V10</f>
        <v>-39929.171868732243</v>
      </c>
      <c r="W23" s="65">
        <f>($C$3-$C$4)*($C$2-SUM($H$19:W19))*W10</f>
        <v>-37344.867133894862</v>
      </c>
      <c r="X23" s="65">
        <f>($C$3-$C$4)*($C$2-SUM($H$19:X19))*X10</f>
        <v>-34749.621158964968</v>
      </c>
      <c r="Y23" s="65">
        <f>($C$3-$C$4)*($C$2-SUM($H$19:Y19))*Y10</f>
        <v>-32143.399572042606</v>
      </c>
      <c r="Z23" s="65">
        <f>($C$3-$C$4)*($C$2-SUM($H$19:Z19))*Z10</f>
        <v>-29526.167905499547</v>
      </c>
      <c r="AA23" s="65">
        <f>($C$3-$C$4)*($C$2-SUM($H$19:AA19))*AA10</f>
        <v>-26897.891595729707</v>
      </c>
      <c r="AB23" s="65">
        <f>($C$3-$C$4)*($C$2-SUM($H$19:AB19))*AB10</f>
        <v>-24258.535982898735</v>
      </c>
      <c r="AC23" s="65">
        <f>($C$3-$C$4)*($C$2-SUM($H$19:AC19))*AC10</f>
        <v>-21608.066310693135</v>
      </c>
      <c r="AD23" s="65">
        <f>($C$3-$C$4)*($C$2-SUM($H$19:AD19))*AD10</f>
        <v>-18946.447726068698</v>
      </c>
      <c r="AE23" s="65">
        <f>($C$3-$C$4)*($C$2-SUM($H$19:AE19))*AE10</f>
        <v>-16273.645278998294</v>
      </c>
      <c r="AF23" s="65">
        <f>($C$3-$C$4)*($C$2-SUM($H$19:AF19))*AF10</f>
        <v>-13589.623922219062</v>
      </c>
      <c r="AG23" s="65">
        <f>($C$3-$C$4)*($C$2-SUM($H$19:AG19))*AG10</f>
        <v>-10894.348510978949</v>
      </c>
      <c r="AH23" s="65">
        <f>($C$3-$C$4)*($C$2-SUM($H$19:AH19))*AH10</f>
        <v>-8187.7838027826192</v>
      </c>
      <c r="AI23" s="65">
        <f>($C$3-$C$4)*($C$2-SUM($H$19:AI19))*AI10</f>
        <v>-5469.894457136721</v>
      </c>
      <c r="AJ23" s="65">
        <f>($C$3-$C$4)*($C$2-SUM($H$19:AJ19))*AJ10</f>
        <v>-2740.6450352945453</v>
      </c>
      <c r="AK23" s="65">
        <f>($C$3-$C$4)*($C$2-SUM($H$19:AK19))*AK10</f>
        <v>0</v>
      </c>
      <c r="AL23" s="65">
        <f>($C$3-$C$4)*($C$2-SUM($H$19:AL19))*AL10</f>
        <v>0</v>
      </c>
      <c r="AM23" s="65">
        <f>($C$3-$C$4)*($C$2-SUM($H$19:AM19))*AM10</f>
        <v>0</v>
      </c>
      <c r="AN23" s="65">
        <f>($C$3-$C$4)*($C$2-SUM($H$19:AN19))*AN10</f>
        <v>0</v>
      </c>
      <c r="AO23" s="65">
        <f>($C$3-$C$4)*($C$2-SUM($H$19:AO19))*AO10</f>
        <v>0</v>
      </c>
      <c r="AP23" s="65">
        <f>($C$3-$C$4)*($C$2-SUM($H$19:AP19))*AP10</f>
        <v>0</v>
      </c>
      <c r="AQ23" s="65">
        <f>($C$3-$C$4)*($C$2-SUM($H$19:AQ19))*AQ10</f>
        <v>0</v>
      </c>
      <c r="AR23" s="65">
        <f>($C$3-$C$4)*($C$2-SUM($H$19:AR19))*AR10</f>
        <v>0</v>
      </c>
      <c r="AS23" s="65">
        <f>($C$3-$C$4)*($C$2-SUM($H$19:AS19))*AS10</f>
        <v>0</v>
      </c>
      <c r="AT23" s="65">
        <f>($C$3-$C$4)*($C$2-SUM($H$19:AT19))*AT10</f>
        <v>0</v>
      </c>
      <c r="AU23" s="65">
        <f>($C$3-$C$4)*($C$2-SUM($H$19:AU19))*AU10</f>
        <v>0</v>
      </c>
      <c r="AV23" s="65">
        <f>($C$3-$C$4)*($C$2-SUM($H$19:AV19))*AV10</f>
        <v>0</v>
      </c>
      <c r="AW23" s="65">
        <f>($C$3-$C$4)*($C$2-SUM($H$19:AW19))*AW10</f>
        <v>0</v>
      </c>
      <c r="AX23" s="65">
        <f>($C$3-$C$4)*($C$2-SUM($H$19:AX19))*AX10</f>
        <v>0</v>
      </c>
      <c r="AY23" s="65">
        <f>($C$3-$C$4)*($C$2-SUM($H$19:AY19))*AY10</f>
        <v>0</v>
      </c>
      <c r="AZ23" s="65">
        <f>($C$3-$C$4)*($C$2-SUM($H$19:AZ19))*AZ10</f>
        <v>0</v>
      </c>
      <c r="BA23" s="65">
        <f>($C$3-$C$4)*($C$2-SUM($H$19:BA19))*BA10</f>
        <v>0</v>
      </c>
      <c r="BB23" s="65">
        <f>($C$3-$C$4)*($C$2-SUM($H$19:BB19))*BB10</f>
        <v>0</v>
      </c>
      <c r="BC23" s="65">
        <f>($C$3-$C$4)*($C$2-SUM($H$19:BC19))*BC10</f>
        <v>0</v>
      </c>
      <c r="BD23" s="65">
        <f>($C$3-$C$4)*($C$2-SUM($H$19:BD19))*BD10</f>
        <v>0</v>
      </c>
      <c r="BE23" s="65">
        <f>($C$3-$C$4)*($C$2-SUM($H$19:BE19))*BE10</f>
        <v>0</v>
      </c>
      <c r="BF23" s="65">
        <f>($C$3-$C$4)*($C$2-SUM($H$19:BF19))*BF10</f>
        <v>0</v>
      </c>
      <c r="BG23" s="65">
        <f>($C$3-$C$4)*($C$2-SUM($H$19:BG19))*BG10</f>
        <v>0</v>
      </c>
      <c r="BH23" s="65">
        <f>($C$3-$C$4)*($C$2-SUM($H$19:BH19))*BH10</f>
        <v>0</v>
      </c>
      <c r="BI23" s="65">
        <f>($C$3-$C$4)*($C$2-SUM($H$19:BI19))*BI10</f>
        <v>0</v>
      </c>
      <c r="BJ23" s="65">
        <f>($C$3-$C$4)*($C$2-SUM($H$19:BJ19))*BJ10</f>
        <v>0</v>
      </c>
      <c r="BK23" s="65">
        <f>($C$3-$C$4)*($C$2-SUM($H$19:BK19))*BK10</f>
        <v>0</v>
      </c>
      <c r="BL23" s="65">
        <f>($C$3-$C$4)*($C$2-SUM($H$19:BL19))*BL10</f>
        <v>0</v>
      </c>
      <c r="BM23" s="65">
        <f>($C$3-$C$4)*($C$2-SUM($H$19:BM19))*BM10</f>
        <v>0</v>
      </c>
      <c r="BN23" s="65">
        <f>($C$3-$C$4)*($C$2-SUM($H$19:BN19))*BN10</f>
        <v>0</v>
      </c>
      <c r="BO23" s="65">
        <f>($C$3-$C$4)*($C$2-SUM($H$19:BO19))*BO10</f>
        <v>0</v>
      </c>
      <c r="BP23" s="65">
        <f>($C$3-$C$4)*($C$2-SUM($H$19:BP19))*BP10</f>
        <v>0</v>
      </c>
      <c r="BQ23" s="65">
        <f>($C$3-$C$4)*($C$2-SUM($H$19:BQ19))*BQ10</f>
        <v>0</v>
      </c>
      <c r="BR23" s="65">
        <f>($C$3-$C$4)*($C$2-SUM($H$19:BR19))*BR10</f>
        <v>0</v>
      </c>
      <c r="BS23" s="65">
        <f>($C$3-$C$4)*($C$2-SUM($H$19:BS19))*BS10</f>
        <v>0</v>
      </c>
      <c r="BT23" s="65">
        <f>($C$3-$C$4)*($C$2-SUM($H$19:BT19))*BT10</f>
        <v>0</v>
      </c>
      <c r="BU23" s="65">
        <f>($C$3-$C$4)*($C$2-SUM($H$19:BU19))*BU10</f>
        <v>0</v>
      </c>
      <c r="BV23" s="65">
        <f>($C$3-$C$4)*($C$2-SUM($H$19:BV19))*BV10</f>
        <v>0</v>
      </c>
      <c r="BW23" s="65">
        <f>($C$3-$C$4)*($C$2-SUM($H$19:BW19))*BW10</f>
        <v>0</v>
      </c>
      <c r="BX23" s="65">
        <f>($C$3-$C$4)*($C$2-SUM($H$19:BX19))*BX10</f>
        <v>0</v>
      </c>
      <c r="BY23" s="65">
        <f>($C$3-$C$4)*($C$2-SUM($H$19:BY19))*BY10</f>
        <v>0</v>
      </c>
      <c r="BZ23" s="65">
        <f>($C$3-$C$4)*($C$2-SUM($H$19:BZ19))*BZ10</f>
        <v>0</v>
      </c>
      <c r="CA23" s="65">
        <f>($C$3-$C$4)*($C$2-SUM($H$19:CA19))*CA10</f>
        <v>0</v>
      </c>
      <c r="CB23" s="65">
        <f>($C$3-$C$4)*($C$2-SUM($H$19:CB19))*CB10</f>
        <v>0</v>
      </c>
      <c r="CC23" s="65">
        <f>($C$3-$C$4)*($C$2-SUM($H$19:CC19))*CC10</f>
        <v>0</v>
      </c>
      <c r="CD23" s="65">
        <f>($C$3-$C$4)*($C$2-SUM($H$19:CD19))*CD10</f>
        <v>0</v>
      </c>
      <c r="CE23" s="65">
        <f>($C$3-$C$4)*($C$2-SUM($H$19:CE19))*CE10</f>
        <v>0</v>
      </c>
      <c r="CF23" s="65">
        <f>($C$3-$C$4)*($C$2-SUM($H$19:CF19))*CF10</f>
        <v>0</v>
      </c>
      <c r="CG23" s="65">
        <f>($C$3-$C$4)*($C$2-SUM($H$19:CG19))*CG10</f>
        <v>0</v>
      </c>
      <c r="CH23" s="65">
        <f>($C$3-$C$4)*($C$2-SUM($H$19:CH19))*CH10</f>
        <v>0</v>
      </c>
      <c r="CI23" s="65">
        <f>($C$3-$C$4)*($C$2-SUM($H$19:CI19))*CI10</f>
        <v>0</v>
      </c>
      <c r="CJ23" s="65">
        <f>($C$3-$C$4)*($C$2-SUM($H$19:CJ19))*CJ10</f>
        <v>0</v>
      </c>
      <c r="CK23" s="65">
        <f>($C$3-$C$4)*($C$2-SUM($H$19:CK19))*CK10</f>
        <v>0</v>
      </c>
      <c r="CL23" s="65">
        <f>($C$3-$C$4)*($C$2-SUM($H$19:CL19))*CL10</f>
        <v>0</v>
      </c>
      <c r="CM23" s="65">
        <f>($C$3-$C$4)*($C$2-SUM($H$19:CM19))*CM10</f>
        <v>0</v>
      </c>
      <c r="CN23" s="65">
        <f>($C$3-$C$4)*($C$2-SUM($H$19:CN19))*CN10</f>
        <v>0</v>
      </c>
      <c r="CO23" s="65">
        <f>($C$3-$C$4)*($C$2-SUM($H$19:CO19))*CO10</f>
        <v>0</v>
      </c>
      <c r="CP23" s="65">
        <f>($C$3-$C$4)*($C$2-SUM($H$19:CP19))*CP10</f>
        <v>0</v>
      </c>
      <c r="CQ23" s="65">
        <f>($C$3-$C$4)*($C$2-SUM($H$19:CQ19))*CQ10</f>
        <v>0</v>
      </c>
      <c r="CR23" s="65">
        <f>($C$3-$C$4)*($C$2-SUM($H$19:CR19))*CR10</f>
        <v>0</v>
      </c>
      <c r="CS23" s="65">
        <f>($C$3-$C$4)*($C$2-SUM($H$19:CS19))*CS10</f>
        <v>0</v>
      </c>
      <c r="CT23" s="65">
        <f>($C$3-$C$4)*($C$2-SUM($H$19:CT19))*CT10</f>
        <v>0</v>
      </c>
      <c r="CU23" s="65">
        <f>($C$3-$C$4)*($C$2-SUM($H$19:CU19))*CU10</f>
        <v>0</v>
      </c>
      <c r="CV23" s="65">
        <f>($C$3-$C$4)*($C$2-SUM($H$19:CV19))*CV10</f>
        <v>0</v>
      </c>
      <c r="CW23" s="65">
        <f>($C$3-$C$4)*($C$2-SUM($H$19:CW19))*CW10</f>
        <v>0</v>
      </c>
      <c r="CX23" s="65">
        <f>($C$3-$C$4)*($C$2-SUM($H$19:CX19))*CX10</f>
        <v>0</v>
      </c>
      <c r="CY23" s="65">
        <f>($C$3-$C$4)*($C$2-SUM($H$19:CY19))*CY10</f>
        <v>0</v>
      </c>
      <c r="CZ23" s="65">
        <f>($C$3-$C$4)*($C$2-SUM($H$19:CZ19))*CZ10</f>
        <v>0</v>
      </c>
      <c r="DA23" s="65">
        <f>($C$3-$C$4)*($C$2-SUM($H$19:DA19))*DA10</f>
        <v>0</v>
      </c>
      <c r="DB23" s="65">
        <f>($C$3-$C$4)*($C$2-SUM($H$19:DB19))*DB10</f>
        <v>0</v>
      </c>
      <c r="DC23" s="65">
        <f>($C$3-$C$4)*($C$2-SUM($H$19:DC19))*DC10</f>
        <v>0</v>
      </c>
      <c r="DD23" s="65">
        <f>($C$3-$C$4)*($C$2-SUM($H$19:DD19))*DD10</f>
        <v>0</v>
      </c>
      <c r="DE23" s="65">
        <f>($C$3-$C$4)*($C$2-SUM($H$19:DE19))*DE10</f>
        <v>0</v>
      </c>
      <c r="DF23" s="65">
        <f>($C$3-$C$4)*($C$2-SUM($H$19:DF19))*DF10</f>
        <v>0</v>
      </c>
      <c r="DG23" s="65">
        <f>($C$3-$C$4)*($C$2-SUM($H$19:DG19))*DG10</f>
        <v>0</v>
      </c>
      <c r="DH23" s="65">
        <f>($C$3-$C$4)*($C$2-SUM($H$19:DH19))*DH10</f>
        <v>0</v>
      </c>
      <c r="DI23" s="65">
        <f>($C$3-$C$4)*($C$2-SUM($H$19:DI19))*DI10</f>
        <v>0</v>
      </c>
      <c r="DJ23" s="65">
        <f>($C$3-$C$4)*($C$2-SUM($H$19:DJ19))*DJ10</f>
        <v>0</v>
      </c>
      <c r="DK23" s="65">
        <f>($C$3-$C$4)*($C$2-SUM($H$19:DK19))*DK10</f>
        <v>0</v>
      </c>
      <c r="DL23" s="65">
        <f>($C$3-$C$4)*($C$2-SUM($H$19:DL19))*DL10</f>
        <v>0</v>
      </c>
      <c r="DM23" s="65">
        <f>($C$3-$C$4)*($C$2-SUM($H$19:DM19))*DM10</f>
        <v>0</v>
      </c>
      <c r="DN23" s="65">
        <f>($C$3-$C$4)*($C$2-SUM($H$19:DN19))*DN10</f>
        <v>0</v>
      </c>
      <c r="DO23" s="65">
        <f>($C$3-$C$4)*($C$2-SUM($H$19:DO19))*DO10</f>
        <v>0</v>
      </c>
      <c r="DP23" s="65">
        <f>($C$3-$C$4)*($C$2-SUM($H$19:DP19))*DP10</f>
        <v>0</v>
      </c>
      <c r="DQ23" s="65">
        <f>($C$3-$C$4)*($C$2-SUM($H$19:DQ19))*DQ10</f>
        <v>0</v>
      </c>
      <c r="DR23" s="65">
        <f>($C$3-$C$4)*($C$2-SUM($H$19:DR19))*DR10</f>
        <v>0</v>
      </c>
      <c r="DS23" s="65">
        <f>($C$3-$C$4)*($C$2-SUM($H$19:DS19))*DS10</f>
        <v>0</v>
      </c>
      <c r="DT23" s="65">
        <f>($C$3-$C$4)*($C$2-SUM($H$19:DT19))*DT10</f>
        <v>0</v>
      </c>
      <c r="DU23" s="65">
        <f>($C$3-$C$4)*($C$2-SUM($H$19:DU19))*DU10</f>
        <v>0</v>
      </c>
      <c r="DV23" s="65">
        <f>($C$3-$C$4)*($C$2-SUM($H$19:DV19))*DV10</f>
        <v>0</v>
      </c>
      <c r="DW23" s="65">
        <f>($C$3-$C$4)*($C$2-SUM($H$19:DW19))*DW10</f>
        <v>0</v>
      </c>
      <c r="DX23" s="65">
        <f>($C$3-$C$4)*($C$2-SUM($H$19:DX19))*DX10</f>
        <v>0</v>
      </c>
      <c r="DY23" s="65">
        <f>($C$3-$C$4)*($C$2-SUM($H$19:DY19))*DY10</f>
        <v>0</v>
      </c>
      <c r="DZ23" s="65">
        <f>($C$3-$C$4)*($C$2-SUM($H$19:DZ19))*DZ10</f>
        <v>0</v>
      </c>
      <c r="EA23" s="65">
        <f>($C$3-$C$4)*($C$2-SUM($H$19:EA19))*EA10</f>
        <v>0</v>
      </c>
      <c r="EB23" s="65">
        <f>($C$3-$C$4)*($C$2-SUM($H$19:EB19))*EB10</f>
        <v>0</v>
      </c>
      <c r="EC23" s="65">
        <f>($C$3-$C$4)*($C$2-SUM($H$19:EC19))*EC10</f>
        <v>0</v>
      </c>
      <c r="ED23" s="65">
        <f>($C$3-$C$4)*($C$2-SUM($H$19:ED19))*ED10</f>
        <v>0</v>
      </c>
      <c r="EE23" s="65">
        <f>($C$3-$C$4)*($C$2-SUM($H$19:EE19))*EE10</f>
        <v>0</v>
      </c>
      <c r="EF23" s="65">
        <f>($C$3-$C$4)*($C$2-SUM($H$19:EF19))*EF10</f>
        <v>0</v>
      </c>
      <c r="EG23" s="65">
        <f>($C$3-$C$4)*($C$2-SUM($H$19:EG19))*EG10</f>
        <v>0</v>
      </c>
      <c r="EH23" s="65">
        <f>($C$3-$C$4)*($C$2-SUM($H$19:EH19))*EH10</f>
        <v>0</v>
      </c>
      <c r="EI23" s="65">
        <f>($C$3-$C$4)*($C$2-SUM($H$19:EI19))*EI10</f>
        <v>0</v>
      </c>
    </row>
    <row r="24" spans="2:139" x14ac:dyDescent="0.45">
      <c r="B24" s="58" t="s">
        <v>258</v>
      </c>
      <c r="H24" s="65">
        <f>+$C$3*($C$2+SUM($H$18:H18))*H10</f>
        <v>122771.88300000005</v>
      </c>
      <c r="I24" s="65">
        <f>+$C$3*($C$2+SUM($H$18:I18))*I10</f>
        <v>118295.82476562506</v>
      </c>
      <c r="J24" s="65">
        <f>+$C$3*($C$2+SUM($H$18:J18))*J10</f>
        <v>113800.5834245313</v>
      </c>
      <c r="K24" s="65">
        <f>+$C$3*($C$2+SUM($H$18:K18))*K10</f>
        <v>109286.09847444358</v>
      </c>
      <c r="L24" s="65">
        <f>+$C$3*($C$2+SUM($H$18:L18))*L10</f>
        <v>104752.30924425382</v>
      </c>
      <c r="M24" s="65">
        <f>+$C$3*($C$2+SUM($H$18:M18))*M10</f>
        <v>100199.15489358029</v>
      </c>
      <c r="N24" s="65">
        <f>+$C$3*($C$2+SUM($H$18:N18))*N10</f>
        <v>95626.574412325645</v>
      </c>
      <c r="O24" s="65">
        <f>+$C$3*($C$2+SUM($H$18:O18))*O10</f>
        <v>91034.506620233777</v>
      </c>
      <c r="P24" s="65">
        <f>+$C$3*($C$2+SUM($H$18:P18))*P10</f>
        <v>86422.890166445635</v>
      </c>
      <c r="Q24" s="65">
        <f>+$C$3*($C$2+SUM($H$18:Q18))*Q10</f>
        <v>81791.663529053942</v>
      </c>
      <c r="R24" s="65">
        <f>+$C$3*($C$2+SUM($H$18:R18))*R10</f>
        <v>77140.765014656761</v>
      </c>
      <c r="S24" s="65">
        <f>+$C$3*($C$2+SUM($H$18:S18))*S10</f>
        <v>72470.132757909974</v>
      </c>
      <c r="T24" s="65">
        <f>+$C$3*($C$2+SUM($H$18:T18))*T10</f>
        <v>67779.704721078582</v>
      </c>
      <c r="U24" s="65">
        <f>+$C$3*($C$2+SUM($H$18:U18))*U10</f>
        <v>63069.41869358698</v>
      </c>
      <c r="V24" s="65">
        <f>+$C$3*($C$2+SUM($H$18:V18))*V10</f>
        <v>58339.21229156795</v>
      </c>
      <c r="W24" s="65">
        <f>+$C$3*($C$2+SUM($H$18:W18))*W10</f>
        <v>53589.02295741078</v>
      </c>
      <c r="X24" s="65">
        <f>+$C$3*($C$2+SUM($H$18:X18))*X10</f>
        <v>48818.787959307941</v>
      </c>
      <c r="Y24" s="65">
        <f>+$C$3*($C$2+SUM($H$18:Y18))*Y10</f>
        <v>44028.444390800854</v>
      </c>
      <c r="Z24" s="65">
        <f>+$C$3*($C$2+SUM($H$18:Z18))*Z10</f>
        <v>39217.92917032446</v>
      </c>
      <c r="AA24" s="65">
        <f>+$C$3*($C$2+SUM($H$18:AA18))*AA10</f>
        <v>34387.179040750649</v>
      </c>
      <c r="AB24" s="65">
        <f>+$C$3*($C$2+SUM($H$18:AB18))*AB10</f>
        <v>29536.130568930468</v>
      </c>
      <c r="AC24" s="65">
        <f>+$C$3*($C$2+SUM($H$18:AC18))*AC10</f>
        <v>24664.720145235347</v>
      </c>
      <c r="AD24" s="65">
        <f>+$C$3*($C$2+SUM($H$18:AD18))*AD10</f>
        <v>19772.883983097003</v>
      </c>
      <c r="AE24" s="65">
        <f>+$C$3*($C$2+SUM($H$18:AE18))*AE10</f>
        <v>14860.558118546343</v>
      </c>
      <c r="AF24" s="65">
        <f>+$C$3*($C$2+SUM($H$18:AF18))*AF10</f>
        <v>9927.678409751099</v>
      </c>
      <c r="AG24" s="65">
        <f>+$C$3*($C$2+SUM($H$18:AG18))*AG10</f>
        <v>4974.1805365523742</v>
      </c>
      <c r="AH24" s="65">
        <f>+$C$3*($C$2+SUM($H$18:AH18))*AH10</f>
        <v>0</v>
      </c>
      <c r="AI24" s="65">
        <f>+$C$3*($C$2+SUM($H$18:AI18))*AI10</f>
        <v>0</v>
      </c>
      <c r="AJ24" s="65">
        <f>+$C$3*($C$2+SUM($H$18:AJ18))*AJ10</f>
        <v>0</v>
      </c>
      <c r="AK24" s="65">
        <f>+$C$3*($C$2+SUM($H$18:AK18))*AK10</f>
        <v>0</v>
      </c>
      <c r="AL24" s="65">
        <f>+$C$3*($C$2+SUM($H$18:AL18))*AL10</f>
        <v>0</v>
      </c>
      <c r="AM24" s="65">
        <f>+$C$3*($C$2+SUM($H$18:AM18))*AM10</f>
        <v>0</v>
      </c>
      <c r="AN24" s="65">
        <f>+$C$3*($C$2+SUM($H$18:AN18))*AN10</f>
        <v>0</v>
      </c>
      <c r="AO24" s="65">
        <f>+$C$3*($C$2+SUM($H$18:AO18))*AO10</f>
        <v>0</v>
      </c>
      <c r="AP24" s="65">
        <f>+$C$3*($C$2+SUM($H$18:AP18))*AP10</f>
        <v>0</v>
      </c>
      <c r="AQ24" s="65">
        <f>+$C$3*($C$2+SUM($H$18:AQ18))*AQ10</f>
        <v>0</v>
      </c>
      <c r="AR24" s="65">
        <f>+$C$3*($C$2+SUM($H$18:AR18))*AR10</f>
        <v>0</v>
      </c>
      <c r="AS24" s="65">
        <f>+$C$3*($C$2+SUM($H$18:AS18))*AS10</f>
        <v>0</v>
      </c>
      <c r="AT24" s="65">
        <f>+$C$3*($C$2+SUM($H$18:AT18))*AT10</f>
        <v>0</v>
      </c>
      <c r="AU24" s="65">
        <f>+$C$3*($C$2+SUM($H$18:AU18))*AU10</f>
        <v>0</v>
      </c>
      <c r="AV24" s="65">
        <f>+$C$3*($C$2+SUM($H$18:AV18))*AV10</f>
        <v>0</v>
      </c>
      <c r="AW24" s="65">
        <f>+$C$3*($C$2+SUM($H$18:AW18))*AW10</f>
        <v>0</v>
      </c>
      <c r="AX24" s="65">
        <f>+$C$3*($C$2+SUM($H$18:AX18))*AX10</f>
        <v>0</v>
      </c>
      <c r="AY24" s="65">
        <f>+$C$3*($C$2+SUM($H$18:AY18))*AY10</f>
        <v>0</v>
      </c>
      <c r="AZ24" s="65">
        <f>+$C$3*($C$2+SUM($H$18:AZ18))*AZ10</f>
        <v>0</v>
      </c>
      <c r="BA24" s="65">
        <f>+$C$3*($C$2+SUM($H$18:BA18))*BA10</f>
        <v>0</v>
      </c>
      <c r="BB24" s="65">
        <f>+$C$3*($C$2+SUM($H$18:BB18))*BB10</f>
        <v>0</v>
      </c>
      <c r="BC24" s="65">
        <f>+$C$3*($C$2+SUM($H$18:BC18))*BC10</f>
        <v>0</v>
      </c>
      <c r="BD24" s="65">
        <f>+$C$3*($C$2+SUM($H$18:BD18))*BD10</f>
        <v>0</v>
      </c>
      <c r="BE24" s="65">
        <f>+$C$3*($C$2+SUM($H$18:BE18))*BE10</f>
        <v>0</v>
      </c>
      <c r="BF24" s="65">
        <f>+$C$3*($C$2+SUM($H$18:BF18))*BF10</f>
        <v>0</v>
      </c>
      <c r="BG24" s="65">
        <f>+$C$3*($C$2+SUM($H$18:BG18))*BG10</f>
        <v>0</v>
      </c>
      <c r="BH24" s="65">
        <f>+$C$3*($C$2+SUM($H$18:BH18))*BH10</f>
        <v>0</v>
      </c>
      <c r="BI24" s="65">
        <f>+$C$3*($C$2+SUM($H$18:BI18))*BI10</f>
        <v>0</v>
      </c>
      <c r="BJ24" s="65">
        <f>+$C$3*($C$2+SUM($H$18:BJ18))*BJ10</f>
        <v>0</v>
      </c>
      <c r="BK24" s="65">
        <f>+$C$3*($C$2+SUM($H$18:BK18))*BK10</f>
        <v>0</v>
      </c>
      <c r="BL24" s="65">
        <f>+$C$3*($C$2+SUM($H$18:BL18))*BL10</f>
        <v>0</v>
      </c>
      <c r="BM24" s="65">
        <f>+$C$3*($C$2+SUM($H$18:BM18))*BM10</f>
        <v>0</v>
      </c>
      <c r="BN24" s="65">
        <f>+$C$3*($C$2+SUM($H$18:BN18))*BN10</f>
        <v>0</v>
      </c>
      <c r="BO24" s="65">
        <f>+$C$3*($C$2+SUM($H$18:BO18))*BO10</f>
        <v>0</v>
      </c>
      <c r="BP24" s="65">
        <f>+$C$3*($C$2+SUM($H$18:BP18))*BP10</f>
        <v>0</v>
      </c>
      <c r="BQ24" s="65">
        <f>+$C$3*($C$2+SUM($H$18:BQ18))*BQ10</f>
        <v>0</v>
      </c>
      <c r="BR24" s="65">
        <f>+$C$3*($C$2+SUM($H$18:BR18))*BR10</f>
        <v>0</v>
      </c>
      <c r="BS24" s="65">
        <f>+$C$3*($C$2+SUM($H$18:BS18))*BS10</f>
        <v>0</v>
      </c>
      <c r="BT24" s="65">
        <f>+$C$3*($C$2+SUM($H$18:BT18))*BT10</f>
        <v>0</v>
      </c>
      <c r="BU24" s="65">
        <f>+$C$3*($C$2+SUM($H$18:BU18))*BU10</f>
        <v>0</v>
      </c>
      <c r="BV24" s="65">
        <f>+$C$3*($C$2+SUM($H$18:BV18))*BV10</f>
        <v>0</v>
      </c>
      <c r="BW24" s="65">
        <f>+$C$3*($C$2+SUM($H$18:BW18))*BW10</f>
        <v>0</v>
      </c>
      <c r="BX24" s="65">
        <f>+$C$3*($C$2+SUM($H$18:BX18))*BX10</f>
        <v>0</v>
      </c>
      <c r="BY24" s="65">
        <f>+$C$3*($C$2+SUM($H$18:BY18))*BY10</f>
        <v>0</v>
      </c>
      <c r="BZ24" s="65">
        <f>+$C$3*($C$2+SUM($H$18:BZ18))*BZ10</f>
        <v>0</v>
      </c>
      <c r="CA24" s="65">
        <f>+$C$3*($C$2+SUM($H$18:CA18))*CA10</f>
        <v>0</v>
      </c>
      <c r="CB24" s="65">
        <f>+$C$3*($C$2+SUM($H$18:CB18))*CB10</f>
        <v>0</v>
      </c>
      <c r="CC24" s="65">
        <f>+$C$3*($C$2+SUM($H$18:CC18))*CC10</f>
        <v>0</v>
      </c>
      <c r="CD24" s="65">
        <f>+$C$3*($C$2+SUM($H$18:CD18))*CD10</f>
        <v>0</v>
      </c>
      <c r="CE24" s="65">
        <f>+$C$3*($C$2+SUM($H$18:CE18))*CE10</f>
        <v>0</v>
      </c>
      <c r="CF24" s="65">
        <f>+$C$3*($C$2+SUM($H$18:CF18))*CF10</f>
        <v>0</v>
      </c>
      <c r="CG24" s="65">
        <f>+$C$3*($C$2+SUM($H$18:CG18))*CG10</f>
        <v>0</v>
      </c>
      <c r="CH24" s="65">
        <f>+$C$3*($C$2+SUM($H$18:CH18))*CH10</f>
        <v>0</v>
      </c>
      <c r="CI24" s="65">
        <f>+$C$3*($C$2+SUM($H$18:CI18))*CI10</f>
        <v>0</v>
      </c>
      <c r="CJ24" s="65">
        <f>+$C$3*($C$2+SUM($H$18:CJ18))*CJ10</f>
        <v>0</v>
      </c>
      <c r="CK24" s="65">
        <f>+$C$3*($C$2+SUM($H$18:CK18))*CK10</f>
        <v>0</v>
      </c>
      <c r="CL24" s="65">
        <f>+$C$3*($C$2+SUM($H$18:CL18))*CL10</f>
        <v>0</v>
      </c>
      <c r="CM24" s="65">
        <f>+$C$3*($C$2+SUM($H$18:CM18))*CM10</f>
        <v>0</v>
      </c>
      <c r="CN24" s="65">
        <f>+$C$3*($C$2+SUM($H$18:CN18))*CN10</f>
        <v>0</v>
      </c>
      <c r="CO24" s="65">
        <f>+$C$3*($C$2+SUM($H$18:CO18))*CO10</f>
        <v>0</v>
      </c>
      <c r="CP24" s="65">
        <f>+$C$3*($C$2+SUM($H$18:CP18))*CP10</f>
        <v>0</v>
      </c>
      <c r="CQ24" s="65">
        <f>+$C$3*($C$2+SUM($H$18:CQ18))*CQ10</f>
        <v>0</v>
      </c>
      <c r="CR24" s="65">
        <f>+$C$3*($C$2+SUM($H$18:CR18))*CR10</f>
        <v>0</v>
      </c>
      <c r="CS24" s="65">
        <f>+$C$3*($C$2+SUM($H$18:CS18))*CS10</f>
        <v>0</v>
      </c>
      <c r="CT24" s="65">
        <f>+$C$3*($C$2+SUM($H$18:CT18))*CT10</f>
        <v>0</v>
      </c>
      <c r="CU24" s="65">
        <f>+$C$3*($C$2+SUM($H$18:CU18))*CU10</f>
        <v>0</v>
      </c>
      <c r="CV24" s="65">
        <f>+$C$3*($C$2+SUM($H$18:CV18))*CV10</f>
        <v>0</v>
      </c>
      <c r="CW24" s="65">
        <f>+$C$3*($C$2+SUM($H$18:CW18))*CW10</f>
        <v>0</v>
      </c>
      <c r="CX24" s="65">
        <f>+$C$3*($C$2+SUM($H$18:CX18))*CX10</f>
        <v>0</v>
      </c>
      <c r="CY24" s="65">
        <f>+$C$3*($C$2+SUM($H$18:CY18))*CY10</f>
        <v>0</v>
      </c>
      <c r="CZ24" s="65">
        <f>+$C$3*($C$2+SUM($H$18:CZ18))*CZ10</f>
        <v>0</v>
      </c>
      <c r="DA24" s="65">
        <f>+$C$3*($C$2+SUM($H$18:DA18))*DA10</f>
        <v>0</v>
      </c>
      <c r="DB24" s="65">
        <f>+$C$3*($C$2+SUM($H$18:DB18))*DB10</f>
        <v>0</v>
      </c>
      <c r="DC24" s="65">
        <f>+$C$3*($C$2+SUM($H$18:DC18))*DC10</f>
        <v>0</v>
      </c>
      <c r="DD24" s="65">
        <f>+$C$3*($C$2+SUM($H$18:DD18))*DD10</f>
        <v>0</v>
      </c>
      <c r="DE24" s="65">
        <f>+$C$3*($C$2+SUM($H$18:DE18))*DE10</f>
        <v>0</v>
      </c>
      <c r="DF24" s="65">
        <f>+$C$3*($C$2+SUM($H$18:DF18))*DF10</f>
        <v>0</v>
      </c>
      <c r="DG24" s="65">
        <f>+$C$3*($C$2+SUM($H$18:DG18))*DG10</f>
        <v>0</v>
      </c>
      <c r="DH24" s="65">
        <f>+$C$3*($C$2+SUM($H$18:DH18))*DH10</f>
        <v>0</v>
      </c>
      <c r="DI24" s="65">
        <f>+$C$3*($C$2+SUM($H$18:DI18))*DI10</f>
        <v>0</v>
      </c>
      <c r="DJ24" s="65">
        <f>+$C$3*($C$2+SUM($H$18:DJ18))*DJ10</f>
        <v>0</v>
      </c>
      <c r="DK24" s="65">
        <f>+$C$3*($C$2+SUM($H$18:DK18))*DK10</f>
        <v>0</v>
      </c>
      <c r="DL24" s="65">
        <f>+$C$3*($C$2+SUM($H$18:DL18))*DL10</f>
        <v>0</v>
      </c>
      <c r="DM24" s="65">
        <f>+$C$3*($C$2+SUM($H$18:DM18))*DM10</f>
        <v>0</v>
      </c>
      <c r="DN24" s="65">
        <f>+$C$3*($C$2+SUM($H$18:DN18))*DN10</f>
        <v>0</v>
      </c>
      <c r="DO24" s="65">
        <f>+$C$3*($C$2+SUM($H$18:DO18))*DO10</f>
        <v>0</v>
      </c>
      <c r="DP24" s="65">
        <f>+$C$3*($C$2+SUM($H$18:DP18))*DP10</f>
        <v>0</v>
      </c>
      <c r="DQ24" s="65">
        <f>+$C$3*($C$2+SUM($H$18:DQ18))*DQ10</f>
        <v>0</v>
      </c>
      <c r="DR24" s="65">
        <f>+$C$3*($C$2+SUM($H$18:DR18))*DR10</f>
        <v>0</v>
      </c>
      <c r="DS24" s="65">
        <f>+$C$3*($C$2+SUM($H$18:DS18))*DS10</f>
        <v>0</v>
      </c>
      <c r="DT24" s="65">
        <f>+$C$3*($C$2+SUM($H$18:DT18))*DT10</f>
        <v>0</v>
      </c>
      <c r="DU24" s="65">
        <f>+$C$3*($C$2+SUM($H$18:DU18))*DU10</f>
        <v>0</v>
      </c>
      <c r="DV24" s="65">
        <f>+$C$3*($C$2+SUM($H$18:DV18))*DV10</f>
        <v>0</v>
      </c>
      <c r="DW24" s="65">
        <f>+$C$3*($C$2+SUM($H$18:DW18))*DW10</f>
        <v>0</v>
      </c>
      <c r="DX24" s="65">
        <f>+$C$3*($C$2+SUM($H$18:DX18))*DX10</f>
        <v>0</v>
      </c>
      <c r="DY24" s="65">
        <f>+$C$3*($C$2+SUM($H$18:DY18))*DY10</f>
        <v>0</v>
      </c>
      <c r="DZ24" s="65">
        <f>+$C$3*($C$2+SUM($H$18:DZ18))*DZ10</f>
        <v>0</v>
      </c>
      <c r="EA24" s="65">
        <f>+$C$3*($C$2+SUM($H$18:EA18))*EA10</f>
        <v>0</v>
      </c>
      <c r="EB24" s="65">
        <f>+$C$3*($C$2+SUM($H$18:EB18))*EB10</f>
        <v>0</v>
      </c>
      <c r="EC24" s="65">
        <f>+$C$3*($C$2+SUM($H$18:EC18))*EC10</f>
        <v>0</v>
      </c>
      <c r="ED24" s="65">
        <f>+$C$3*($C$2+SUM($H$18:ED18))*ED10</f>
        <v>0</v>
      </c>
      <c r="EE24" s="65">
        <f>+$C$3*($C$2+SUM($H$18:EE18))*EE10</f>
        <v>0</v>
      </c>
      <c r="EF24" s="65">
        <f>+$C$3*($C$2+SUM($H$18:EF18))*EF10</f>
        <v>0</v>
      </c>
      <c r="EG24" s="65">
        <f>+$C$3*($C$2+SUM($H$18:EG18))*EG10</f>
        <v>0</v>
      </c>
      <c r="EH24" s="65">
        <f>+$C$3*($C$2+SUM($H$18:EH18))*EH10</f>
        <v>0</v>
      </c>
      <c r="EI24" s="65">
        <f>+$C$3*($C$2+SUM($H$18:EI18))*EI10</f>
        <v>0</v>
      </c>
    </row>
    <row r="25" spans="2:139" x14ac:dyDescent="0.45">
      <c r="B25" s="58" t="s">
        <v>262</v>
      </c>
      <c r="H25" s="65">
        <f>+SUM($H$19:H19)*$C$4*H10</f>
        <v>0</v>
      </c>
      <c r="I25" s="65">
        <f>+SUM($H$19:I19)*$C$4*I10</f>
        <v>0</v>
      </c>
      <c r="J25" s="65">
        <f>+SUM($H$19:J19)*$C$4*J10</f>
        <v>0</v>
      </c>
      <c r="K25" s="65">
        <f>+SUM($H$19:K19)*$C$4*K10</f>
        <v>0</v>
      </c>
      <c r="L25" s="65">
        <f>+SUM($H$19:L19)*$C$4*L10</f>
        <v>7368.586397254996</v>
      </c>
      <c r="M25" s="65">
        <f>+SUM($H$19:M19)*$C$4*M10</f>
        <v>14767.87523783189</v>
      </c>
      <c r="N25" s="65">
        <f>+SUM($H$19:N19)*$C$4*N10</f>
        <v>22197.962466866062</v>
      </c>
      <c r="O25" s="65">
        <f>+SUM($H$19:O19)*$C$4*O10</f>
        <v>29658.944296007161</v>
      </c>
      <c r="P25" s="65">
        <f>+SUM($H$19:P19)*$C$4*P10</f>
        <v>37150.917204113131</v>
      </c>
      <c r="Q25" s="65">
        <f>+SUM($H$19:Q19)*$C$4*Q10</f>
        <v>44673.977937946052</v>
      </c>
      <c r="R25" s="65">
        <f>+SUM($H$19:R19)*$C$4*R10</f>
        <v>52228.223512869583</v>
      </c>
      <c r="S25" s="65">
        <f>+SUM($H$19:S19)*$C$4*S10</f>
        <v>59813.751213548268</v>
      </c>
      <c r="T25" s="65">
        <f>+SUM($H$19:T19)*$C$4*T10</f>
        <v>67430.658594648557</v>
      </c>
      <c r="U25" s="65">
        <f>+SUM($H$19:U19)*$C$4*U10</f>
        <v>75079.043481541579</v>
      </c>
      <c r="V25" s="65">
        <f>+SUM($H$19:V19)*$C$4*V10</f>
        <v>82759.003971007609</v>
      </c>
      <c r="W25" s="65">
        <f>+SUM($H$19:W19)*$C$4*W10</f>
        <v>90470.638431942425</v>
      </c>
      <c r="X25" s="65">
        <f>+SUM($H$19:X19)*$C$4*X10</f>
        <v>98214.045506065289</v>
      </c>
      <c r="Y25" s="65">
        <f>+SUM($H$19:Y19)*$C$4*Y10</f>
        <v>105989.32410862882</v>
      </c>
      <c r="Z25" s="65">
        <f>+SUM($H$19:Z19)*$C$4*Z10</f>
        <v>113796.57342913047</v>
      </c>
      <c r="AA25" s="65">
        <f>+SUM($H$19:AA19)*$C$4*AA10</f>
        <v>121635.89293202617</v>
      </c>
      <c r="AB25" s="65">
        <f>+SUM($H$19:AB19)*$C$4*AB10</f>
        <v>129507.38235744507</v>
      </c>
      <c r="AC25" s="65">
        <f>+SUM($H$19:AC19)*$C$4*AC10</f>
        <v>137411.14172190681</v>
      </c>
      <c r="AD25" s="65">
        <f>+SUM($H$19:AD19)*$C$4*AD10</f>
        <v>145347.27131904007</v>
      </c>
      <c r="AE25" s="65">
        <f>+SUM($H$19:AE19)*$C$4*AE10</f>
        <v>153315.87172030326</v>
      </c>
      <c r="AF25" s="65">
        <f>+SUM($H$19:AF19)*$C$4*AF10</f>
        <v>161317.04377570661</v>
      </c>
      <c r="AG25" s="65">
        <f>+SUM($H$19:AG19)*$C$4*AG10</f>
        <v>169350.88861453647</v>
      </c>
      <c r="AH25" s="65">
        <f>+SUM($H$19:AH19)*$C$4*AH10</f>
        <v>177417.50764608121</v>
      </c>
      <c r="AI25" s="65">
        <f>+SUM($H$19:AI19)*$C$4*AI10</f>
        <v>185517.00256035881</v>
      </c>
      <c r="AJ25" s="65">
        <f>+SUM($H$19:AJ19)*$C$4*AJ10</f>
        <v>193649.47532884681</v>
      </c>
      <c r="AK25" s="65">
        <f>+SUM($H$19:AK19)*$C$4*AK10</f>
        <v>201815.0282052132</v>
      </c>
      <c r="AL25" s="65">
        <f>+SUM($H$19:AL19)*$C$4*AL10</f>
        <v>202235.47618064072</v>
      </c>
      <c r="AM25" s="65">
        <f>+SUM($H$19:AM19)*$C$4*AM10</f>
        <v>202656.80008935044</v>
      </c>
      <c r="AN25" s="65">
        <f>+SUM($H$19:AN19)*$C$4*AN10</f>
        <v>203079.00175620327</v>
      </c>
      <c r="AO25" s="65">
        <f>+SUM($H$19:AO19)*$C$4*AO10</f>
        <v>203502.08300986205</v>
      </c>
      <c r="AP25" s="65">
        <f>+SUM($H$19:AP19)*$C$4*AP10</f>
        <v>203926.04568279925</v>
      </c>
      <c r="AQ25" s="65">
        <f>+SUM($H$19:AQ19)*$C$4*AQ10</f>
        <v>204350.89161130515</v>
      </c>
      <c r="AR25" s="65">
        <f>+SUM($H$19:AR19)*$C$4*AR10</f>
        <v>204776.62263549538</v>
      </c>
      <c r="AS25" s="65">
        <f>+SUM($H$19:AS19)*$C$4*AS10</f>
        <v>205203.24059931937</v>
      </c>
      <c r="AT25" s="65">
        <f>+SUM($H$19:AT19)*$C$4*AT10</f>
        <v>205630.74735056798</v>
      </c>
      <c r="AU25" s="65">
        <f>+SUM($H$19:AU19)*$C$4*AU10</f>
        <v>206059.14474088169</v>
      </c>
      <c r="AV25" s="65">
        <f>+SUM($H$19:AV19)*$C$4*AV10</f>
        <v>206488.43462575853</v>
      </c>
      <c r="AW25" s="65">
        <f>+SUM($H$19:AW19)*$C$4*AW10</f>
        <v>206918.61886456222</v>
      </c>
      <c r="AX25" s="65">
        <f>+SUM($H$19:AX19)*$C$4*AX10</f>
        <v>207349.69932053008</v>
      </c>
      <c r="AY25" s="65">
        <f>+SUM($H$19:AY19)*$C$4*AY10</f>
        <v>207781.6778607812</v>
      </c>
      <c r="AZ25" s="65">
        <f>+SUM($H$19:AZ19)*$C$4*AZ10</f>
        <v>208214.55635632455</v>
      </c>
      <c r="BA25" s="65">
        <f>+SUM($H$19:BA19)*$C$4*BA10</f>
        <v>208648.3366820669</v>
      </c>
      <c r="BB25" s="65">
        <f>+SUM($H$19:BB19)*$C$4*BB10</f>
        <v>209083.02071682122</v>
      </c>
      <c r="BC25" s="65">
        <f>+SUM($H$19:BC19)*$C$4*BC10</f>
        <v>209518.61034331465</v>
      </c>
      <c r="BD25" s="65">
        <f>+SUM($H$19:BD19)*$C$4*BD10</f>
        <v>209955.10744819662</v>
      </c>
      <c r="BE25" s="65">
        <f>+SUM($H$19:BE19)*$C$4*BE10</f>
        <v>210392.51392204704</v>
      </c>
      <c r="BF25" s="65">
        <f>+SUM($H$19:BF19)*$C$4*BF10</f>
        <v>210830.83165938462</v>
      </c>
      <c r="BG25" s="65">
        <f>+SUM($H$19:BG19)*$C$4*BG10</f>
        <v>211270.06255867504</v>
      </c>
      <c r="BH25" s="65">
        <f>+SUM($H$19:BH19)*$C$4*BH10</f>
        <v>211710.208522339</v>
      </c>
      <c r="BI25" s="65">
        <f>+SUM($H$19:BI19)*$C$4*BI10</f>
        <v>212151.27145676056</v>
      </c>
      <c r="BJ25" s="65">
        <f>+SUM($H$19:BJ19)*$C$4*BJ10</f>
        <v>212593.25327229549</v>
      </c>
      <c r="BK25" s="65">
        <f>+SUM($H$19:BK19)*$C$4*BK10</f>
        <v>213036.15588327948</v>
      </c>
      <c r="BL25" s="65">
        <f>+SUM($H$19:BL19)*$C$4*BL10</f>
        <v>213479.9812080363</v>
      </c>
      <c r="BM25" s="65">
        <f>+SUM($H$19:BM19)*$C$4*BM10</f>
        <v>213924.73116888644</v>
      </c>
      <c r="BN25" s="65">
        <f>+SUM($H$19:BN19)*$C$4*BN10</f>
        <v>214370.40769215501</v>
      </c>
      <c r="BO25" s="65">
        <f>+SUM($H$19:BO19)*$C$4*BO10</f>
        <v>214817.01270818032</v>
      </c>
      <c r="BP25" s="65">
        <f>+SUM($H$19:BP19)*$C$4*BP10</f>
        <v>215264.54815132241</v>
      </c>
      <c r="BQ25" s="65">
        <f>+SUM($H$19:BQ19)*$C$4*BQ10</f>
        <v>215713.01595997106</v>
      </c>
      <c r="BR25" s="65">
        <f>+SUM($H$19:BR19)*$C$4*BR10</f>
        <v>216162.41807655431</v>
      </c>
      <c r="BS25" s="65">
        <f>+SUM($H$19:BS19)*$C$4*BS10</f>
        <v>216612.75644754717</v>
      </c>
      <c r="BT25" s="65">
        <f>+SUM($H$19:BT19)*$C$4*BT10</f>
        <v>217064.0330234796</v>
      </c>
      <c r="BU25" s="65">
        <f>+SUM($H$19:BU19)*$C$4*BU10</f>
        <v>217516.2497589452</v>
      </c>
      <c r="BV25" s="65">
        <f>+SUM($H$19:BV19)*$C$4*BV10</f>
        <v>217969.40861260967</v>
      </c>
      <c r="BW25" s="65">
        <f>+SUM($H$19:BW19)*$C$4*BW10</f>
        <v>218423.51154721936</v>
      </c>
      <c r="BX25" s="65">
        <f>+SUM($H$19:BX19)*$C$4*BX10</f>
        <v>218878.56052960939</v>
      </c>
      <c r="BY25" s="65">
        <f>+SUM($H$19:BY19)*$C$4*BY10</f>
        <v>219334.55753071274</v>
      </c>
      <c r="BZ25" s="65">
        <f>+SUM($H$19:BZ19)*$C$4*BZ10</f>
        <v>219791.50452556845</v>
      </c>
      <c r="CA25" s="65">
        <f>+SUM($H$19:CA19)*$C$4*CA10</f>
        <v>220249.40349333012</v>
      </c>
      <c r="CB25" s="65">
        <f>+SUM($H$19:CB19)*$C$4*CB10</f>
        <v>220708.25641727456</v>
      </c>
      <c r="CC25" s="65">
        <f>+SUM($H$19:CC19)*$C$4*CC10</f>
        <v>221168.06528481055</v>
      </c>
      <c r="CD25" s="65">
        <f>+SUM($H$19:CD19)*$C$4*CD10</f>
        <v>221628.8320874873</v>
      </c>
      <c r="CE25" s="65">
        <f>+SUM($H$19:CE19)*$C$4*CE10</f>
        <v>222090.55882100289</v>
      </c>
      <c r="CF25" s="65">
        <f>+SUM($H$19:CF19)*$C$4*CF10</f>
        <v>222553.24748521336</v>
      </c>
      <c r="CG25" s="65">
        <f>+SUM($H$19:CG19)*$C$4*CG10</f>
        <v>223016.90008414094</v>
      </c>
      <c r="CH25" s="65">
        <f>+SUM($H$19:CH19)*$C$4*CH10</f>
        <v>223481.51862598289</v>
      </c>
      <c r="CI25" s="65">
        <f>+SUM($H$19:CI19)*$C$4*CI10</f>
        <v>223947.10512312039</v>
      </c>
      <c r="CJ25" s="65">
        <f>+SUM($H$19:CJ19)*$C$4*CJ10</f>
        <v>224413.66159212694</v>
      </c>
      <c r="CK25" s="65">
        <f>+SUM($H$19:CK19)*$C$4*CK10</f>
        <v>224881.19005377725</v>
      </c>
      <c r="CL25" s="65">
        <f>+SUM($H$19:CL19)*$C$4*CL10</f>
        <v>225349.69253305593</v>
      </c>
      <c r="CM25" s="65">
        <f>+SUM($H$19:CM19)*$C$4*CM10</f>
        <v>225819.17105916649</v>
      </c>
      <c r="CN25" s="65">
        <f>+SUM($H$19:CN19)*$C$4*CN10</f>
        <v>226289.6276655398</v>
      </c>
      <c r="CO25" s="65">
        <f>+SUM($H$19:CO19)*$C$4*CO10</f>
        <v>226761.06438984303</v>
      </c>
      <c r="CP25" s="65">
        <f>+SUM($H$19:CP19)*$C$4*CP10</f>
        <v>227233.48327398856</v>
      </c>
      <c r="CQ25" s="65">
        <f>+SUM($H$19:CQ19)*$C$4*CQ10</f>
        <v>227706.88636414276</v>
      </c>
      <c r="CR25" s="65">
        <f>+SUM($H$19:CR19)*$C$4*CR10</f>
        <v>228181.27571073474</v>
      </c>
      <c r="CS25" s="65">
        <f>+SUM($H$19:CS19)*$C$4*CS10</f>
        <v>228656.65336846546</v>
      </c>
      <c r="CT25" s="65">
        <f>+SUM($H$19:CT19)*$C$4*CT10</f>
        <v>229133.02139631647</v>
      </c>
      <c r="CU25" s="65">
        <f>+SUM($H$19:CU19)*$C$4*CU10</f>
        <v>229610.38185755882</v>
      </c>
      <c r="CV25" s="65">
        <f>+SUM($H$19:CV19)*$C$4*CV10</f>
        <v>230088.73681976213</v>
      </c>
      <c r="CW25" s="65">
        <f>+SUM($H$19:CW19)*$C$4*CW10</f>
        <v>230568.0883548033</v>
      </c>
      <c r="CX25" s="65">
        <f>+SUM($H$19:CX19)*$C$4*CX10</f>
        <v>231048.43853887584</v>
      </c>
      <c r="CY25" s="65">
        <f>+SUM($H$19:CY19)*$C$4*CY10</f>
        <v>231529.78945249855</v>
      </c>
      <c r="CZ25" s="65">
        <f>+SUM($H$19:CZ19)*$C$4*CZ10</f>
        <v>232012.14318052458</v>
      </c>
      <c r="DA25" s="65">
        <f>+SUM($H$19:DA19)*$C$4*DA10</f>
        <v>232495.50181215073</v>
      </c>
      <c r="DB25" s="65">
        <f>+SUM($H$19:DB19)*$C$4*DB10</f>
        <v>232979.867440926</v>
      </c>
      <c r="DC25" s="65">
        <f>+SUM($H$19:DC19)*$C$4*DC10</f>
        <v>233465.24216476135</v>
      </c>
      <c r="DD25" s="65">
        <f>+SUM($H$19:DD19)*$C$4*DD10</f>
        <v>233951.62808593796</v>
      </c>
      <c r="DE25" s="65">
        <f>+SUM($H$19:DE19)*$C$4*DE10</f>
        <v>234439.02731111701</v>
      </c>
      <c r="DF25" s="65">
        <f>+SUM($H$19:DF19)*$C$4*DF10</f>
        <v>234927.44195134856</v>
      </c>
      <c r="DG25" s="65">
        <f>+SUM($H$19:DG19)*$C$4*DG10</f>
        <v>235416.87412208057</v>
      </c>
      <c r="DH25" s="65">
        <f>+SUM($H$19:DH19)*$C$4*DH10</f>
        <v>235907.32594316825</v>
      </c>
      <c r="DI25" s="65">
        <f>+SUM($H$19:DI19)*$C$4*DI10</f>
        <v>236398.79953888321</v>
      </c>
      <c r="DJ25" s="65">
        <f>+SUM($H$19:DJ19)*$C$4*DJ10</f>
        <v>236891.2970379226</v>
      </c>
      <c r="DK25" s="65">
        <f>+SUM($H$19:DK19)*$C$4*DK10</f>
        <v>237384.82057341831</v>
      </c>
      <c r="DL25" s="65">
        <f>+SUM($H$19:DL19)*$C$4*DL10</f>
        <v>237879.37228294628</v>
      </c>
      <c r="DM25" s="65">
        <f>+SUM($H$19:DM19)*$C$4*DM10</f>
        <v>238374.95430853579</v>
      </c>
      <c r="DN25" s="65">
        <f>+SUM($H$19:DN19)*$C$4*DN10</f>
        <v>238871.56879667856</v>
      </c>
      <c r="DO25" s="65">
        <f>+SUM($H$19:DO19)*$C$4*DO10</f>
        <v>239369.21789833836</v>
      </c>
      <c r="DP25" s="65">
        <f>+SUM($H$19:DP19)*$C$4*DP10</f>
        <v>239867.90376895998</v>
      </c>
      <c r="DQ25" s="65">
        <f>+SUM($H$19:DQ19)*$C$4*DQ10</f>
        <v>240367.62856847869</v>
      </c>
      <c r="DR25" s="65">
        <f>+SUM($H$19:DR19)*$C$4*DR10</f>
        <v>240868.39446132965</v>
      </c>
      <c r="DS25" s="65">
        <f>+SUM($H$19:DS19)*$C$4*DS10</f>
        <v>241370.20361645744</v>
      </c>
      <c r="DT25" s="65">
        <f>+SUM($H$19:DT19)*$C$4*DT10</f>
        <v>241873.05820732511</v>
      </c>
      <c r="DU25" s="65">
        <f>+SUM($H$19:DU19)*$C$4*DU10</f>
        <v>242376.96041192373</v>
      </c>
      <c r="DV25" s="65">
        <f>+SUM($H$19:DV19)*$C$4*DV10</f>
        <v>242881.91241278194</v>
      </c>
      <c r="DW25" s="65">
        <f>+SUM($H$19:DW19)*$C$4*DW10</f>
        <v>243387.91639697528</v>
      </c>
      <c r="DX25" s="65">
        <f>+SUM($H$19:DX19)*$C$4*DX10</f>
        <v>243894.97455613565</v>
      </c>
      <c r="DY25" s="65">
        <f>+SUM($H$19:DY19)*$C$4*DY10</f>
        <v>244403.08908646097</v>
      </c>
      <c r="DZ25" s="65">
        <f>+SUM($H$19:DZ19)*$C$4*DZ10</f>
        <v>244912.2621887245</v>
      </c>
      <c r="EA25" s="65">
        <f>+SUM($H$19:EA19)*$C$4*EA10</f>
        <v>245422.49606828435</v>
      </c>
      <c r="EB25" s="65">
        <f>+SUM($H$19:EB19)*$C$4*EB10</f>
        <v>245933.79293509334</v>
      </c>
      <c r="EC25" s="65">
        <f>+SUM($H$19:EC19)*$C$4*EC10</f>
        <v>246446.15500370815</v>
      </c>
      <c r="ED25" s="65">
        <f>+SUM($H$19:ED19)*$C$4*ED10</f>
        <v>246959.58449329922</v>
      </c>
      <c r="EE25" s="65">
        <f>+SUM($H$19:EE19)*$C$4*EE10</f>
        <v>247474.08362766026</v>
      </c>
      <c r="EF25" s="65">
        <f>+SUM($H$19:EF19)*$C$4*EF10</f>
        <v>247989.65463521788</v>
      </c>
      <c r="EG25" s="65">
        <f>+SUM($H$19:EG19)*$C$4*EG10</f>
        <v>248506.29974904133</v>
      </c>
      <c r="EH25" s="65">
        <f>+SUM($H$19:EH19)*$C$4*EH10</f>
        <v>249024.02120685184</v>
      </c>
      <c r="EI25" s="65">
        <f>+SUM($H$19:EI19)*$C$4*EI10</f>
        <v>249542.82125103284</v>
      </c>
    </row>
    <row r="26" spans="2:139" x14ac:dyDescent="0.45">
      <c r="B26" s="58" t="s">
        <v>62</v>
      </c>
      <c r="H26" s="65">
        <f t="shared" ref="H26:J26" si="180">+IF(H16&lt;$K$5,SUM(H24:H25)/(H22+H23)-1,-$K$7)*SUM(H22:H23)</f>
        <v>2.7260834256637174E-11</v>
      </c>
      <c r="I26" s="65">
        <f>+IF(I16&lt;$K$5,SUM(I24:I25)/(I22+I23)-1,-$K$7)*SUM(I22:I23)</f>
        <v>-4731.8329906249846</v>
      </c>
      <c r="J26" s="65">
        <f t="shared" si="180"/>
        <v>-9483.381952044283</v>
      </c>
      <c r="K26" s="65">
        <f>+IF(K16&lt;$K$5,SUM(K24:K25)/(K22+K23)-1,-$K$7)*SUM(K22:K23)</f>
        <v>-14254.708496666559</v>
      </c>
      <c r="L26" s="65">
        <f t="shared" ref="L26:BW26" si="181">+IF(L16&lt;$K$5,SUM(L24:L25)/(L22+L23)-1,-$K$7)*SUM(L22:L23)</f>
        <v>-14284.405806034589</v>
      </c>
      <c r="M26" s="65">
        <f t="shared" si="181"/>
        <v>-14314.164984797193</v>
      </c>
      <c r="N26" s="65">
        <f t="shared" si="181"/>
        <v>-14343.986161848856</v>
      </c>
      <c r="O26" s="65">
        <f t="shared" si="181"/>
        <v>-14373.869466352669</v>
      </c>
      <c r="P26" s="65">
        <f t="shared" si="181"/>
        <v>-14403.815027740926</v>
      </c>
      <c r="Q26" s="65">
        <f t="shared" si="181"/>
        <v>-14433.822975715399</v>
      </c>
      <c r="R26" s="65">
        <f t="shared" si="181"/>
        <v>-14463.893440248128</v>
      </c>
      <c r="S26" s="65">
        <f t="shared" si="181"/>
        <v>-14494.026551581985</v>
      </c>
      <c r="T26" s="65">
        <f t="shared" si="181"/>
        <v>-14524.222440231091</v>
      </c>
      <c r="U26" s="65">
        <f t="shared" si="181"/>
        <v>-14554.481236981574</v>
      </c>
      <c r="V26" s="65">
        <f t="shared" si="181"/>
        <v>-14584.803072891978</v>
      </c>
      <c r="W26" s="65">
        <f t="shared" si="181"/>
        <v>-14615.188079293823</v>
      </c>
      <c r="X26" s="65">
        <f t="shared" si="181"/>
        <v>-14645.636387792381</v>
      </c>
      <c r="Y26" s="65">
        <f t="shared" si="181"/>
        <v>-14676.148130266931</v>
      </c>
      <c r="Z26" s="65">
        <f t="shared" si="181"/>
        <v>-14706.723438871668</v>
      </c>
      <c r="AA26" s="65">
        <f t="shared" si="181"/>
        <v>-14737.362446035966</v>
      </c>
      <c r="AB26" s="65">
        <f t="shared" si="181"/>
        <v>-14768.065284465238</v>
      </c>
      <c r="AC26" s="65">
        <f t="shared" si="181"/>
        <v>-14798.832087141205</v>
      </c>
      <c r="AD26" s="65">
        <f t="shared" si="181"/>
        <v>-14829.662987322756</v>
      </c>
      <c r="AE26" s="65">
        <f t="shared" si="181"/>
        <v>-14860.558118546329</v>
      </c>
      <c r="AF26" s="65">
        <f t="shared" si="181"/>
        <v>-14891.51761462662</v>
      </c>
      <c r="AG26" s="65">
        <f t="shared" si="181"/>
        <v>-14922.541609657117</v>
      </c>
      <c r="AH26" s="65">
        <f t="shared" si="181"/>
        <v>-14953.630238010552</v>
      </c>
      <c r="AI26" s="65">
        <f t="shared" si="181"/>
        <v>-9989.8557562265014</v>
      </c>
      <c r="AJ26" s="65">
        <f t="shared" si="181"/>
        <v>-5005.3339778592908</v>
      </c>
      <c r="AK26" s="65">
        <f t="shared" si="181"/>
        <v>-10090.75141026066</v>
      </c>
      <c r="AL26" s="65">
        <f t="shared" si="181"/>
        <v>-10111.773809032036</v>
      </c>
      <c r="AM26" s="65">
        <f t="shared" si="181"/>
        <v>-10132.840004467522</v>
      </c>
      <c r="AN26" s="65">
        <f t="shared" si="181"/>
        <v>-10153.950087810164</v>
      </c>
      <c r="AO26" s="65">
        <f t="shared" si="181"/>
        <v>-10175.104150493104</v>
      </c>
      <c r="AP26" s="65">
        <f t="shared" si="181"/>
        <v>-10196.302284139963</v>
      </c>
      <c r="AQ26" s="65">
        <f t="shared" si="181"/>
        <v>-10217.544580565258</v>
      </c>
      <c r="AR26" s="65">
        <f t="shared" si="181"/>
        <v>-10238.83113177477</v>
      </c>
      <c r="AS26" s="65">
        <f t="shared" si="181"/>
        <v>-10260.16202996597</v>
      </c>
      <c r="AT26" s="65">
        <f t="shared" si="181"/>
        <v>-10281.537367528399</v>
      </c>
      <c r="AU26" s="65">
        <f t="shared" si="181"/>
        <v>-10302.957237044086</v>
      </c>
      <c r="AV26" s="65">
        <f t="shared" si="181"/>
        <v>-10324.421731287926</v>
      </c>
      <c r="AW26" s="65">
        <f t="shared" si="181"/>
        <v>-10345.930943228112</v>
      </c>
      <c r="AX26" s="65">
        <f t="shared" si="181"/>
        <v>-10367.484966026504</v>
      </c>
      <c r="AY26" s="65">
        <f t="shared" si="181"/>
        <v>-10389.08389303906</v>
      </c>
      <c r="AZ26" s="65">
        <f t="shared" si="181"/>
        <v>-10410.727817816229</v>
      </c>
      <c r="BA26" s="65">
        <f t="shared" si="181"/>
        <v>-10432.416834103346</v>
      </c>
      <c r="BB26" s="65">
        <f t="shared" si="181"/>
        <v>-10454.151035841061</v>
      </c>
      <c r="BC26" s="65">
        <f t="shared" si="181"/>
        <v>-10475.930517165732</v>
      </c>
      <c r="BD26" s="65">
        <f t="shared" si="181"/>
        <v>-10497.755372409832</v>
      </c>
      <c r="BE26" s="65">
        <f t="shared" si="181"/>
        <v>-10519.625696102354</v>
      </c>
      <c r="BF26" s="65">
        <f t="shared" si="181"/>
        <v>-10541.541582969232</v>
      </c>
      <c r="BG26" s="65">
        <f t="shared" si="181"/>
        <v>-10563.503127933753</v>
      </c>
      <c r="BH26" s="65">
        <f t="shared" si="181"/>
        <v>-10585.510426116951</v>
      </c>
      <c r="BI26" s="65">
        <f t="shared" si="181"/>
        <v>-10607.563572838029</v>
      </c>
      <c r="BJ26" s="65">
        <f t="shared" si="181"/>
        <v>-10629.662663614776</v>
      </c>
      <c r="BK26" s="65">
        <f t="shared" si="181"/>
        <v>-10651.807794163975</v>
      </c>
      <c r="BL26" s="65">
        <f t="shared" si="181"/>
        <v>-10673.999060401817</v>
      </c>
      <c r="BM26" s="65">
        <f t="shared" si="181"/>
        <v>-10696.236558444323</v>
      </c>
      <c r="BN26" s="65">
        <f t="shared" si="181"/>
        <v>-10718.520384607751</v>
      </c>
      <c r="BO26" s="65">
        <f t="shared" si="181"/>
        <v>-10740.850635409017</v>
      </c>
      <c r="BP26" s="65">
        <f t="shared" si="181"/>
        <v>-10763.227407566121</v>
      </c>
      <c r="BQ26" s="65">
        <f t="shared" si="181"/>
        <v>-10785.650797998554</v>
      </c>
      <c r="BR26" s="65">
        <f t="shared" si="181"/>
        <v>-10808.120903827716</v>
      </c>
      <c r="BS26" s="65">
        <f t="shared" si="181"/>
        <v>-10830.637822377359</v>
      </c>
      <c r="BT26" s="65">
        <f t="shared" si="181"/>
        <v>-10853.20165117398</v>
      </c>
      <c r="BU26" s="65">
        <f t="shared" si="181"/>
        <v>-10875.81248794726</v>
      </c>
      <c r="BV26" s="65">
        <f t="shared" si="181"/>
        <v>-10898.470430630485</v>
      </c>
      <c r="BW26" s="65">
        <f t="shared" si="181"/>
        <v>-10921.175577360969</v>
      </c>
      <c r="BX26" s="65">
        <f t="shared" ref="BX26:EI26" si="182">+IF(BX16&lt;$K$5,SUM(BX24:BX25)/(BX22+BX23)-1,-$K$7)*SUM(BX22:BX23)</f>
        <v>-10943.928026480469</v>
      </c>
      <c r="BY26" s="65">
        <f t="shared" si="182"/>
        <v>-10966.727876535639</v>
      </c>
      <c r="BZ26" s="65">
        <f t="shared" si="182"/>
        <v>-10989.575226278423</v>
      </c>
      <c r="CA26" s="65">
        <f t="shared" si="182"/>
        <v>-11012.470174666507</v>
      </c>
      <c r="CB26" s="65">
        <f t="shared" si="182"/>
        <v>-11035.412820863728</v>
      </c>
      <c r="CC26" s="65">
        <f t="shared" si="182"/>
        <v>-11058.403264240529</v>
      </c>
      <c r="CD26" s="65">
        <f t="shared" si="182"/>
        <v>-11081.441604374366</v>
      </c>
      <c r="CE26" s="65">
        <f t="shared" si="182"/>
        <v>-11104.527941050146</v>
      </c>
      <c r="CF26" s="65">
        <f t="shared" si="182"/>
        <v>-11127.662374260668</v>
      </c>
      <c r="CG26" s="65">
        <f t="shared" si="182"/>
        <v>-11150.845004207047</v>
      </c>
      <c r="CH26" s="65">
        <f t="shared" si="182"/>
        <v>-11174.075931299145</v>
      </c>
      <c r="CI26" s="65">
        <f t="shared" si="182"/>
        <v>-11197.355256156021</v>
      </c>
      <c r="CJ26" s="65">
        <f t="shared" si="182"/>
        <v>-11220.683079606348</v>
      </c>
      <c r="CK26" s="65">
        <f t="shared" si="182"/>
        <v>-11244.059502688862</v>
      </c>
      <c r="CL26" s="65">
        <f t="shared" si="182"/>
        <v>-11267.484626652797</v>
      </c>
      <c r="CM26" s="65">
        <f t="shared" si="182"/>
        <v>-11290.958552958326</v>
      </c>
      <c r="CN26" s="65">
        <f t="shared" si="182"/>
        <v>-11314.481383276991</v>
      </c>
      <c r="CO26" s="65">
        <f t="shared" si="182"/>
        <v>-11338.053219492152</v>
      </c>
      <c r="CP26" s="65">
        <f t="shared" si="182"/>
        <v>-11361.674163699428</v>
      </c>
      <c r="CQ26" s="65">
        <f t="shared" si="182"/>
        <v>-11385.344318207139</v>
      </c>
      <c r="CR26" s="65">
        <f t="shared" si="182"/>
        <v>-11409.063785536739</v>
      </c>
      <c r="CS26" s="65">
        <f t="shared" si="182"/>
        <v>-11432.832668423274</v>
      </c>
      <c r="CT26" s="65">
        <f t="shared" si="182"/>
        <v>-11456.651069815824</v>
      </c>
      <c r="CU26" s="65">
        <f t="shared" si="182"/>
        <v>-11480.519092877941</v>
      </c>
      <c r="CV26" s="65">
        <f t="shared" si="182"/>
        <v>-11504.436840988106</v>
      </c>
      <c r="CW26" s="65">
        <f t="shared" si="182"/>
        <v>-11528.404417740167</v>
      </c>
      <c r="CX26" s="65">
        <f t="shared" si="182"/>
        <v>-11552.421926943793</v>
      </c>
      <c r="CY26" s="65">
        <f t="shared" si="182"/>
        <v>-11576.489472624928</v>
      </c>
      <c r="CZ26" s="65">
        <f t="shared" si="182"/>
        <v>-11600.607159026229</v>
      </c>
      <c r="DA26" s="65">
        <f t="shared" si="182"/>
        <v>-11624.775090607538</v>
      </c>
      <c r="DB26" s="65">
        <f t="shared" si="182"/>
        <v>-11648.993372046301</v>
      </c>
      <c r="DC26" s="65">
        <f t="shared" si="182"/>
        <v>-11673.262108238068</v>
      </c>
      <c r="DD26" s="65">
        <f t="shared" si="182"/>
        <v>-11697.5814042969</v>
      </c>
      <c r="DE26" s="65">
        <f t="shared" si="182"/>
        <v>-11721.951365555851</v>
      </c>
      <c r="DF26" s="65">
        <f t="shared" si="182"/>
        <v>-11746.37209756743</v>
      </c>
      <c r="DG26" s="65">
        <f t="shared" si="182"/>
        <v>-11770.843706104029</v>
      </c>
      <c r="DH26" s="65">
        <f t="shared" si="182"/>
        <v>-11795.366297158413</v>
      </c>
      <c r="DI26" s="65">
        <f t="shared" si="182"/>
        <v>-11819.939976944161</v>
      </c>
      <c r="DJ26" s="65">
        <f t="shared" si="182"/>
        <v>-11844.564851896132</v>
      </c>
      <c r="DK26" s="65">
        <f t="shared" si="182"/>
        <v>-11869.241028670916</v>
      </c>
      <c r="DL26" s="65">
        <f t="shared" si="182"/>
        <v>-11893.968614147314</v>
      </c>
      <c r="DM26" s="65">
        <f t="shared" si="182"/>
        <v>-11918.747715426791</v>
      </c>
      <c r="DN26" s="65">
        <f t="shared" si="182"/>
        <v>-11943.578439833929</v>
      </c>
      <c r="DO26" s="65">
        <f t="shared" si="182"/>
        <v>-11968.46089491692</v>
      </c>
      <c r="DP26" s="65">
        <f t="shared" si="182"/>
        <v>-11993.395188447999</v>
      </c>
      <c r="DQ26" s="65">
        <f t="shared" si="182"/>
        <v>-12018.381428423934</v>
      </c>
      <c r="DR26" s="65">
        <f t="shared" si="182"/>
        <v>-12043.419723066483</v>
      </c>
      <c r="DS26" s="65">
        <f t="shared" si="182"/>
        <v>-12068.510180822872</v>
      </c>
      <c r="DT26" s="65">
        <f t="shared" si="182"/>
        <v>-12093.652910366256</v>
      </c>
      <c r="DU26" s="65">
        <f t="shared" si="182"/>
        <v>-12118.848020596188</v>
      </c>
      <c r="DV26" s="65">
        <f t="shared" si="182"/>
        <v>-12144.095620639098</v>
      </c>
      <c r="DW26" s="65">
        <f t="shared" si="182"/>
        <v>-12169.395819848765</v>
      </c>
      <c r="DX26" s="65">
        <f t="shared" si="182"/>
        <v>-12194.748727806784</v>
      </c>
      <c r="DY26" s="65">
        <f t="shared" si="182"/>
        <v>-12220.154454323048</v>
      </c>
      <c r="DZ26" s="65">
        <f t="shared" si="182"/>
        <v>-12245.613109436226</v>
      </c>
      <c r="EA26" s="65">
        <f t="shared" si="182"/>
        <v>-12271.124803414219</v>
      </c>
      <c r="EB26" s="65">
        <f t="shared" si="182"/>
        <v>-12296.689646754669</v>
      </c>
      <c r="EC26" s="65">
        <f t="shared" si="182"/>
        <v>-12322.307750185408</v>
      </c>
      <c r="ED26" s="65">
        <f t="shared" si="182"/>
        <v>-12347.979224664961</v>
      </c>
      <c r="EE26" s="65">
        <f t="shared" si="182"/>
        <v>-12373.704181383015</v>
      </c>
      <c r="EF26" s="65">
        <f t="shared" si="182"/>
        <v>-12399.482731760894</v>
      </c>
      <c r="EG26" s="65">
        <f t="shared" si="182"/>
        <v>-12425.314987452068</v>
      </c>
      <c r="EH26" s="65">
        <f t="shared" si="182"/>
        <v>-12451.201060342593</v>
      </c>
      <c r="EI26" s="65">
        <f t="shared" si="182"/>
        <v>-12477.141062551644</v>
      </c>
    </row>
    <row r="27" spans="2:139" s="67" customFormat="1" x14ac:dyDescent="0.45">
      <c r="B27" s="67" t="s">
        <v>62</v>
      </c>
      <c r="H27" s="70">
        <f t="shared" ref="H27:J27" si="183">-H26/(H22+H23)</f>
        <v>-2.2204460492503131E-16</v>
      </c>
      <c r="I27" s="70">
        <f t="shared" si="183"/>
        <v>3.8461538461538325E-2</v>
      </c>
      <c r="J27" s="70">
        <f t="shared" si="183"/>
        <v>7.6923076923076983E-2</v>
      </c>
      <c r="K27" s="70">
        <f>-K26/(K22+K23)</f>
        <v>0.11538461538461542</v>
      </c>
      <c r="L27" s="70">
        <f t="shared" ref="L27:BW27" si="184">-L26/(L22+L23)</f>
        <v>0.11300479997638735</v>
      </c>
      <c r="M27" s="70">
        <f t="shared" si="184"/>
        <v>0.11072116847257141</v>
      </c>
      <c r="N27" s="70">
        <f t="shared" si="184"/>
        <v>0.10852800524520356</v>
      </c>
      <c r="O27" s="70">
        <f t="shared" si="184"/>
        <v>0.10642003873059036</v>
      </c>
      <c r="P27" s="70">
        <f t="shared" si="184"/>
        <v>0.10439239912513831</v>
      </c>
      <c r="Q27" s="70">
        <f t="shared" si="184"/>
        <v>0.10244058082693186</v>
      </c>
      <c r="R27" s="70">
        <f t="shared" si="184"/>
        <v>0.10056040901334884</v>
      </c>
      <c r="S27" s="70">
        <f t="shared" si="184"/>
        <v>9.8748009832901995E-2</v>
      </c>
      <c r="T27" s="70">
        <f t="shared" si="184"/>
        <v>9.6999783763405789E-2</v>
      </c>
      <c r="U27" s="70">
        <f t="shared" si="184"/>
        <v>9.5312381750902953E-2</v>
      </c>
      <c r="V27" s="70">
        <f t="shared" si="184"/>
        <v>9.3682683796519117E-2</v>
      </c>
      <c r="W27" s="70">
        <f t="shared" si="184"/>
        <v>9.2107779703182735E-2</v>
      </c>
      <c r="X27" s="70">
        <f t="shared" si="184"/>
        <v>9.05849517322459E-2</v>
      </c>
      <c r="Y27" s="70">
        <f t="shared" si="184"/>
        <v>8.9111658952560346E-2</v>
      </c>
      <c r="Z27" s="70">
        <f t="shared" si="184"/>
        <v>8.7685523092413953E-2</v>
      </c>
      <c r="AA27" s="70">
        <f t="shared" si="184"/>
        <v>8.6304315728610859E-2</v>
      </c>
      <c r="AB27" s="70">
        <f t="shared" si="184"/>
        <v>8.4965946667551417E-2</v>
      </c>
      <c r="AC27" s="70">
        <f t="shared" si="184"/>
        <v>8.3668453390886133E-2</v>
      </c>
      <c r="AD27" s="70">
        <f t="shared" si="184"/>
        <v>8.24099914536639E-2</v>
      </c>
      <c r="AE27" s="70">
        <f t="shared" si="184"/>
        <v>8.1188825736169257E-2</v>
      </c>
      <c r="AF27" s="70">
        <f t="shared" si="184"/>
        <v>8.0003322462195103E-2</v>
      </c>
      <c r="AG27" s="70">
        <f t="shared" si="184"/>
        <v>7.8851941906536216E-2</v>
      </c>
      <c r="AH27" s="70">
        <f t="shared" si="184"/>
        <v>7.773323172325608E-2</v>
      </c>
      <c r="AI27" s="70">
        <f t="shared" si="184"/>
        <v>5.1097213889294231E-2</v>
      </c>
      <c r="AJ27" s="70">
        <f t="shared" si="184"/>
        <v>2.5196137940619808E-2</v>
      </c>
      <c r="AK27" s="70">
        <f t="shared" si="184"/>
        <v>0.05</v>
      </c>
      <c r="AL27" s="70">
        <f t="shared" si="184"/>
        <v>0.05</v>
      </c>
      <c r="AM27" s="70">
        <f t="shared" si="184"/>
        <v>0.05</v>
      </c>
      <c r="AN27" s="70">
        <f t="shared" si="184"/>
        <v>0.05</v>
      </c>
      <c r="AO27" s="70">
        <f t="shared" si="184"/>
        <v>0.05</v>
      </c>
      <c r="AP27" s="70">
        <f t="shared" si="184"/>
        <v>0.05</v>
      </c>
      <c r="AQ27" s="70">
        <f t="shared" si="184"/>
        <v>0.05</v>
      </c>
      <c r="AR27" s="70">
        <f t="shared" si="184"/>
        <v>0.05</v>
      </c>
      <c r="AS27" s="70">
        <f t="shared" si="184"/>
        <v>5.000000000000001E-2</v>
      </c>
      <c r="AT27" s="70">
        <f t="shared" si="184"/>
        <v>0.05</v>
      </c>
      <c r="AU27" s="70">
        <f t="shared" si="184"/>
        <v>0.05</v>
      </c>
      <c r="AV27" s="70">
        <f t="shared" si="184"/>
        <v>0.05</v>
      </c>
      <c r="AW27" s="70">
        <f t="shared" si="184"/>
        <v>0.05</v>
      </c>
      <c r="AX27" s="70">
        <f t="shared" si="184"/>
        <v>0.05</v>
      </c>
      <c r="AY27" s="70">
        <f t="shared" si="184"/>
        <v>0.05</v>
      </c>
      <c r="AZ27" s="70">
        <f t="shared" si="184"/>
        <v>0.05</v>
      </c>
      <c r="BA27" s="70">
        <f t="shared" si="184"/>
        <v>0.05</v>
      </c>
      <c r="BB27" s="70">
        <f t="shared" si="184"/>
        <v>0.05</v>
      </c>
      <c r="BC27" s="70">
        <f t="shared" si="184"/>
        <v>0.05</v>
      </c>
      <c r="BD27" s="70">
        <f t="shared" si="184"/>
        <v>5.000000000000001E-2</v>
      </c>
      <c r="BE27" s="70">
        <f t="shared" si="184"/>
        <v>5.000000000000001E-2</v>
      </c>
      <c r="BF27" s="70">
        <f t="shared" si="184"/>
        <v>0.05</v>
      </c>
      <c r="BG27" s="70">
        <f t="shared" si="184"/>
        <v>0.05</v>
      </c>
      <c r="BH27" s="70">
        <f t="shared" si="184"/>
        <v>0.05</v>
      </c>
      <c r="BI27" s="70">
        <f t="shared" si="184"/>
        <v>5.000000000000001E-2</v>
      </c>
      <c r="BJ27" s="70">
        <f t="shared" si="184"/>
        <v>0.05</v>
      </c>
      <c r="BK27" s="70">
        <f t="shared" si="184"/>
        <v>0.05</v>
      </c>
      <c r="BL27" s="70">
        <f t="shared" si="184"/>
        <v>5.000000000000001E-2</v>
      </c>
      <c r="BM27" s="70">
        <f t="shared" si="184"/>
        <v>0.05</v>
      </c>
      <c r="BN27" s="70">
        <f t="shared" si="184"/>
        <v>0.05</v>
      </c>
      <c r="BO27" s="70">
        <f t="shared" si="184"/>
        <v>0.05</v>
      </c>
      <c r="BP27" s="70">
        <f t="shared" si="184"/>
        <v>0.05</v>
      </c>
      <c r="BQ27" s="70">
        <f t="shared" si="184"/>
        <v>5.000000000000001E-2</v>
      </c>
      <c r="BR27" s="70">
        <f t="shared" si="184"/>
        <v>0.05</v>
      </c>
      <c r="BS27" s="70">
        <f t="shared" si="184"/>
        <v>0.05</v>
      </c>
      <c r="BT27" s="70">
        <f t="shared" si="184"/>
        <v>0.05</v>
      </c>
      <c r="BU27" s="70">
        <f t="shared" si="184"/>
        <v>0.05</v>
      </c>
      <c r="BV27" s="70">
        <f t="shared" si="184"/>
        <v>5.000000000000001E-2</v>
      </c>
      <c r="BW27" s="70">
        <f t="shared" si="184"/>
        <v>5.000000000000001E-2</v>
      </c>
      <c r="BX27" s="70">
        <f t="shared" ref="BX27:EI27" si="185">-BX26/(BX22+BX23)</f>
        <v>0.05</v>
      </c>
      <c r="BY27" s="70">
        <f t="shared" si="185"/>
        <v>5.000000000000001E-2</v>
      </c>
      <c r="BZ27" s="70">
        <f t="shared" si="185"/>
        <v>0.05</v>
      </c>
      <c r="CA27" s="70">
        <f t="shared" si="185"/>
        <v>0.05</v>
      </c>
      <c r="CB27" s="70">
        <f t="shared" si="185"/>
        <v>0.05</v>
      </c>
      <c r="CC27" s="70">
        <f t="shared" si="185"/>
        <v>5.000000000000001E-2</v>
      </c>
      <c r="CD27" s="70">
        <f t="shared" si="185"/>
        <v>0.05</v>
      </c>
      <c r="CE27" s="70">
        <f t="shared" si="185"/>
        <v>5.000000000000001E-2</v>
      </c>
      <c r="CF27" s="70">
        <f t="shared" si="185"/>
        <v>0.05</v>
      </c>
      <c r="CG27" s="70">
        <f t="shared" si="185"/>
        <v>0.05</v>
      </c>
      <c r="CH27" s="70">
        <f t="shared" si="185"/>
        <v>0.05</v>
      </c>
      <c r="CI27" s="70">
        <f t="shared" si="185"/>
        <v>5.000000000000001E-2</v>
      </c>
      <c r="CJ27" s="70">
        <f t="shared" si="185"/>
        <v>0.05</v>
      </c>
      <c r="CK27" s="70">
        <f t="shared" si="185"/>
        <v>0.05</v>
      </c>
      <c r="CL27" s="70">
        <f t="shared" si="185"/>
        <v>0.05</v>
      </c>
      <c r="CM27" s="70">
        <f t="shared" si="185"/>
        <v>0.05</v>
      </c>
      <c r="CN27" s="70">
        <f t="shared" si="185"/>
        <v>0.05</v>
      </c>
      <c r="CO27" s="70">
        <f t="shared" si="185"/>
        <v>0.05</v>
      </c>
      <c r="CP27" s="70">
        <f t="shared" si="185"/>
        <v>0.05</v>
      </c>
      <c r="CQ27" s="70">
        <f t="shared" si="185"/>
        <v>0.05</v>
      </c>
      <c r="CR27" s="70">
        <f t="shared" si="185"/>
        <v>5.000000000000001E-2</v>
      </c>
      <c r="CS27" s="70">
        <f t="shared" si="185"/>
        <v>5.000000000000001E-2</v>
      </c>
      <c r="CT27" s="70">
        <f t="shared" si="185"/>
        <v>0.05</v>
      </c>
      <c r="CU27" s="70">
        <f t="shared" si="185"/>
        <v>0.05</v>
      </c>
      <c r="CV27" s="70">
        <f t="shared" si="185"/>
        <v>0.05</v>
      </c>
      <c r="CW27" s="70">
        <f t="shared" si="185"/>
        <v>5.000000000000001E-2</v>
      </c>
      <c r="CX27" s="70">
        <f t="shared" si="185"/>
        <v>0.05</v>
      </c>
      <c r="CY27" s="70">
        <f t="shared" si="185"/>
        <v>0.05</v>
      </c>
      <c r="CZ27" s="70">
        <f t="shared" si="185"/>
        <v>0.05</v>
      </c>
      <c r="DA27" s="70">
        <f t="shared" si="185"/>
        <v>5.000000000000001E-2</v>
      </c>
      <c r="DB27" s="70">
        <f t="shared" si="185"/>
        <v>0.05</v>
      </c>
      <c r="DC27" s="70">
        <f t="shared" si="185"/>
        <v>0.05</v>
      </c>
      <c r="DD27" s="70">
        <f t="shared" si="185"/>
        <v>0.05</v>
      </c>
      <c r="DE27" s="70">
        <f t="shared" si="185"/>
        <v>0.05</v>
      </c>
      <c r="DF27" s="70">
        <f t="shared" si="185"/>
        <v>0.05</v>
      </c>
      <c r="DG27" s="70">
        <f t="shared" si="185"/>
        <v>0.05</v>
      </c>
      <c r="DH27" s="70">
        <f t="shared" si="185"/>
        <v>0.05</v>
      </c>
      <c r="DI27" s="70">
        <f t="shared" si="185"/>
        <v>0.05</v>
      </c>
      <c r="DJ27" s="70">
        <f t="shared" si="185"/>
        <v>0.05</v>
      </c>
      <c r="DK27" s="70">
        <f t="shared" si="185"/>
        <v>0.05</v>
      </c>
      <c r="DL27" s="70">
        <f t="shared" si="185"/>
        <v>0.05</v>
      </c>
      <c r="DM27" s="70">
        <f t="shared" si="185"/>
        <v>0.05</v>
      </c>
      <c r="DN27" s="70">
        <f t="shared" si="185"/>
        <v>0.05</v>
      </c>
      <c r="DO27" s="70">
        <f t="shared" si="185"/>
        <v>0.05</v>
      </c>
      <c r="DP27" s="70">
        <f t="shared" si="185"/>
        <v>0.05</v>
      </c>
      <c r="DQ27" s="70">
        <f t="shared" si="185"/>
        <v>0.05</v>
      </c>
      <c r="DR27" s="70">
        <f t="shared" si="185"/>
        <v>0.05</v>
      </c>
      <c r="DS27" s="70">
        <f t="shared" si="185"/>
        <v>0.05</v>
      </c>
      <c r="DT27" s="70">
        <f t="shared" si="185"/>
        <v>0.05</v>
      </c>
      <c r="DU27" s="70">
        <f t="shared" si="185"/>
        <v>0.05</v>
      </c>
      <c r="DV27" s="70">
        <f t="shared" si="185"/>
        <v>0.05</v>
      </c>
      <c r="DW27" s="70">
        <f t="shared" si="185"/>
        <v>0.05</v>
      </c>
      <c r="DX27" s="70">
        <f t="shared" si="185"/>
        <v>0.05</v>
      </c>
      <c r="DY27" s="70">
        <f t="shared" si="185"/>
        <v>0.05</v>
      </c>
      <c r="DZ27" s="70">
        <f t="shared" si="185"/>
        <v>0.05</v>
      </c>
      <c r="EA27" s="70">
        <f t="shared" si="185"/>
        <v>0.05</v>
      </c>
      <c r="EB27" s="70">
        <f t="shared" si="185"/>
        <v>0.05</v>
      </c>
      <c r="EC27" s="70">
        <f t="shared" si="185"/>
        <v>0.05</v>
      </c>
      <c r="ED27" s="70">
        <f t="shared" si="185"/>
        <v>0.05</v>
      </c>
      <c r="EE27" s="70">
        <f t="shared" si="185"/>
        <v>0.05</v>
      </c>
      <c r="EF27" s="70">
        <f t="shared" si="185"/>
        <v>0.05</v>
      </c>
      <c r="EG27" s="70">
        <f t="shared" si="185"/>
        <v>0.05</v>
      </c>
      <c r="EH27" s="70">
        <f t="shared" si="185"/>
        <v>0.05</v>
      </c>
      <c r="EI27" s="70">
        <f t="shared" si="185"/>
        <v>0.05</v>
      </c>
    </row>
    <row r="28" spans="2:139" x14ac:dyDescent="0.45">
      <c r="B28" s="58" t="str">
        <f>B5&amp;" Income"</f>
        <v>Parking Income</v>
      </c>
      <c r="H28" s="65">
        <f>IF(H$16&lt;Assumptions!$D127,0,$C5*H$20*H$11*$A5)</f>
        <v>5273.7750000000005</v>
      </c>
      <c r="I28" s="65">
        <f>IF(I$16&lt;Assumptions!$D127,0,$C5*I$20*I$11*$A5)</f>
        <v>5079.3890625000013</v>
      </c>
      <c r="J28" s="65">
        <f>IF(J$16&lt;Assumptions!$D127,0,$C5*J$20*J$11*$A5)</f>
        <v>4884.3405225000006</v>
      </c>
      <c r="K28" s="65">
        <f>IF(K$16&lt;Assumptions!$D127,0,$C5*K$20*K$11*$A5)</f>
        <v>4688.6277112859379</v>
      </c>
      <c r="L28" s="65">
        <f>IF(L$16&lt;Assumptions!$D127,0,$C5*L$20*L$11*$A5)</f>
        <v>4696.4420908047487</v>
      </c>
      <c r="M28" s="65">
        <f>IF(M$16&lt;Assumptions!$D127,0,$C5*M$20*M$11*$A5)</f>
        <v>4704.2694942894232</v>
      </c>
      <c r="N28" s="65">
        <f>IF(N$16&lt;Assumptions!$D127,0,$C5*N$20*N$11*$A5)</f>
        <v>4712.1099434465723</v>
      </c>
      <c r="O28" s="65">
        <f>IF(O$16&lt;Assumptions!$D127,0,$C5*O$20*O$11*$A5)</f>
        <v>4719.9634600189847</v>
      </c>
      <c r="P28" s="65">
        <f>IF(P$16&lt;Assumptions!$D127,0,$C5*P$20*P$11*$A5)</f>
        <v>4727.8300657856826</v>
      </c>
      <c r="Q28" s="65">
        <f>IF(Q$16&lt;Assumptions!$D127,0,$C5*Q$20*Q$11*$A5)</f>
        <v>4735.7097825619921</v>
      </c>
      <c r="R28" s="65">
        <f>IF(R$16&lt;Assumptions!$D127,0,$C5*R$20*R$11*$A5)</f>
        <v>4743.602632199596</v>
      </c>
      <c r="S28" s="65">
        <f>IF(S$16&lt;Assumptions!$D127,0,$C5*S$20*S$11*$A5)</f>
        <v>4751.5086365865955</v>
      </c>
      <c r="T28" s="65">
        <f>IF(T$16&lt;Assumptions!$D127,0,$C5*T$20*T$11*$A5)</f>
        <v>4759.4278176475736</v>
      </c>
      <c r="U28" s="65">
        <f>IF(U$16&lt;Assumptions!$D127,0,$C5*U$20*U$11*$A5)</f>
        <v>4767.3601973436535</v>
      </c>
      <c r="V28" s="65">
        <f>IF(V$16&lt;Assumptions!$D127,0,$C5*V$20*V$11*$A5)</f>
        <v>4775.3057976725595</v>
      </c>
      <c r="W28" s="65">
        <f>IF(W$16&lt;Assumptions!$D127,0,$C5*W$20*W$11*$A5)</f>
        <v>4783.2646406686817</v>
      </c>
      <c r="X28" s="65">
        <f>IF(X$16&lt;Assumptions!$D127,0,$C5*X$20*X$11*$A5)</f>
        <v>4791.2367484031292</v>
      </c>
      <c r="Y28" s="65">
        <f>IF(Y$16&lt;Assumptions!$D127,0,$C5*Y$20*Y$11*$A5)</f>
        <v>4799.2221429838019</v>
      </c>
      <c r="Z28" s="65">
        <f>IF(Z$16&lt;Assumptions!$D127,0,$C5*Z$20*Z$11*$A5)</f>
        <v>4807.2208465554422</v>
      </c>
      <c r="AA28" s="65">
        <f>IF(AA$16&lt;Assumptions!$D127,0,$C5*AA$20*AA$11*$A5)</f>
        <v>4815.2328812997011</v>
      </c>
      <c r="AB28" s="65">
        <f>IF(AB$16&lt;Assumptions!$D127,0,$C5*AB$20*AB$11*$A5)</f>
        <v>4823.2582694352013</v>
      </c>
      <c r="AC28" s="65">
        <f>IF(AC$16&lt;Assumptions!$D127,0,$C5*AC$20*AC$11*$A5)</f>
        <v>4831.2970332175937</v>
      </c>
      <c r="AD28" s="65">
        <f>IF(AD$16&lt;Assumptions!$D127,0,$C5*AD$20*AD$11*$A5)</f>
        <v>4839.349194939623</v>
      </c>
      <c r="AE28" s="65">
        <f>IF(AE$16&lt;Assumptions!$D127,0,$C5*AE$20*AE$11*$A5)</f>
        <v>4847.4147769311903</v>
      </c>
      <c r="AF28" s="65">
        <f>IF(AF$16&lt;Assumptions!$D127,0,$C5*AF$20*AF$11*$A5)</f>
        <v>4855.493801559408</v>
      </c>
      <c r="AG28" s="65">
        <f>IF(AG$16&lt;Assumptions!$D127,0,$C5*AG$20*AG$11*$A5)</f>
        <v>4863.5862912286739</v>
      </c>
      <c r="AH28" s="65">
        <f>IF(AH$16&lt;Assumptions!$D127,0,$C5*AH$20*AH$11*$A5)</f>
        <v>4871.6922683807225</v>
      </c>
      <c r="AI28" s="65">
        <f>IF(AI$16&lt;Assumptions!$D127,0,$C5*AI$20*AI$11*$A5)</f>
        <v>5091.9774839944594</v>
      </c>
      <c r="AJ28" s="65">
        <f>IF(AJ$16&lt;Assumptions!$D127,0,$C5*AJ$20*AJ$11*$A5)</f>
        <v>5312.9834511817198</v>
      </c>
      <c r="AK28" s="65">
        <f>IF(AK$16&lt;Assumptions!$D127,0,$C5*AK$20*AK$11*$A5)</f>
        <v>5534.7119605443704</v>
      </c>
      <c r="AL28" s="65">
        <f>IF(AL$16&lt;Assumptions!$D127,0,$C5*AL$20*AL$11*$A5)</f>
        <v>5543.936480478611</v>
      </c>
      <c r="AM28" s="65">
        <f>IF(AM$16&lt;Assumptions!$D127,0,$C5*AM$20*AM$11*$A5)</f>
        <v>5553.1763746127435</v>
      </c>
      <c r="AN28" s="65">
        <f>IF(AN$16&lt;Assumptions!$D127,0,$C5*AN$20*AN$11*$A5)</f>
        <v>5562.4316685704325</v>
      </c>
      <c r="AO28" s="65">
        <f>IF(AO$16&lt;Assumptions!$D127,0,$C5*AO$20*AO$11*$A5)</f>
        <v>5571.7023880180495</v>
      </c>
      <c r="AP28" s="65">
        <f>IF(AP$16&lt;Assumptions!$D127,0,$C5*AP$20*AP$11*$A5)</f>
        <v>5580.9885586647461</v>
      </c>
      <c r="AQ28" s="65">
        <f>IF(AQ$16&lt;Assumptions!$D127,0,$C5*AQ$20*AQ$11*$A5)</f>
        <v>5590.2902062625208</v>
      </c>
      <c r="AR28" s="65">
        <f>IF(AR$16&lt;Assumptions!$D127,0,$C5*AR$20*AR$11*$A5)</f>
        <v>5599.6073566062923</v>
      </c>
      <c r="AS28" s="65">
        <f>IF(AS$16&lt;Assumptions!$D127,0,$C5*AS$20*AS$11*$A5)</f>
        <v>5608.9400355339694</v>
      </c>
      <c r="AT28" s="65">
        <f>IF(AT$16&lt;Assumptions!$D127,0,$C5*AT$20*AT$11*$A5)</f>
        <v>5618.2882689265271</v>
      </c>
      <c r="AU28" s="65">
        <f>IF(AU$16&lt;Assumptions!$D127,0,$C5*AU$20*AU$11*$A5)</f>
        <v>5627.6520827080731</v>
      </c>
      <c r="AV28" s="65">
        <f>IF(AV$16&lt;Assumptions!$D127,0,$C5*AV$20*AV$11*$A5)</f>
        <v>5637.0315028459181</v>
      </c>
      <c r="AW28" s="65">
        <f>IF(AW$16&lt;Assumptions!$D127,0,$C5*AW$20*AW$11*$A5)</f>
        <v>5646.4265553506621</v>
      </c>
      <c r="AX28" s="65">
        <f>IF(AX$16&lt;Assumptions!$D127,0,$C5*AX$20*AX$11*$A5)</f>
        <v>5655.8372662762467</v>
      </c>
      <c r="AY28" s="65">
        <f>IF(AY$16&lt;Assumptions!$D127,0,$C5*AY$20*AY$11*$A5)</f>
        <v>5665.2636617200405</v>
      </c>
      <c r="AZ28" s="65">
        <f>IF(AZ$16&lt;Assumptions!$D127,0,$C5*AZ$20*AZ$11*$A5)</f>
        <v>5674.7057678229085</v>
      </c>
      <c r="BA28" s="65">
        <f>IF(BA$16&lt;Assumptions!$D127,0,$C5*BA$20*BA$11*$A5)</f>
        <v>5684.1636107692802</v>
      </c>
      <c r="BB28" s="65">
        <f>IF(BB$16&lt;Assumptions!$D127,0,$C5*BB$20*BB$11*$A5)</f>
        <v>5693.6372167872296</v>
      </c>
      <c r="BC28" s="65">
        <f>IF(BC$16&lt;Assumptions!$D127,0,$C5*BC$20*BC$11*$A5)</f>
        <v>5703.1266121485423</v>
      </c>
      <c r="BD28" s="65">
        <f>IF(BD$16&lt;Assumptions!$D127,0,$C5*BD$20*BD$11*$A5)</f>
        <v>5712.6318231687901</v>
      </c>
      <c r="BE28" s="65">
        <f>IF(BE$16&lt;Assumptions!$D127,0,$C5*BE$20*BE$11*$A5)</f>
        <v>5722.152876207404</v>
      </c>
      <c r="BF28" s="65">
        <f>IF(BF$16&lt;Assumptions!$D127,0,$C5*BF$20*BF$11*$A5)</f>
        <v>5731.6897976677519</v>
      </c>
      <c r="BG28" s="65">
        <f>IF(BG$16&lt;Assumptions!$D127,0,$C5*BG$20*BG$11*$A5)</f>
        <v>5741.2426139971967</v>
      </c>
      <c r="BH28" s="65">
        <f>IF(BH$16&lt;Assumptions!$D127,0,$C5*BH$20*BH$11*$A5)</f>
        <v>5750.8113516871936</v>
      </c>
      <c r="BI28" s="65">
        <f>IF(BI$16&lt;Assumptions!$D127,0,$C5*BI$20*BI$11*$A5)</f>
        <v>5760.3960372733391</v>
      </c>
      <c r="BJ28" s="65">
        <f>IF(BJ$16&lt;Assumptions!$D127,0,$C5*BJ$20*BJ$11*$A5)</f>
        <v>5769.9966973354612</v>
      </c>
      <c r="BK28" s="65">
        <f>IF(BK$16&lt;Assumptions!$D127,0,$C5*BK$20*BK$11*$A5)</f>
        <v>5779.6133584976878</v>
      </c>
      <c r="BL28" s="65">
        <f>IF(BL$16&lt;Assumptions!$D127,0,$C5*BL$20*BL$11*$A5)</f>
        <v>5789.2460474285181</v>
      </c>
      <c r="BM28" s="65">
        <f>IF(BM$16&lt;Assumptions!$D127,0,$C5*BM$20*BM$11*$A5)</f>
        <v>5798.8947908408991</v>
      </c>
      <c r="BN28" s="65">
        <f>IF(BN$16&lt;Assumptions!$D127,0,$C5*BN$20*BN$11*$A5)</f>
        <v>5808.5596154923005</v>
      </c>
      <c r="BO28" s="65">
        <f>IF(BO$16&lt;Assumptions!$D127,0,$C5*BO$20*BO$11*$A5)</f>
        <v>5818.2405481847882</v>
      </c>
      <c r="BP28" s="65">
        <f>IF(BP$16&lt;Assumptions!$D127,0,$C5*BP$20*BP$11*$A5)</f>
        <v>5827.9376157650968</v>
      </c>
      <c r="BQ28" s="65">
        <f>IF(BQ$16&lt;Assumptions!$D127,0,$C5*BQ$20*BQ$11*$A5)</f>
        <v>5837.6508451247055</v>
      </c>
      <c r="BR28" s="65">
        <f>IF(BR$16&lt;Assumptions!$D127,0,$C5*BR$20*BR$11*$A5)</f>
        <v>5847.3802631999142</v>
      </c>
      <c r="BS28" s="65">
        <f>IF(BS$16&lt;Assumptions!$D127,0,$C5*BS$20*BS$11*$A5)</f>
        <v>5857.1258969719147</v>
      </c>
      <c r="BT28" s="65">
        <f>IF(BT$16&lt;Assumptions!$D127,0,$C5*BT$20*BT$11*$A5)</f>
        <v>5866.8877734668686</v>
      </c>
      <c r="BU28" s="65">
        <f>IF(BU$16&lt;Assumptions!$D127,0,$C5*BU$20*BU$11*$A5)</f>
        <v>5876.6659197559793</v>
      </c>
      <c r="BV28" s="65">
        <f>IF(BV$16&lt;Assumptions!$D127,0,$C5*BV$20*BV$11*$A5)</f>
        <v>5886.4603629555731</v>
      </c>
      <c r="BW28" s="65">
        <f>IF(BW$16&lt;Assumptions!$D127,0,$C5*BW$20*BW$11*$A5)</f>
        <v>5896.2711302271655</v>
      </c>
      <c r="BX28" s="65">
        <f>IF(BX$16&lt;Assumptions!$D127,0,$C5*BX$20*BX$11*$A5)</f>
        <v>5906.0982487775445</v>
      </c>
      <c r="BY28" s="65">
        <f>IF(BY$16&lt;Assumptions!$D127,0,$C5*BY$20*BY$11*$A5)</f>
        <v>5915.9417458588414</v>
      </c>
      <c r="BZ28" s="65">
        <f>IF(BZ$16&lt;Assumptions!$D127,0,$C5*BZ$20*BZ$11*$A5)</f>
        <v>5925.8016487686064</v>
      </c>
      <c r="CA28" s="65">
        <f>IF(CA$16&lt;Assumptions!$D127,0,$C5*CA$20*CA$11*$A5)</f>
        <v>5935.6779848498882</v>
      </c>
      <c r="CB28" s="65">
        <f>IF(CB$16&lt;Assumptions!$D127,0,$C5*CB$20*CB$11*$A5)</f>
        <v>5945.5707814913039</v>
      </c>
      <c r="CC28" s="65">
        <f>IF(CC$16&lt;Assumptions!$D127,0,$C5*CC$20*CC$11*$A5)</f>
        <v>5955.4800661271238</v>
      </c>
      <c r="CD28" s="65">
        <f>IF(CD$16&lt;Assumptions!$D127,0,$C5*CD$20*CD$11*$A5)</f>
        <v>5965.4058662373363</v>
      </c>
      <c r="CE28" s="65">
        <f>IF(CE$16&lt;Assumptions!$D127,0,$C5*CE$20*CE$11*$A5)</f>
        <v>5975.3482093477323</v>
      </c>
      <c r="CF28" s="65">
        <f>IF(CF$16&lt;Assumptions!$D127,0,$C5*CF$20*CF$11*$A5)</f>
        <v>5985.3071230299793</v>
      </c>
      <c r="CG28" s="65">
        <f>IF(CG$16&lt;Assumptions!$D127,0,$C5*CG$20*CG$11*$A5)</f>
        <v>5995.2826349016959</v>
      </c>
      <c r="CH28" s="65">
        <f>IF(CH$16&lt;Assumptions!$D127,0,$C5*CH$20*CH$11*$A5)</f>
        <v>6005.2747726265325</v>
      </c>
      <c r="CI28" s="65">
        <f>IF(CI$16&lt;Assumptions!$D127,0,$C5*CI$20*CI$11*$A5)</f>
        <v>6015.283563914244</v>
      </c>
      <c r="CJ28" s="65">
        <f>IF(CJ$16&lt;Assumptions!$D127,0,$C5*CJ$20*CJ$11*$A5)</f>
        <v>6025.3090365207672</v>
      </c>
      <c r="CK28" s="65">
        <f>IF(CK$16&lt;Assumptions!$D127,0,$C5*CK$20*CK$11*$A5)</f>
        <v>6035.3512182483018</v>
      </c>
      <c r="CL28" s="65">
        <f>IF(CL$16&lt;Assumptions!$D127,0,$C5*CL$20*CL$11*$A5)</f>
        <v>6045.4101369453838</v>
      </c>
      <c r="CM28" s="65">
        <f>IF(CM$16&lt;Assumptions!$D127,0,$C5*CM$20*CM$11*$A5)</f>
        <v>6055.4858205069604</v>
      </c>
      <c r="CN28" s="65">
        <f>IF(CN$16&lt;Assumptions!$D127,0,$C5*CN$20*CN$11*$A5)</f>
        <v>6065.5782968744734</v>
      </c>
      <c r="CO28" s="65">
        <f>IF(CO$16&lt;Assumptions!$D127,0,$C5*CO$20*CO$11*$A5)</f>
        <v>6075.6875940359287</v>
      </c>
      <c r="CP28" s="65">
        <f>IF(CP$16&lt;Assumptions!$D127,0,$C5*CP$20*CP$11*$A5)</f>
        <v>6085.8137400259911</v>
      </c>
      <c r="CQ28" s="65">
        <f>IF(CQ$16&lt;Assumptions!$D127,0,$C5*CQ$20*CQ$11*$A5)</f>
        <v>6095.9567629260355</v>
      </c>
      <c r="CR28" s="65">
        <f>IF(CR$16&lt;Assumptions!$D127,0,$C5*CR$20*CR$11*$A5)</f>
        <v>6106.1166908642435</v>
      </c>
      <c r="CS28" s="65">
        <f>IF(CS$16&lt;Assumptions!$D127,0,$C5*CS$20*CS$11*$A5)</f>
        <v>6116.2935520156843</v>
      </c>
      <c r="CT28" s="65">
        <f>IF(CT$16&lt;Assumptions!$D127,0,$C5*CT$20*CT$11*$A5)</f>
        <v>6126.4873746023786</v>
      </c>
      <c r="CU28" s="65">
        <f>IF(CU$16&lt;Assumptions!$D127,0,$C5*CU$20*CU$11*$A5)</f>
        <v>6136.6981868933835</v>
      </c>
      <c r="CV28" s="65">
        <f>IF(CV$16&lt;Assumptions!$D127,0,$C5*CV$20*CV$11*$A5)</f>
        <v>6146.9260172048726</v>
      </c>
      <c r="CW28" s="65">
        <f>IF(CW$16&lt;Assumptions!$D127,0,$C5*CW$20*CW$11*$A5)</f>
        <v>6157.1708939002137</v>
      </c>
      <c r="CX28" s="65">
        <f>IF(CX$16&lt;Assumptions!$D127,0,$C5*CX$20*CX$11*$A5)</f>
        <v>6167.432845390048</v>
      </c>
      <c r="CY28" s="65">
        <f>IF(CY$16&lt;Assumptions!$D127,0,$C5*CY$20*CY$11*$A5)</f>
        <v>6177.7119001323672</v>
      </c>
      <c r="CZ28" s="65">
        <f>IF(CZ$16&lt;Assumptions!$D127,0,$C5*CZ$20*CZ$11*$A5)</f>
        <v>6188.0080866325879</v>
      </c>
      <c r="DA28" s="65">
        <f>IF(DA$16&lt;Assumptions!$D127,0,$C5*DA$20*DA$11*$A5)</f>
        <v>6198.3214334436416</v>
      </c>
      <c r="DB28" s="65">
        <f>IF(DB$16&lt;Assumptions!$D127,0,$C5*DB$20*DB$11*$A5)</f>
        <v>6208.6519691660478</v>
      </c>
      <c r="DC28" s="65">
        <f>IF(DC$16&lt;Assumptions!$D127,0,$C5*DC$20*DC$11*$A5)</f>
        <v>6218.9997224479921</v>
      </c>
      <c r="DD28" s="65">
        <f>IF(DD$16&lt;Assumptions!$D127,0,$C5*DD$20*DD$11*$A5)</f>
        <v>6229.3647219854056</v>
      </c>
      <c r="DE28" s="65">
        <f>IF(DE$16&lt;Assumptions!$D127,0,$C5*DE$20*DE$11*$A5)</f>
        <v>6239.746996522048</v>
      </c>
      <c r="DF28" s="65">
        <f>IF(DF$16&lt;Assumptions!$D127,0,$C5*DF$20*DF$11*$A5)</f>
        <v>6250.1465748495857</v>
      </c>
      <c r="DG28" s="65">
        <f>IF(DG$16&lt;Assumptions!$D127,0,$C5*DG$20*DG$11*$A5)</f>
        <v>6260.5634858076692</v>
      </c>
      <c r="DH28" s="65">
        <f>IF(DH$16&lt;Assumptions!$D127,0,$C5*DH$20*DH$11*$A5)</f>
        <v>6270.9977582840147</v>
      </c>
      <c r="DI28" s="65">
        <f>IF(DI$16&lt;Assumptions!$D127,0,$C5*DI$20*DI$11*$A5)</f>
        <v>6281.4494212144882</v>
      </c>
      <c r="DJ28" s="65">
        <f>IF(DJ$16&lt;Assumptions!$D127,0,$C5*DJ$20*DJ$11*$A5)</f>
        <v>6291.9185035831806</v>
      </c>
      <c r="DK28" s="65">
        <f>IF(DK$16&lt;Assumptions!$D127,0,$C5*DK$20*DK$11*$A5)</f>
        <v>6302.4050344224852</v>
      </c>
      <c r="DL28" s="65">
        <f>IF(DL$16&lt;Assumptions!$D127,0,$C5*DL$20*DL$11*$A5)</f>
        <v>6312.9090428131904</v>
      </c>
      <c r="DM28" s="65">
        <f>IF(DM$16&lt;Assumptions!$D127,0,$C5*DM$20*DM$11*$A5)</f>
        <v>6323.430557884546</v>
      </c>
      <c r="DN28" s="65">
        <f>IF(DN$16&lt;Assumptions!$D127,0,$C5*DN$20*DN$11*$A5)</f>
        <v>6333.9696088143546</v>
      </c>
      <c r="DO28" s="65">
        <f>IF(DO$16&lt;Assumptions!$D127,0,$C5*DO$20*DO$11*$A5)</f>
        <v>6344.5262248290455</v>
      </c>
      <c r="DP28" s="65">
        <f>IF(DP$16&lt;Assumptions!$D127,0,$C5*DP$20*DP$11*$A5)</f>
        <v>6355.1004352037608</v>
      </c>
      <c r="DQ28" s="65">
        <f>IF(DQ$16&lt;Assumptions!$D127,0,$C5*DQ$20*DQ$11*$A5)</f>
        <v>6365.6922692624339</v>
      </c>
      <c r="DR28" s="65">
        <f>IF(DR$16&lt;Assumptions!$D127,0,$C5*DR$20*DR$11*$A5)</f>
        <v>6376.3017563778722</v>
      </c>
      <c r="DS28" s="65">
        <f>IF(DS$16&lt;Assumptions!$D127,0,$C5*DS$20*DS$11*$A5)</f>
        <v>6386.9289259718362</v>
      </c>
      <c r="DT28" s="65">
        <f>IF(DT$16&lt;Assumptions!$D127,0,$C5*DT$20*DT$11*$A5)</f>
        <v>6397.573807515123</v>
      </c>
      <c r="DU28" s="65">
        <f>IF(DU$16&lt;Assumptions!$D127,0,$C5*DU$20*DU$11*$A5)</f>
        <v>6408.2364305276478</v>
      </c>
      <c r="DV28" s="65">
        <f>IF(DV$16&lt;Assumptions!$D127,0,$C5*DV$20*DV$11*$A5)</f>
        <v>6418.9168245785277</v>
      </c>
      <c r="DW28" s="65">
        <f>IF(DW$16&lt;Assumptions!$D127,0,$C5*DW$20*DW$11*$A5)</f>
        <v>6429.6150192861596</v>
      </c>
      <c r="DX28" s="65">
        <f>IF(DX$16&lt;Assumptions!$D127,0,$C5*DX$20*DX$11*$A5)</f>
        <v>6440.3310443183036</v>
      </c>
      <c r="DY28" s="65">
        <f>IF(DY$16&lt;Assumptions!$D127,0,$C5*DY$20*DY$11*$A5)</f>
        <v>6451.0649293921679</v>
      </c>
      <c r="DZ28" s="65">
        <f>IF(DZ$16&lt;Assumptions!$D127,0,$C5*DZ$20*DZ$11*$A5)</f>
        <v>6461.816704274489</v>
      </c>
      <c r="EA28" s="65">
        <f>IF(EA$16&lt;Assumptions!$D127,0,$C5*EA$20*EA$11*$A5)</f>
        <v>6472.5863987816119</v>
      </c>
      <c r="EB28" s="65">
        <f>IF(EB$16&lt;Assumptions!$D127,0,$C5*EB$20*EB$11*$A5)</f>
        <v>6483.3740427795829</v>
      </c>
      <c r="EC28" s="65">
        <f>IF(EC$16&lt;Assumptions!$D127,0,$C5*EC$20*EC$11*$A5)</f>
        <v>6494.1796661842154</v>
      </c>
      <c r="ED28" s="65">
        <f>IF(ED$16&lt;Assumptions!$D127,0,$C5*ED$20*ED$11*$A5)</f>
        <v>6505.0032989611909</v>
      </c>
      <c r="EE28" s="65">
        <f>IF(EE$16&lt;Assumptions!$D127,0,$C5*EE$20*EE$11*$A5)</f>
        <v>6515.8449711261264</v>
      </c>
      <c r="EF28" s="65">
        <f>IF(EF$16&lt;Assumptions!$D127,0,$C5*EF$20*EF$11*$A5)</f>
        <v>6526.7047127446704</v>
      </c>
      <c r="EG28" s="65">
        <f>IF(EG$16&lt;Assumptions!$D127,0,$C5*EG$20*EG$11*$A5)</f>
        <v>6537.5825539325779</v>
      </c>
      <c r="EH28" s="65">
        <f>IF(EH$16&lt;Assumptions!$D127,0,$C5*EH$20*EH$11*$A5)</f>
        <v>6548.4785248557992</v>
      </c>
      <c r="EI28" s="65">
        <f>IF(EI$16&lt;Assumptions!$D127,0,$C5*EI$20*EI$11*$A5)</f>
        <v>6559.3926557305604</v>
      </c>
    </row>
    <row r="29" spans="2:139" x14ac:dyDescent="0.45">
      <c r="B29" s="58" t="str">
        <f>B6&amp;" Income"</f>
        <v>Storage Income</v>
      </c>
      <c r="H29" s="65">
        <f>IF(H$16&lt;Assumptions!$D128,0,$C6*H$20*H$11*$A6)</f>
        <v>0</v>
      </c>
      <c r="I29" s="65">
        <f>IF(I$16&lt;Assumptions!$D128,0,$C6*I$20*I$11*$A6)</f>
        <v>0</v>
      </c>
      <c r="J29" s="65">
        <f>IF(J$16&lt;Assumptions!$D128,0,$C6*J$20*J$11*$A6)</f>
        <v>0</v>
      </c>
      <c r="K29" s="65">
        <f>IF(K$16&lt;Assumptions!$D128,0,$C6*K$20*K$11*$A6)</f>
        <v>0</v>
      </c>
      <c r="L29" s="65">
        <f>IF(L$16&lt;Assumptions!$D128,0,$C6*L$20*L$11*$A6)</f>
        <v>0</v>
      </c>
      <c r="M29" s="65">
        <f>IF(M$16&lt;Assumptions!$D128,0,$C6*M$20*M$11*$A6)</f>
        <v>1568.0898314298079</v>
      </c>
      <c r="N29" s="65">
        <f>IF(N$16&lt;Assumptions!$D128,0,$C6*N$20*N$11*$A6)</f>
        <v>1570.703314482191</v>
      </c>
      <c r="O29" s="65">
        <f>IF(O$16&lt;Assumptions!$D128,0,$C6*O$20*O$11*$A6)</f>
        <v>1573.3211533396616</v>
      </c>
      <c r="P29" s="65">
        <f>IF(P$16&lt;Assumptions!$D128,0,$C6*P$20*P$11*$A6)</f>
        <v>1575.9433552618941</v>
      </c>
      <c r="Q29" s="65">
        <f>IF(Q$16&lt;Assumptions!$D128,0,$C6*Q$20*Q$11*$A6)</f>
        <v>1578.5699275206644</v>
      </c>
      <c r="R29" s="65">
        <f>IF(R$16&lt;Assumptions!$D128,0,$C6*R$20*R$11*$A6)</f>
        <v>1581.2008773998655</v>
      </c>
      <c r="S29" s="65">
        <f>IF(S$16&lt;Assumptions!$D128,0,$C6*S$20*S$11*$A6)</f>
        <v>1583.836212195532</v>
      </c>
      <c r="T29" s="65">
        <f>IF(T$16&lt;Assumptions!$D128,0,$C6*T$20*T$11*$A6)</f>
        <v>1586.4759392158576</v>
      </c>
      <c r="U29" s="65">
        <f>IF(U$16&lt;Assumptions!$D128,0,$C6*U$20*U$11*$A6)</f>
        <v>1589.1200657812178</v>
      </c>
      <c r="V29" s="65">
        <f>IF(V$16&lt;Assumptions!$D128,0,$C6*V$20*V$11*$A6)</f>
        <v>1591.7685992241863</v>
      </c>
      <c r="W29" s="65">
        <f>IF(W$16&lt;Assumptions!$D128,0,$C6*W$20*W$11*$A6)</f>
        <v>1594.4215468895604</v>
      </c>
      <c r="X29" s="65">
        <f>IF(X$16&lt;Assumptions!$D128,0,$C6*X$20*X$11*$A6)</f>
        <v>1597.0789161343764</v>
      </c>
      <c r="Y29" s="65">
        <f>IF(Y$16&lt;Assumptions!$D128,0,$C6*Y$20*Y$11*$A6)</f>
        <v>1599.7407143279338</v>
      </c>
      <c r="Z29" s="65">
        <f>IF(Z$16&lt;Assumptions!$D128,0,$C6*Z$20*Z$11*$A6)</f>
        <v>1602.4069488518139</v>
      </c>
      <c r="AA29" s="65">
        <f>IF(AA$16&lt;Assumptions!$D128,0,$C6*AA$20*AA$11*$A6)</f>
        <v>1605.0776270999002</v>
      </c>
      <c r="AB29" s="65">
        <f>IF(AB$16&lt;Assumptions!$D128,0,$C6*AB$20*AB$11*$A6)</f>
        <v>1607.7527564784002</v>
      </c>
      <c r="AC29" s="65">
        <f>IF(AC$16&lt;Assumptions!$D128,0,$C6*AC$20*AC$11*$A6)</f>
        <v>1610.4323444058641</v>
      </c>
      <c r="AD29" s="65">
        <f>IF(AD$16&lt;Assumptions!$D128,0,$C6*AD$20*AD$11*$A6)</f>
        <v>1613.1163983132074</v>
      </c>
      <c r="AE29" s="65">
        <f>IF(AE$16&lt;Assumptions!$D128,0,$C6*AE$20*AE$11*$A6)</f>
        <v>1615.8049256437298</v>
      </c>
      <c r="AF29" s="65">
        <f>IF(AF$16&lt;Assumptions!$D128,0,$C6*AF$20*AF$11*$A6)</f>
        <v>1618.4979338531357</v>
      </c>
      <c r="AG29" s="65">
        <f>IF(AG$16&lt;Assumptions!$D128,0,$C6*AG$20*AG$11*$A6)</f>
        <v>1621.195430409558</v>
      </c>
      <c r="AH29" s="65">
        <f>IF(AH$16&lt;Assumptions!$D128,0,$C6*AH$20*AH$11*$A6)</f>
        <v>1623.8974227935742</v>
      </c>
      <c r="AI29" s="65">
        <f>IF(AI$16&lt;Assumptions!$D128,0,$C6*AI$20*AI$11*$A6)</f>
        <v>1697.325827998153</v>
      </c>
      <c r="AJ29" s="65">
        <f>IF(AJ$16&lt;Assumptions!$D128,0,$C6*AJ$20*AJ$11*$A6)</f>
        <v>1770.9944837272401</v>
      </c>
      <c r="AK29" s="65">
        <f>IF(AK$16&lt;Assumptions!$D128,0,$C6*AK$20*AK$11*$A6)</f>
        <v>1844.9039868481232</v>
      </c>
      <c r="AL29" s="65">
        <f>IF(AL$16&lt;Assumptions!$D128,0,$C6*AL$20*AL$11*$A6)</f>
        <v>1847.9788268262037</v>
      </c>
      <c r="AM29" s="65">
        <f>IF(AM$16&lt;Assumptions!$D128,0,$C6*AM$20*AM$11*$A6)</f>
        <v>1851.0587915375813</v>
      </c>
      <c r="AN29" s="65">
        <f>IF(AN$16&lt;Assumptions!$D128,0,$C6*AN$20*AN$11*$A6)</f>
        <v>1854.1438895234774</v>
      </c>
      <c r="AO29" s="65">
        <f>IF(AO$16&lt;Assumptions!$D128,0,$C6*AO$20*AO$11*$A6)</f>
        <v>1857.2341293393497</v>
      </c>
      <c r="AP29" s="65">
        <f>IF(AP$16&lt;Assumptions!$D128,0,$C6*AP$20*AP$11*$A6)</f>
        <v>1860.3295195549156</v>
      </c>
      <c r="AQ29" s="65">
        <f>IF(AQ$16&lt;Assumptions!$D128,0,$C6*AQ$20*AQ$11*$A6)</f>
        <v>1863.4300687541736</v>
      </c>
      <c r="AR29" s="65">
        <f>IF(AR$16&lt;Assumptions!$D128,0,$C6*AR$20*AR$11*$A6)</f>
        <v>1866.5357855354309</v>
      </c>
      <c r="AS29" s="65">
        <f>IF(AS$16&lt;Assumptions!$D128,0,$C6*AS$20*AS$11*$A6)</f>
        <v>1869.646678511323</v>
      </c>
      <c r="AT29" s="65">
        <f>IF(AT$16&lt;Assumptions!$D128,0,$C6*AT$20*AT$11*$A6)</f>
        <v>1872.7627563088424</v>
      </c>
      <c r="AU29" s="65">
        <f>IF(AU$16&lt;Assumptions!$D128,0,$C6*AU$20*AU$11*$A6)</f>
        <v>1875.8840275693574</v>
      </c>
      <c r="AV29" s="65">
        <f>IF(AV$16&lt;Assumptions!$D128,0,$C6*AV$20*AV$11*$A6)</f>
        <v>1879.0105009486392</v>
      </c>
      <c r="AW29" s="65">
        <f>IF(AW$16&lt;Assumptions!$D128,0,$C6*AW$20*AW$11*$A6)</f>
        <v>1882.142185116887</v>
      </c>
      <c r="AX29" s="65">
        <f>IF(AX$16&lt;Assumptions!$D128,0,$C6*AX$20*AX$11*$A6)</f>
        <v>1885.2790887587489</v>
      </c>
      <c r="AY29" s="65">
        <f>IF(AY$16&lt;Assumptions!$D128,0,$C6*AY$20*AY$11*$A6)</f>
        <v>1888.4212205733465</v>
      </c>
      <c r="AZ29" s="65">
        <f>IF(AZ$16&lt;Assumptions!$D128,0,$C6*AZ$20*AZ$11*$A6)</f>
        <v>1891.5685892743027</v>
      </c>
      <c r="BA29" s="65">
        <f>IF(BA$16&lt;Assumptions!$D128,0,$C6*BA$20*BA$11*$A6)</f>
        <v>1894.7212035897601</v>
      </c>
      <c r="BB29" s="65">
        <f>IF(BB$16&lt;Assumptions!$D128,0,$C6*BB$20*BB$11*$A6)</f>
        <v>1897.8790722624099</v>
      </c>
      <c r="BC29" s="65">
        <f>IF(BC$16&lt;Assumptions!$D128,0,$C6*BC$20*BC$11*$A6)</f>
        <v>1901.0422040495141</v>
      </c>
      <c r="BD29" s="65">
        <f>IF(BD$16&lt;Assumptions!$D128,0,$C6*BD$20*BD$11*$A6)</f>
        <v>1904.2106077229298</v>
      </c>
      <c r="BE29" s="65">
        <f>IF(BE$16&lt;Assumptions!$D128,0,$C6*BE$20*BE$11*$A6)</f>
        <v>1907.3842920691345</v>
      </c>
      <c r="BF29" s="65">
        <f>IF(BF$16&lt;Assumptions!$D128,0,$C6*BF$20*BF$11*$A6)</f>
        <v>1910.5632658892505</v>
      </c>
      <c r="BG29" s="65">
        <f>IF(BG$16&lt;Assumptions!$D128,0,$C6*BG$20*BG$11*$A6)</f>
        <v>1913.7475379990658</v>
      </c>
      <c r="BH29" s="65">
        <f>IF(BH$16&lt;Assumptions!$D128,0,$C6*BH$20*BH$11*$A6)</f>
        <v>1916.9371172290646</v>
      </c>
      <c r="BI29" s="65">
        <f>IF(BI$16&lt;Assumptions!$D128,0,$C6*BI$20*BI$11*$A6)</f>
        <v>1920.1320124244462</v>
      </c>
      <c r="BJ29" s="65">
        <f>IF(BJ$16&lt;Assumptions!$D128,0,$C6*BJ$20*BJ$11*$A6)</f>
        <v>1923.3322324451537</v>
      </c>
      <c r="BK29" s="65">
        <f>IF(BK$16&lt;Assumptions!$D128,0,$C6*BK$20*BK$11*$A6)</f>
        <v>1926.5377861658963</v>
      </c>
      <c r="BL29" s="65">
        <f>IF(BL$16&lt;Assumptions!$D128,0,$C6*BL$20*BL$11*$A6)</f>
        <v>1929.7486824761727</v>
      </c>
      <c r="BM29" s="65">
        <f>IF(BM$16&lt;Assumptions!$D128,0,$C6*BM$20*BM$11*$A6)</f>
        <v>1932.9649302802995</v>
      </c>
      <c r="BN29" s="65">
        <f>IF(BN$16&lt;Assumptions!$D128,0,$C6*BN$20*BN$11*$A6)</f>
        <v>1936.1865384974335</v>
      </c>
      <c r="BO29" s="65">
        <f>IF(BO$16&lt;Assumptions!$D128,0,$C6*BO$20*BO$11*$A6)</f>
        <v>1939.4135160615961</v>
      </c>
      <c r="BP29" s="65">
        <f>IF(BP$16&lt;Assumptions!$D128,0,$C6*BP$20*BP$11*$A6)</f>
        <v>1942.6458719216989</v>
      </c>
      <c r="BQ29" s="65">
        <f>IF(BQ$16&lt;Assumptions!$D128,0,$C6*BQ$20*BQ$11*$A6)</f>
        <v>1945.8836150415686</v>
      </c>
      <c r="BR29" s="65">
        <f>IF(BR$16&lt;Assumptions!$D128,0,$C6*BR$20*BR$11*$A6)</f>
        <v>1949.1267543999713</v>
      </c>
      <c r="BS29" s="65">
        <f>IF(BS$16&lt;Assumptions!$D128,0,$C6*BS$20*BS$11*$A6)</f>
        <v>1952.3752989906379</v>
      </c>
      <c r="BT29" s="65">
        <f>IF(BT$16&lt;Assumptions!$D128,0,$C6*BT$20*BT$11*$A6)</f>
        <v>1955.6292578222897</v>
      </c>
      <c r="BU29" s="65">
        <f>IF(BU$16&lt;Assumptions!$D128,0,$C6*BU$20*BU$11*$A6)</f>
        <v>1958.8886399186595</v>
      </c>
      <c r="BV29" s="65">
        <f>IF(BV$16&lt;Assumptions!$D128,0,$C6*BV$20*BV$11*$A6)</f>
        <v>1962.1534543185244</v>
      </c>
      <c r="BW29" s="65">
        <f>IF(BW$16&lt;Assumptions!$D128,0,$C6*BW$20*BW$11*$A6)</f>
        <v>1965.4237100757221</v>
      </c>
      <c r="BX29" s="65">
        <f>IF(BX$16&lt;Assumptions!$D128,0,$C6*BX$20*BX$11*$A6)</f>
        <v>1968.6994162591816</v>
      </c>
      <c r="BY29" s="65">
        <f>IF(BY$16&lt;Assumptions!$D128,0,$C6*BY$20*BY$11*$A6)</f>
        <v>1971.980581952947</v>
      </c>
      <c r="BZ29" s="65">
        <f>IF(BZ$16&lt;Assumptions!$D128,0,$C6*BZ$20*BZ$11*$A6)</f>
        <v>1975.2672162562021</v>
      </c>
      <c r="CA29" s="65">
        <f>IF(CA$16&lt;Assumptions!$D128,0,$C6*CA$20*CA$11*$A6)</f>
        <v>1978.5593282832961</v>
      </c>
      <c r="CB29" s="65">
        <f>IF(CB$16&lt;Assumptions!$D128,0,$C6*CB$20*CB$11*$A6)</f>
        <v>1981.856927163768</v>
      </c>
      <c r="CC29" s="65">
        <f>IF(CC$16&lt;Assumptions!$D128,0,$C6*CC$20*CC$11*$A6)</f>
        <v>1985.1600220423743</v>
      </c>
      <c r="CD29" s="65">
        <f>IF(CD$16&lt;Assumptions!$D128,0,$C6*CD$20*CD$11*$A6)</f>
        <v>1988.4686220791123</v>
      </c>
      <c r="CE29" s="65">
        <f>IF(CE$16&lt;Assumptions!$D128,0,$C6*CE$20*CE$11*$A6)</f>
        <v>1991.7827364492441</v>
      </c>
      <c r="CF29" s="65">
        <f>IF(CF$16&lt;Assumptions!$D128,0,$C6*CF$20*CF$11*$A6)</f>
        <v>1995.1023743433261</v>
      </c>
      <c r="CG29" s="65">
        <f>IF(CG$16&lt;Assumptions!$D128,0,$C6*CG$20*CG$11*$A6)</f>
        <v>1998.4275449672318</v>
      </c>
      <c r="CH29" s="65">
        <f>IF(CH$16&lt;Assumptions!$D128,0,$C6*CH$20*CH$11*$A6)</f>
        <v>2001.7582575421775</v>
      </c>
      <c r="CI29" s="65">
        <f>IF(CI$16&lt;Assumptions!$D128,0,$C6*CI$20*CI$11*$A6)</f>
        <v>2005.094521304748</v>
      </c>
      <c r="CJ29" s="65">
        <f>IF(CJ$16&lt;Assumptions!$D128,0,$C6*CJ$20*CJ$11*$A6)</f>
        <v>2008.4363455069224</v>
      </c>
      <c r="CK29" s="65">
        <f>IF(CK$16&lt;Assumptions!$D128,0,$C6*CK$20*CK$11*$A6)</f>
        <v>2011.7837394161008</v>
      </c>
      <c r="CL29" s="65">
        <f>IF(CL$16&lt;Assumptions!$D128,0,$C6*CL$20*CL$11*$A6)</f>
        <v>2015.1367123151279</v>
      </c>
      <c r="CM29" s="65">
        <f>IF(CM$16&lt;Assumptions!$D128,0,$C6*CM$20*CM$11*$A6)</f>
        <v>2018.4952735023203</v>
      </c>
      <c r="CN29" s="65">
        <f>IF(CN$16&lt;Assumptions!$D128,0,$C6*CN$20*CN$11*$A6)</f>
        <v>2021.859432291491</v>
      </c>
      <c r="CO29" s="65">
        <f>IF(CO$16&lt;Assumptions!$D128,0,$C6*CO$20*CO$11*$A6)</f>
        <v>2025.2291980119765</v>
      </c>
      <c r="CP29" s="65">
        <f>IF(CP$16&lt;Assumptions!$D128,0,$C6*CP$20*CP$11*$A6)</f>
        <v>2028.6045800086636</v>
      </c>
      <c r="CQ29" s="65">
        <f>IF(CQ$16&lt;Assumptions!$D128,0,$C6*CQ$20*CQ$11*$A6)</f>
        <v>2031.9855876420115</v>
      </c>
      <c r="CR29" s="65">
        <f>IF(CR$16&lt;Assumptions!$D128,0,$C6*CR$20*CR$11*$A6)</f>
        <v>2035.372230288081</v>
      </c>
      <c r="CS29" s="65">
        <f>IF(CS$16&lt;Assumptions!$D128,0,$C6*CS$20*CS$11*$A6)</f>
        <v>2038.7645173385615</v>
      </c>
      <c r="CT29" s="65">
        <f>IF(CT$16&lt;Assumptions!$D128,0,$C6*CT$20*CT$11*$A6)</f>
        <v>2042.162458200793</v>
      </c>
      <c r="CU29" s="65">
        <f>IF(CU$16&lt;Assumptions!$D128,0,$C6*CU$20*CU$11*$A6)</f>
        <v>2045.5660622977944</v>
      </c>
      <c r="CV29" s="65">
        <f>IF(CV$16&lt;Assumptions!$D128,0,$C6*CV$20*CV$11*$A6)</f>
        <v>2048.9753390682909</v>
      </c>
      <c r="CW29" s="65">
        <f>IF(CW$16&lt;Assumptions!$D128,0,$C6*CW$20*CW$11*$A6)</f>
        <v>2052.3902979667378</v>
      </c>
      <c r="CX29" s="65">
        <f>IF(CX$16&lt;Assumptions!$D128,0,$C6*CX$20*CX$11*$A6)</f>
        <v>2055.8109484633496</v>
      </c>
      <c r="CY29" s="65">
        <f>IF(CY$16&lt;Assumptions!$D128,0,$C6*CY$20*CY$11*$A6)</f>
        <v>2059.2373000441221</v>
      </c>
      <c r="CZ29" s="65">
        <f>IF(CZ$16&lt;Assumptions!$D128,0,$C6*CZ$20*CZ$11*$A6)</f>
        <v>2062.6693622108623</v>
      </c>
      <c r="DA29" s="65">
        <f>IF(DA$16&lt;Assumptions!$D128,0,$C6*DA$20*DA$11*$A6)</f>
        <v>2066.1071444812137</v>
      </c>
      <c r="DB29" s="65">
        <f>IF(DB$16&lt;Assumptions!$D128,0,$C6*DB$20*DB$11*$A6)</f>
        <v>2069.5506563886825</v>
      </c>
      <c r="DC29" s="65">
        <f>IF(DC$16&lt;Assumptions!$D128,0,$C6*DC$20*DC$11*$A6)</f>
        <v>2072.9999074826637</v>
      </c>
      <c r="DD29" s="65">
        <f>IF(DD$16&lt;Assumptions!$D128,0,$C6*DD$20*DD$11*$A6)</f>
        <v>2076.4549073284684</v>
      </c>
      <c r="DE29" s="65">
        <f>IF(DE$16&lt;Assumptions!$D128,0,$C6*DE$20*DE$11*$A6)</f>
        <v>2079.9156655073493</v>
      </c>
      <c r="DF29" s="65">
        <f>IF(DF$16&lt;Assumptions!$D128,0,$C6*DF$20*DF$11*$A6)</f>
        <v>2083.3821916165289</v>
      </c>
      <c r="DG29" s="65">
        <f>IF(DG$16&lt;Assumptions!$D128,0,$C6*DG$20*DG$11*$A6)</f>
        <v>2086.8544952692228</v>
      </c>
      <c r="DH29" s="65">
        <f>IF(DH$16&lt;Assumptions!$D128,0,$C6*DH$20*DH$11*$A6)</f>
        <v>2090.3325860946716</v>
      </c>
      <c r="DI29" s="65">
        <f>IF(DI$16&lt;Assumptions!$D128,0,$C6*DI$20*DI$11*$A6)</f>
        <v>2093.8164737381626</v>
      </c>
      <c r="DJ29" s="65">
        <f>IF(DJ$16&lt;Assumptions!$D128,0,$C6*DJ$20*DJ$11*$A6)</f>
        <v>2097.3061678610602</v>
      </c>
      <c r="DK29" s="65">
        <f>IF(DK$16&lt;Assumptions!$D128,0,$C6*DK$20*DK$11*$A6)</f>
        <v>2100.8016781408282</v>
      </c>
      <c r="DL29" s="65">
        <f>IF(DL$16&lt;Assumptions!$D128,0,$C6*DL$20*DL$11*$A6)</f>
        <v>2104.3030142710631</v>
      </c>
      <c r="DM29" s="65">
        <f>IF(DM$16&lt;Assumptions!$D128,0,$C6*DM$20*DM$11*$A6)</f>
        <v>2107.8101859615153</v>
      </c>
      <c r="DN29" s="65">
        <f>IF(DN$16&lt;Assumptions!$D128,0,$C6*DN$20*DN$11*$A6)</f>
        <v>2111.3232029381179</v>
      </c>
      <c r="DO29" s="65">
        <f>IF(DO$16&lt;Assumptions!$D128,0,$C6*DO$20*DO$11*$A6)</f>
        <v>2114.8420749430152</v>
      </c>
      <c r="DP29" s="65">
        <f>IF(DP$16&lt;Assumptions!$D128,0,$C6*DP$20*DP$11*$A6)</f>
        <v>2118.3668117345869</v>
      </c>
      <c r="DQ29" s="65">
        <f>IF(DQ$16&lt;Assumptions!$D128,0,$C6*DQ$20*DQ$11*$A6)</f>
        <v>2121.8974230874778</v>
      </c>
      <c r="DR29" s="65">
        <f>IF(DR$16&lt;Assumptions!$D128,0,$C6*DR$20*DR$11*$A6)</f>
        <v>2125.4339187926239</v>
      </c>
      <c r="DS29" s="65">
        <f>IF(DS$16&lt;Assumptions!$D128,0,$C6*DS$20*DS$11*$A6)</f>
        <v>2128.9763086572784</v>
      </c>
      <c r="DT29" s="65">
        <f>IF(DT$16&lt;Assumptions!$D128,0,$C6*DT$20*DT$11*$A6)</f>
        <v>2132.524602505041</v>
      </c>
      <c r="DU29" s="65">
        <f>IF(DU$16&lt;Assumptions!$D128,0,$C6*DU$20*DU$11*$A6)</f>
        <v>2136.0788101758826</v>
      </c>
      <c r="DV29" s="65">
        <f>IF(DV$16&lt;Assumptions!$D128,0,$C6*DV$20*DV$11*$A6)</f>
        <v>2139.638941526176</v>
      </c>
      <c r="DW29" s="65">
        <f>IF(DW$16&lt;Assumptions!$D128,0,$C6*DW$20*DW$11*$A6)</f>
        <v>2143.20500642872</v>
      </c>
      <c r="DX29" s="65">
        <f>IF(DX$16&lt;Assumptions!$D128,0,$C6*DX$20*DX$11*$A6)</f>
        <v>2146.7770147727679</v>
      </c>
      <c r="DY29" s="65">
        <f>IF(DY$16&lt;Assumptions!$D128,0,$C6*DY$20*DY$11*$A6)</f>
        <v>2150.3549764640557</v>
      </c>
      <c r="DZ29" s="65">
        <f>IF(DZ$16&lt;Assumptions!$D128,0,$C6*DZ$20*DZ$11*$A6)</f>
        <v>2153.9389014248295</v>
      </c>
      <c r="EA29" s="65">
        <f>IF(EA$16&lt;Assumptions!$D128,0,$C6*EA$20*EA$11*$A6)</f>
        <v>2157.5287995938706</v>
      </c>
      <c r="EB29" s="65">
        <f>IF(EB$16&lt;Assumptions!$D128,0,$C6*EB$20*EB$11*$A6)</f>
        <v>2161.1246809265276</v>
      </c>
      <c r="EC29" s="65">
        <f>IF(EC$16&lt;Assumptions!$D128,0,$C6*EC$20*EC$11*$A6)</f>
        <v>2164.7265553947382</v>
      </c>
      <c r="ED29" s="65">
        <f>IF(ED$16&lt;Assumptions!$D128,0,$C6*ED$20*ED$11*$A6)</f>
        <v>2168.3344329870633</v>
      </c>
      <c r="EE29" s="65">
        <f>IF(EE$16&lt;Assumptions!$D128,0,$C6*EE$20*EE$11*$A6)</f>
        <v>2171.9483237087088</v>
      </c>
      <c r="EF29" s="65">
        <f>IF(EF$16&lt;Assumptions!$D128,0,$C6*EF$20*EF$11*$A6)</f>
        <v>2175.5682375815568</v>
      </c>
      <c r="EG29" s="65">
        <f>IF(EG$16&lt;Assumptions!$D128,0,$C6*EG$20*EG$11*$A6)</f>
        <v>2179.1941846441928</v>
      </c>
      <c r="EH29" s="65">
        <f>IF(EH$16&lt;Assumptions!$D128,0,$C6*EH$20*EH$11*$A6)</f>
        <v>2182.8261749519334</v>
      </c>
      <c r="EI29" s="65">
        <f>IF(EI$16&lt;Assumptions!$D128,0,$C6*EI$20*EI$11*$A6)</f>
        <v>2186.4642185768535</v>
      </c>
    </row>
    <row r="30" spans="2:139" x14ac:dyDescent="0.45">
      <c r="B30" s="58" t="str">
        <f>B7&amp;" Income"</f>
        <v>Laundry Income</v>
      </c>
      <c r="H30" s="65">
        <f>IF(H$16&lt;Assumptions!$D129,0,$C7*H$20*H$11*$A7)</f>
        <v>859.43000000000006</v>
      </c>
      <c r="I30" s="65">
        <f>IF(I$16&lt;Assumptions!$D129,0,$C7*I$20*I$11*$A7)</f>
        <v>827.75229166666679</v>
      </c>
      <c r="J30" s="65">
        <f>IF(J$16&lt;Assumptions!$D129,0,$C7*J$20*J$11*$A7)</f>
        <v>795.96660366666674</v>
      </c>
      <c r="K30" s="65">
        <f>IF(K$16&lt;Assumptions!$D129,0,$C7*K$20*K$11*$A7)</f>
        <v>764.07266406141218</v>
      </c>
      <c r="L30" s="65">
        <f>IF(L$16&lt;Assumptions!$D129,0,$C7*L$20*L$11*$A7)</f>
        <v>765.34611850151452</v>
      </c>
      <c r="M30" s="65">
        <f>IF(M$16&lt;Assumptions!$D129,0,$C7*M$20*M$11*$A7)</f>
        <v>766.62169536568376</v>
      </c>
      <c r="N30" s="65">
        <f>IF(N$16&lt;Assumptions!$D129,0,$C7*N$20*N$11*$A7)</f>
        <v>767.89939819129336</v>
      </c>
      <c r="O30" s="65">
        <f>IF(O$16&lt;Assumptions!$D129,0,$C7*O$20*O$11*$A7)</f>
        <v>769.17923052161234</v>
      </c>
      <c r="P30" s="65">
        <f>IF(P$16&lt;Assumptions!$D129,0,$C7*P$20*P$11*$A7)</f>
        <v>770.46119590581498</v>
      </c>
      <c r="Q30" s="65">
        <f>IF(Q$16&lt;Assumptions!$D129,0,$C7*Q$20*Q$11*$A7)</f>
        <v>771.74529789899134</v>
      </c>
      <c r="R30" s="65">
        <f>IF(R$16&lt;Assumptions!$D129,0,$C7*R$20*R$11*$A7)</f>
        <v>773.03154006215641</v>
      </c>
      <c r="S30" s="65">
        <f>IF(S$16&lt;Assumptions!$D129,0,$C7*S$20*S$11*$A7)</f>
        <v>774.31992596226007</v>
      </c>
      <c r="T30" s="65">
        <f>IF(T$16&lt;Assumptions!$D129,0,$C7*T$20*T$11*$A7)</f>
        <v>775.61045917219712</v>
      </c>
      <c r="U30" s="65">
        <f>IF(U$16&lt;Assumptions!$D129,0,$C7*U$20*U$11*$A7)</f>
        <v>776.90314327081762</v>
      </c>
      <c r="V30" s="65">
        <f>IF(V$16&lt;Assumptions!$D129,0,$C7*V$20*V$11*$A7)</f>
        <v>778.19798184293563</v>
      </c>
      <c r="W30" s="65">
        <f>IF(W$16&lt;Assumptions!$D129,0,$C7*W$20*W$11*$A7)</f>
        <v>779.49497847934072</v>
      </c>
      <c r="X30" s="65">
        <f>IF(X$16&lt;Assumptions!$D129,0,$C7*X$20*X$11*$A7)</f>
        <v>780.79413677680623</v>
      </c>
      <c r="Y30" s="65">
        <f>IF(Y$16&lt;Assumptions!$D129,0,$C7*Y$20*Y$11*$A7)</f>
        <v>782.09546033810091</v>
      </c>
      <c r="Z30" s="65">
        <f>IF(Z$16&lt;Assumptions!$D129,0,$C7*Z$20*Z$11*$A7)</f>
        <v>783.39895277199798</v>
      </c>
      <c r="AA30" s="65">
        <f>IF(AA$16&lt;Assumptions!$D129,0,$C7*AA$20*AA$11*$A7)</f>
        <v>784.7046176932846</v>
      </c>
      <c r="AB30" s="65">
        <f>IF(AB$16&lt;Assumptions!$D129,0,$C7*AB$20*AB$11*$A7)</f>
        <v>786.01245872277354</v>
      </c>
      <c r="AC30" s="65">
        <f>IF(AC$16&lt;Assumptions!$D129,0,$C7*AC$20*AC$11*$A7)</f>
        <v>787.3224794873114</v>
      </c>
      <c r="AD30" s="65">
        <f>IF(AD$16&lt;Assumptions!$D129,0,$C7*AD$20*AD$11*$A7)</f>
        <v>788.63468361979039</v>
      </c>
      <c r="AE30" s="65">
        <f>IF(AE$16&lt;Assumptions!$D129,0,$C7*AE$20*AE$11*$A7)</f>
        <v>789.94907475915682</v>
      </c>
      <c r="AF30" s="65">
        <f>IF(AF$16&lt;Assumptions!$D129,0,$C7*AF$20*AF$11*$A7)</f>
        <v>791.26565655042202</v>
      </c>
      <c r="AG30" s="65">
        <f>IF(AG$16&lt;Assumptions!$D129,0,$C7*AG$20*AG$11*$A7)</f>
        <v>792.5844326446728</v>
      </c>
      <c r="AH30" s="65">
        <f>IF(AH$16&lt;Assumptions!$D129,0,$C7*AH$20*AH$11*$A7)</f>
        <v>793.90540669908069</v>
      </c>
      <c r="AI30" s="65">
        <f>IF(AI$16&lt;Assumptions!$D129,0,$C7*AI$20*AI$11*$A7)</f>
        <v>829.80373813243045</v>
      </c>
      <c r="AJ30" s="65">
        <f>IF(AJ$16&lt;Assumptions!$D129,0,$C7*AJ$20*AJ$11*$A7)</f>
        <v>865.81952537776169</v>
      </c>
      <c r="AK30" s="65">
        <f>IF(AK$16&lt;Assumptions!$D129,0,$C7*AK$20*AK$11*$A7)</f>
        <v>901.95306023686032</v>
      </c>
      <c r="AL30" s="65">
        <f>IF(AL$16&lt;Assumptions!$D129,0,$C7*AL$20*AL$11*$A7)</f>
        <v>903.45631533725521</v>
      </c>
      <c r="AM30" s="65">
        <f>IF(AM$16&lt;Assumptions!$D129,0,$C7*AM$20*AM$11*$A7)</f>
        <v>904.96207586281741</v>
      </c>
      <c r="AN30" s="65">
        <f>IF(AN$16&lt;Assumptions!$D129,0,$C7*AN$20*AN$11*$A7)</f>
        <v>906.47034598925552</v>
      </c>
      <c r="AO30" s="65">
        <f>IF(AO$16&lt;Assumptions!$D129,0,$C7*AO$20*AO$11*$A7)</f>
        <v>907.98112989923754</v>
      </c>
      <c r="AP30" s="65">
        <f>IF(AP$16&lt;Assumptions!$D129,0,$C7*AP$20*AP$11*$A7)</f>
        <v>909.49443178240313</v>
      </c>
      <c r="AQ30" s="65">
        <f>IF(AQ$16&lt;Assumptions!$D129,0,$C7*AQ$20*AQ$11*$A7)</f>
        <v>911.01025583537375</v>
      </c>
      <c r="AR30" s="65">
        <f>IF(AR$16&lt;Assumptions!$D129,0,$C7*AR$20*AR$11*$A7)</f>
        <v>912.52860626176619</v>
      </c>
      <c r="AS30" s="65">
        <f>IF(AS$16&lt;Assumptions!$D129,0,$C7*AS$20*AS$11*$A7)</f>
        <v>914.04948727220233</v>
      </c>
      <c r="AT30" s="65">
        <f>IF(AT$16&lt;Assumptions!$D129,0,$C7*AT$20*AT$11*$A7)</f>
        <v>915.57290308432289</v>
      </c>
      <c r="AU30" s="65">
        <f>IF(AU$16&lt;Assumptions!$D129,0,$C7*AU$20*AU$11*$A7)</f>
        <v>917.09885792279692</v>
      </c>
      <c r="AV30" s="65">
        <f>IF(AV$16&lt;Assumptions!$D129,0,$C7*AV$20*AV$11*$A7)</f>
        <v>918.6273560193348</v>
      </c>
      <c r="AW30" s="65">
        <f>IF(AW$16&lt;Assumptions!$D129,0,$C7*AW$20*AW$11*$A7)</f>
        <v>920.15840161270046</v>
      </c>
      <c r="AX30" s="65">
        <f>IF(AX$16&lt;Assumptions!$D129,0,$C7*AX$20*AX$11*$A7)</f>
        <v>921.69199894872168</v>
      </c>
      <c r="AY30" s="65">
        <f>IF(AY$16&lt;Assumptions!$D129,0,$C7*AY$20*AY$11*$A7)</f>
        <v>923.22815228030288</v>
      </c>
      <c r="AZ30" s="65">
        <f>IF(AZ$16&lt;Assumptions!$D129,0,$C7*AZ$20*AZ$11*$A7)</f>
        <v>924.76686586743688</v>
      </c>
      <c r="BA30" s="65">
        <f>IF(BA$16&lt;Assumptions!$D129,0,$C7*BA$20*BA$11*$A7)</f>
        <v>926.30814397721599</v>
      </c>
      <c r="BB30" s="65">
        <f>IF(BB$16&lt;Assumptions!$D129,0,$C7*BB$20*BB$11*$A7)</f>
        <v>927.85199088384479</v>
      </c>
      <c r="BC30" s="65">
        <f>IF(BC$16&lt;Assumptions!$D129,0,$C7*BC$20*BC$11*$A7)</f>
        <v>929.39841086865135</v>
      </c>
      <c r="BD30" s="65">
        <f>IF(BD$16&lt;Assumptions!$D129,0,$C7*BD$20*BD$11*$A7)</f>
        <v>930.94740822009908</v>
      </c>
      <c r="BE30" s="65">
        <f>IF(BE$16&lt;Assumptions!$D129,0,$C7*BE$20*BE$11*$A7)</f>
        <v>932.4989872337992</v>
      </c>
      <c r="BF30" s="65">
        <f>IF(BF$16&lt;Assumptions!$D129,0,$C7*BF$20*BF$11*$A7)</f>
        <v>934.05315221252238</v>
      </c>
      <c r="BG30" s="65">
        <f>IF(BG$16&lt;Assumptions!$D129,0,$C7*BG$20*BG$11*$A7)</f>
        <v>935.60990746620985</v>
      </c>
      <c r="BH30" s="65">
        <f>IF(BH$16&lt;Assumptions!$D129,0,$C7*BH$20*BH$11*$A7)</f>
        <v>937.16925731198705</v>
      </c>
      <c r="BI30" s="65">
        <f>IF(BI$16&lt;Assumptions!$D129,0,$C7*BI$20*BI$11*$A7)</f>
        <v>938.73120607417377</v>
      </c>
      <c r="BJ30" s="65">
        <f>IF(BJ$16&lt;Assumptions!$D129,0,$C7*BJ$20*BJ$11*$A7)</f>
        <v>940.2957580842974</v>
      </c>
      <c r="BK30" s="65">
        <f>IF(BK$16&lt;Assumptions!$D129,0,$C7*BK$20*BK$11*$A7)</f>
        <v>941.86291768110482</v>
      </c>
      <c r="BL30" s="65">
        <f>IF(BL$16&lt;Assumptions!$D129,0,$C7*BL$20*BL$11*$A7)</f>
        <v>943.43268921057324</v>
      </c>
      <c r="BM30" s="65">
        <f>IF(BM$16&lt;Assumptions!$D129,0,$C7*BM$20*BM$11*$A7)</f>
        <v>945.00507702592415</v>
      </c>
      <c r="BN30" s="65">
        <f>IF(BN$16&lt;Assumptions!$D129,0,$C7*BN$20*BN$11*$A7)</f>
        <v>946.58008548763416</v>
      </c>
      <c r="BO30" s="65">
        <f>IF(BO$16&lt;Assumptions!$D129,0,$C7*BO$20*BO$11*$A7)</f>
        <v>948.15771896344688</v>
      </c>
      <c r="BP30" s="65">
        <f>IF(BP$16&lt;Assumptions!$D129,0,$C7*BP$20*BP$11*$A7)</f>
        <v>949.73798182838618</v>
      </c>
      <c r="BQ30" s="65">
        <f>IF(BQ$16&lt;Assumptions!$D129,0,$C7*BQ$20*BQ$11*$A7)</f>
        <v>951.32087846476679</v>
      </c>
      <c r="BR30" s="65">
        <f>IF(BR$16&lt;Assumptions!$D129,0,$C7*BR$20*BR$11*$A7)</f>
        <v>952.90641326220828</v>
      </c>
      <c r="BS30" s="65">
        <f>IF(BS$16&lt;Assumptions!$D129,0,$C7*BS$20*BS$11*$A7)</f>
        <v>954.49459061764526</v>
      </c>
      <c r="BT30" s="65">
        <f>IF(BT$16&lt;Assumptions!$D129,0,$C7*BT$20*BT$11*$A7)</f>
        <v>956.08541493534153</v>
      </c>
      <c r="BU30" s="65">
        <f>IF(BU$16&lt;Assumptions!$D129,0,$C7*BU$20*BU$11*$A7)</f>
        <v>957.67889062690028</v>
      </c>
      <c r="BV30" s="65">
        <f>IF(BV$16&lt;Assumptions!$D129,0,$C7*BV$20*BV$11*$A7)</f>
        <v>959.27502211127853</v>
      </c>
      <c r="BW30" s="65">
        <f>IF(BW$16&lt;Assumptions!$D129,0,$C7*BW$20*BW$11*$A7)</f>
        <v>960.87381381479747</v>
      </c>
      <c r="BX30" s="65">
        <f>IF(BX$16&lt;Assumptions!$D129,0,$C7*BX$20*BX$11*$A7)</f>
        <v>962.47527017115544</v>
      </c>
      <c r="BY30" s="65">
        <f>IF(BY$16&lt;Assumptions!$D129,0,$C7*BY$20*BY$11*$A7)</f>
        <v>964.07939562144065</v>
      </c>
      <c r="BZ30" s="65">
        <f>IF(BZ$16&lt;Assumptions!$D129,0,$C7*BZ$20*BZ$11*$A7)</f>
        <v>965.68619461414312</v>
      </c>
      <c r="CA30" s="65">
        <f>IF(CA$16&lt;Assumptions!$D129,0,$C7*CA$20*CA$11*$A7)</f>
        <v>967.29567160516694</v>
      </c>
      <c r="CB30" s="65">
        <f>IF(CB$16&lt;Assumptions!$D129,0,$C7*CB$20*CB$11*$A7)</f>
        <v>968.90783105784215</v>
      </c>
      <c r="CC30" s="65">
        <f>IF(CC$16&lt;Assumptions!$D129,0,$C7*CC$20*CC$11*$A7)</f>
        <v>970.52267744293863</v>
      </c>
      <c r="CD30" s="65">
        <f>IF(CD$16&lt;Assumptions!$D129,0,$C7*CD$20*CD$11*$A7)</f>
        <v>972.140215238677</v>
      </c>
      <c r="CE30" s="65">
        <f>IF(CE$16&lt;Assumptions!$D129,0,$C7*CE$20*CE$11*$A7)</f>
        <v>973.76044893074152</v>
      </c>
      <c r="CF30" s="65">
        <f>IF(CF$16&lt;Assumptions!$D129,0,$C7*CF$20*CF$11*$A7)</f>
        <v>975.38338301229294</v>
      </c>
      <c r="CG30" s="65">
        <f>IF(CG$16&lt;Assumptions!$D129,0,$C7*CG$20*CG$11*$A7)</f>
        <v>977.00902198398012</v>
      </c>
      <c r="CH30" s="65">
        <f>IF(CH$16&lt;Assumptions!$D129,0,$C7*CH$20*CH$11*$A7)</f>
        <v>978.63737035395332</v>
      </c>
      <c r="CI30" s="65">
        <f>IF(CI$16&lt;Assumptions!$D129,0,$C7*CI$20*CI$11*$A7)</f>
        <v>980.2684326378768</v>
      </c>
      <c r="CJ30" s="65">
        <f>IF(CJ$16&lt;Assumptions!$D129,0,$C7*CJ$20*CJ$11*$A7)</f>
        <v>981.90221335893989</v>
      </c>
      <c r="CK30" s="65">
        <f>IF(CK$16&lt;Assumptions!$D129,0,$C7*CK$20*CK$11*$A7)</f>
        <v>983.5387170478715</v>
      </c>
      <c r="CL30" s="65">
        <f>IF(CL$16&lt;Assumptions!$D129,0,$C7*CL$20*CL$11*$A7)</f>
        <v>985.17794824295152</v>
      </c>
      <c r="CM30" s="65">
        <f>IF(CM$16&lt;Assumptions!$D129,0,$C7*CM$20*CM$11*$A7)</f>
        <v>986.81991149002317</v>
      </c>
      <c r="CN30" s="65">
        <f>IF(CN$16&lt;Assumptions!$D129,0,$C7*CN$20*CN$11*$A7)</f>
        <v>988.46461134250671</v>
      </c>
      <c r="CO30" s="65">
        <f>IF(CO$16&lt;Assumptions!$D129,0,$C7*CO$20*CO$11*$A7)</f>
        <v>990.11205236141063</v>
      </c>
      <c r="CP30" s="65">
        <f>IF(CP$16&lt;Assumptions!$D129,0,$C7*CP$20*CP$11*$A7)</f>
        <v>991.76223911534657</v>
      </c>
      <c r="CQ30" s="65">
        <f>IF(CQ$16&lt;Assumptions!$D129,0,$C7*CQ$20*CQ$11*$A7)</f>
        <v>993.41517618053899</v>
      </c>
      <c r="CR30" s="65">
        <f>IF(CR$16&lt;Assumptions!$D129,0,$C7*CR$20*CR$11*$A7)</f>
        <v>995.07086814083971</v>
      </c>
      <c r="CS30" s="65">
        <f>IF(CS$16&lt;Assumptions!$D129,0,$C7*CS$20*CS$11*$A7)</f>
        <v>996.7293195877412</v>
      </c>
      <c r="CT30" s="65">
        <f>IF(CT$16&lt;Assumptions!$D129,0,$C7*CT$20*CT$11*$A7)</f>
        <v>998.39053512038754</v>
      </c>
      <c r="CU30" s="65">
        <f>IF(CU$16&lt;Assumptions!$D129,0,$C7*CU$20*CU$11*$A7)</f>
        <v>1000.0545193455883</v>
      </c>
      <c r="CV30" s="65">
        <f>IF(CV$16&lt;Assumptions!$D129,0,$C7*CV$20*CV$11*$A7)</f>
        <v>1001.7212768778312</v>
      </c>
      <c r="CW30" s="65">
        <f>IF(CW$16&lt;Assumptions!$D129,0,$C7*CW$20*CW$11*$A7)</f>
        <v>1003.390812339294</v>
      </c>
      <c r="CX30" s="65">
        <f>IF(CX$16&lt;Assumptions!$D129,0,$C7*CX$20*CX$11*$A7)</f>
        <v>1005.0631303598597</v>
      </c>
      <c r="CY30" s="65">
        <f>IF(CY$16&lt;Assumptions!$D129,0,$C7*CY$20*CY$11*$A7)</f>
        <v>1006.7382355771264</v>
      </c>
      <c r="CZ30" s="65">
        <f>IF(CZ$16&lt;Assumptions!$D129,0,$C7*CZ$20*CZ$11*$A7)</f>
        <v>1008.4161326364217</v>
      </c>
      <c r="DA30" s="65">
        <f>IF(DA$16&lt;Assumptions!$D129,0,$C7*DA$20*DA$11*$A7)</f>
        <v>1010.0968261908156</v>
      </c>
      <c r="DB30" s="65">
        <f>IF(DB$16&lt;Assumptions!$D129,0,$C7*DB$20*DB$11*$A7)</f>
        <v>1011.7803209011338</v>
      </c>
      <c r="DC30" s="65">
        <f>IF(DC$16&lt;Assumptions!$D129,0,$C7*DC$20*DC$11*$A7)</f>
        <v>1013.466621435969</v>
      </c>
      <c r="DD30" s="65">
        <f>IF(DD$16&lt;Assumptions!$D129,0,$C7*DD$20*DD$11*$A7)</f>
        <v>1015.1557324716957</v>
      </c>
      <c r="DE30" s="65">
        <f>IF(DE$16&lt;Assumptions!$D129,0,$C7*DE$20*DE$11*$A7)</f>
        <v>1016.8476586924818</v>
      </c>
      <c r="DF30" s="65">
        <f>IF(DF$16&lt;Assumptions!$D129,0,$C7*DF$20*DF$11*$A7)</f>
        <v>1018.5424047903028</v>
      </c>
      <c r="DG30" s="65">
        <f>IF(DG$16&lt;Assumptions!$D129,0,$C7*DG$20*DG$11*$A7)</f>
        <v>1020.2399754649534</v>
      </c>
      <c r="DH30" s="65">
        <f>IF(DH$16&lt;Assumptions!$D129,0,$C7*DH$20*DH$11*$A7)</f>
        <v>1021.9403754240616</v>
      </c>
      <c r="DI30" s="65">
        <f>IF(DI$16&lt;Assumptions!$D129,0,$C7*DI$20*DI$11*$A7)</f>
        <v>1023.6436093831018</v>
      </c>
      <c r="DJ30" s="65">
        <f>IF(DJ$16&lt;Assumptions!$D129,0,$C7*DJ$20*DJ$11*$A7)</f>
        <v>1025.349682065407</v>
      </c>
      <c r="DK30" s="65">
        <f>IF(DK$16&lt;Assumptions!$D129,0,$C7*DK$20*DK$11*$A7)</f>
        <v>1027.0585982021826</v>
      </c>
      <c r="DL30" s="65">
        <f>IF(DL$16&lt;Assumptions!$D129,0,$C7*DL$20*DL$11*$A7)</f>
        <v>1028.7703625325198</v>
      </c>
      <c r="DM30" s="65">
        <f>IF(DM$16&lt;Assumptions!$D129,0,$C7*DM$20*DM$11*$A7)</f>
        <v>1030.4849798034077</v>
      </c>
      <c r="DN30" s="65">
        <f>IF(DN$16&lt;Assumptions!$D129,0,$C7*DN$20*DN$11*$A7)</f>
        <v>1032.2024547697467</v>
      </c>
      <c r="DO30" s="65">
        <f>IF(DO$16&lt;Assumptions!$D129,0,$C7*DO$20*DO$11*$A7)</f>
        <v>1033.922792194363</v>
      </c>
      <c r="DP30" s="65">
        <f>IF(DP$16&lt;Assumptions!$D129,0,$C7*DP$20*DP$11*$A7)</f>
        <v>1035.6459968480203</v>
      </c>
      <c r="DQ30" s="65">
        <f>IF(DQ$16&lt;Assumptions!$D129,0,$C7*DQ$20*DQ$11*$A7)</f>
        <v>1037.3720735094337</v>
      </c>
      <c r="DR30" s="65">
        <f>IF(DR$16&lt;Assumptions!$D129,0,$C7*DR$20*DR$11*$A7)</f>
        <v>1039.1010269652829</v>
      </c>
      <c r="DS30" s="65">
        <f>IF(DS$16&lt;Assumptions!$D129,0,$C7*DS$20*DS$11*$A7)</f>
        <v>1040.832862010225</v>
      </c>
      <c r="DT30" s="65">
        <f>IF(DT$16&lt;Assumptions!$D129,0,$C7*DT$20*DT$11*$A7)</f>
        <v>1042.5675834469089</v>
      </c>
      <c r="DU30" s="65">
        <f>IF(DU$16&lt;Assumptions!$D129,0,$C7*DU$20*DU$11*$A7)</f>
        <v>1044.3051960859871</v>
      </c>
      <c r="DV30" s="65">
        <f>IF(DV$16&lt;Assumptions!$D129,0,$C7*DV$20*DV$11*$A7)</f>
        <v>1046.0457047461305</v>
      </c>
      <c r="DW30" s="65">
        <f>IF(DW$16&lt;Assumptions!$D129,0,$C7*DW$20*DW$11*$A7)</f>
        <v>1047.7891142540409</v>
      </c>
      <c r="DX30" s="65">
        <f>IF(DX$16&lt;Assumptions!$D129,0,$C7*DX$20*DX$11*$A7)</f>
        <v>1049.5354294444642</v>
      </c>
      <c r="DY30" s="65">
        <f>IF(DY$16&lt;Assumptions!$D129,0,$C7*DY$20*DY$11*$A7)</f>
        <v>1051.2846551602051</v>
      </c>
      <c r="DZ30" s="65">
        <f>IF(DZ$16&lt;Assumptions!$D129,0,$C7*DZ$20*DZ$11*$A7)</f>
        <v>1053.0367962521389</v>
      </c>
      <c r="EA30" s="65">
        <f>IF(EA$16&lt;Assumptions!$D129,0,$C7*EA$20*EA$11*$A7)</f>
        <v>1054.7918575792255</v>
      </c>
      <c r="EB30" s="65">
        <f>IF(EB$16&lt;Assumptions!$D129,0,$C7*EB$20*EB$11*$A7)</f>
        <v>1056.5498440085246</v>
      </c>
      <c r="EC30" s="65">
        <f>IF(EC$16&lt;Assumptions!$D129,0,$C7*EC$20*EC$11*$A7)</f>
        <v>1058.3107604152053</v>
      </c>
      <c r="ED30" s="65">
        <f>IF(ED$16&lt;Assumptions!$D129,0,$C7*ED$20*ED$11*$A7)</f>
        <v>1060.0746116825644</v>
      </c>
      <c r="EE30" s="65">
        <f>IF(EE$16&lt;Assumptions!$D129,0,$C7*EE$20*EE$11*$A7)</f>
        <v>1061.8414027020353</v>
      </c>
      <c r="EF30" s="65">
        <f>IF(EF$16&lt;Assumptions!$D129,0,$C7*EF$20*EF$11*$A7)</f>
        <v>1063.6111383732054</v>
      </c>
      <c r="EG30" s="65">
        <f>IF(EG$16&lt;Assumptions!$D129,0,$C7*EG$20*EG$11*$A7)</f>
        <v>1065.3838236038275</v>
      </c>
      <c r="EH30" s="65">
        <f>IF(EH$16&lt;Assumptions!$D129,0,$C7*EH$20*EH$11*$A7)</f>
        <v>1067.1594633098339</v>
      </c>
      <c r="EI30" s="65">
        <f>IF(EI$16&lt;Assumptions!$D129,0,$C7*EI$20*EI$11*$A7)</f>
        <v>1068.9380624153505</v>
      </c>
    </row>
    <row r="31" spans="2:139" x14ac:dyDescent="0.45">
      <c r="B31" s="58" t="str">
        <f>B8&amp;" Income"</f>
        <v>Parking Income</v>
      </c>
      <c r="H31" s="65">
        <f>IF(H$16&lt;Assumptions!$D130,0,$C8*Assumptions!$F$130*'NOI Walk'!H20/'NOI Walk'!$C$2*H$11*$A8)</f>
        <v>7031.7</v>
      </c>
      <c r="I31" s="65">
        <f>IF(I$16&lt;Assumptions!$D130,0,$C8*Assumptions!$F$130*'NOI Walk'!I20/'NOI Walk'!$C$2*I$11*$A8)</f>
        <v>6772.5187500000011</v>
      </c>
      <c r="J31" s="65">
        <f>IF(J$16&lt;Assumptions!$D130,0,$C8*Assumptions!$F$130*'NOI Walk'!J20/'NOI Walk'!$C$2*J$11*$A8)</f>
        <v>6512.4540300000008</v>
      </c>
      <c r="K31" s="65">
        <f>IF(K$16&lt;Assumptions!$D130,0,$C8*Assumptions!$F$130*'NOI Walk'!K20/'NOI Walk'!$C$2*K$11*$A8)</f>
        <v>6251.5036150479182</v>
      </c>
      <c r="L31" s="65">
        <f>IF(L$16&lt;Assumptions!$D130,0,$C8*Assumptions!$F$130*'NOI Walk'!L20/'NOI Walk'!$C$2*L$11*$A8)</f>
        <v>6261.9227877396652</v>
      </c>
      <c r="M31" s="65">
        <f>IF(M$16&lt;Assumptions!$D130,0,$C8*Assumptions!$F$130*'NOI Walk'!M20/'NOI Walk'!$C$2*M$11*$A8)</f>
        <v>6272.3593257192315</v>
      </c>
      <c r="N31" s="65">
        <f>IF(N$16&lt;Assumptions!$D130,0,$C8*Assumptions!$F$130*'NOI Walk'!N20/'NOI Walk'!$C$2*N$11*$A8)</f>
        <v>6282.813257928764</v>
      </c>
      <c r="O31" s="65">
        <f>IF(O$16&lt;Assumptions!$D130,0,$C8*Assumptions!$F$130*'NOI Walk'!O20/'NOI Walk'!$C$2*O$11*$A8)</f>
        <v>6293.2846133586463</v>
      </c>
      <c r="P31" s="65">
        <f>IF(P$16&lt;Assumptions!$D130,0,$C8*Assumptions!$F$130*'NOI Walk'!P20/'NOI Walk'!$C$2*P$11*$A8)</f>
        <v>6303.7734210475774</v>
      </c>
      <c r="Q31" s="65">
        <f>IF(Q$16&lt;Assumptions!$D130,0,$C8*Assumptions!$F$130*'NOI Walk'!Q20/'NOI Walk'!$C$2*Q$11*$A8)</f>
        <v>6314.2797100826574</v>
      </c>
      <c r="R31" s="65">
        <f>IF(R$16&lt;Assumptions!$D130,0,$C8*Assumptions!$F$130*'NOI Walk'!R20/'NOI Walk'!$C$2*R$11*$A8)</f>
        <v>6324.803509599461</v>
      </c>
      <c r="S31" s="65">
        <f>IF(S$16&lt;Assumptions!$D130,0,$C8*Assumptions!$F$130*'NOI Walk'!S20/'NOI Walk'!$C$2*S$11*$A8)</f>
        <v>6335.344848782127</v>
      </c>
      <c r="T31" s="65">
        <f>IF(T$16&lt;Assumptions!$D130,0,$C8*Assumptions!$F$130*'NOI Walk'!T20/'NOI Walk'!$C$2*T$11*$A8)</f>
        <v>6345.9037568634312</v>
      </c>
      <c r="U31" s="65">
        <f>IF(U$16&lt;Assumptions!$D130,0,$C8*Assumptions!$F$130*'NOI Walk'!U20/'NOI Walk'!$C$2*U$11*$A8)</f>
        <v>6356.4802631248713</v>
      </c>
      <c r="V31" s="65">
        <f>IF(V$16&lt;Assumptions!$D130,0,$C8*Assumptions!$F$130*'NOI Walk'!V20/'NOI Walk'!$C$2*V$11*$A8)</f>
        <v>6367.0743968967463</v>
      </c>
      <c r="W31" s="65">
        <f>IF(W$16&lt;Assumptions!$D130,0,$C8*Assumptions!$F$130*'NOI Walk'!W20/'NOI Walk'!$C$2*W$11*$A8)</f>
        <v>6377.6861875582417</v>
      </c>
      <c r="X31" s="65">
        <f>IF(X$16&lt;Assumptions!$D130,0,$C8*Assumptions!$F$130*'NOI Walk'!X20/'NOI Walk'!$C$2*X$11*$A8)</f>
        <v>6388.3156645375057</v>
      </c>
      <c r="Y31" s="65">
        <f>IF(Y$16&lt;Assumptions!$D130,0,$C8*Assumptions!$F$130*'NOI Walk'!Y20/'NOI Walk'!$C$2*Y$11*$A8)</f>
        <v>6398.9628573117352</v>
      </c>
      <c r="Z31" s="65">
        <f>IF(Z$16&lt;Assumptions!$D130,0,$C8*Assumptions!$F$130*'NOI Walk'!Z20/'NOI Walk'!$C$2*Z$11*$A8)</f>
        <v>6409.6277954072557</v>
      </c>
      <c r="AA31" s="65">
        <f>IF(AA$16&lt;Assumptions!$D130,0,$C8*Assumptions!$F$130*'NOI Walk'!AA20/'NOI Walk'!$C$2*AA$11*$A8)</f>
        <v>6420.3105083996006</v>
      </c>
      <c r="AB31" s="65">
        <f>IF(AB$16&lt;Assumptions!$D130,0,$C8*Assumptions!$F$130*'NOI Walk'!AB20/'NOI Walk'!$C$2*AB$11*$A8)</f>
        <v>6431.0110259136009</v>
      </c>
      <c r="AC31" s="65">
        <f>IF(AC$16&lt;Assumptions!$D130,0,$C8*Assumptions!$F$130*'NOI Walk'!AC20/'NOI Walk'!$C$2*AC$11*$A8)</f>
        <v>6441.7293776234574</v>
      </c>
      <c r="AD31" s="65">
        <f>IF(AD$16&lt;Assumptions!$D130,0,$C8*Assumptions!$F$130*'NOI Walk'!AD20/'NOI Walk'!$C$2*AD$11*$A8)</f>
        <v>6452.4655932528303</v>
      </c>
      <c r="AE31" s="65">
        <f>IF(AE$16&lt;Assumptions!$D130,0,$C8*Assumptions!$F$130*'NOI Walk'!AE20/'NOI Walk'!$C$2*AE$11*$A8)</f>
        <v>6463.2197025749201</v>
      </c>
      <c r="AF31" s="65">
        <f>IF(AF$16&lt;Assumptions!$D130,0,$C8*Assumptions!$F$130*'NOI Walk'!AF20/'NOI Walk'!$C$2*AF$11*$A8)</f>
        <v>6473.9917354125428</v>
      </c>
      <c r="AG31" s="65">
        <f>IF(AG$16&lt;Assumptions!$D130,0,$C8*Assumptions!$F$130*'NOI Walk'!AG20/'NOI Walk'!$C$2*AG$11*$A8)</f>
        <v>6484.7817216382318</v>
      </c>
      <c r="AH31" s="65">
        <f>IF(AH$16&lt;Assumptions!$D130,0,$C8*Assumptions!$F$130*'NOI Walk'!AH20/'NOI Walk'!$C$2*AH$11*$A8)</f>
        <v>6495.5896911742966</v>
      </c>
      <c r="AI31" s="65">
        <f>IF(AI$16&lt;Assumptions!$D130,0,$C8*Assumptions!$F$130*'NOI Walk'!AI20/'NOI Walk'!$C$2*AI$11*$A8)</f>
        <v>6789.3033119926131</v>
      </c>
      <c r="AJ31" s="65">
        <f>IF(AJ$16&lt;Assumptions!$D130,0,$C8*Assumptions!$F$130*'NOI Walk'!AJ20/'NOI Walk'!$C$2*AJ$11*$A8)</f>
        <v>7083.9779349089595</v>
      </c>
      <c r="AK31" s="65">
        <f>IF(AK$16&lt;Assumptions!$D130,0,$C8*Assumptions!$F$130*'NOI Walk'!AK20/'NOI Walk'!$C$2*AK$11*$A8)</f>
        <v>7379.6159473924927</v>
      </c>
      <c r="AL31" s="65">
        <f>IF(AL$16&lt;Assumptions!$D130,0,$C8*Assumptions!$F$130*'NOI Walk'!AL20/'NOI Walk'!$C$2*AL$11*$A8)</f>
        <v>7391.9153073048155</v>
      </c>
      <c r="AM31" s="65">
        <f>IF(AM$16&lt;Assumptions!$D130,0,$C8*Assumptions!$F$130*'NOI Walk'!AM20/'NOI Walk'!$C$2*AM$11*$A8)</f>
        <v>7404.2351661503244</v>
      </c>
      <c r="AN31" s="65">
        <f>IF(AN$16&lt;Assumptions!$D130,0,$C8*Assumptions!$F$130*'NOI Walk'!AN20/'NOI Walk'!$C$2*AN$11*$A8)</f>
        <v>7416.5755580939094</v>
      </c>
      <c r="AO31" s="65">
        <f>IF(AO$16&lt;Assumptions!$D130,0,$C8*Assumptions!$F$130*'NOI Walk'!AO20/'NOI Walk'!$C$2*AO$11*$A8)</f>
        <v>7428.9365173573979</v>
      </c>
      <c r="AP31" s="65">
        <f>IF(AP$16&lt;Assumptions!$D130,0,$C8*Assumptions!$F$130*'NOI Walk'!AP20/'NOI Walk'!$C$2*AP$11*$A8)</f>
        <v>7441.3180782196623</v>
      </c>
      <c r="AQ31" s="65">
        <f>IF(AQ$16&lt;Assumptions!$D130,0,$C8*Assumptions!$F$130*'NOI Walk'!AQ20/'NOI Walk'!$C$2*AQ$11*$A8)</f>
        <v>7453.7202750166944</v>
      </c>
      <c r="AR31" s="65">
        <f>IF(AR$16&lt;Assumptions!$D130,0,$C8*Assumptions!$F$130*'NOI Walk'!AR20/'NOI Walk'!$C$2*AR$11*$A8)</f>
        <v>7466.1431421417228</v>
      </c>
      <c r="AS31" s="65">
        <f>IF(AS$16&lt;Assumptions!$D130,0,$C8*Assumptions!$F$130*'NOI Walk'!AS20/'NOI Walk'!$C$2*AS$11*$A8)</f>
        <v>7478.586714045292</v>
      </c>
      <c r="AT31" s="65">
        <f>IF(AT$16&lt;Assumptions!$D130,0,$C8*Assumptions!$F$130*'NOI Walk'!AT20/'NOI Walk'!$C$2*AT$11*$A8)</f>
        <v>7491.0510252353697</v>
      </c>
      <c r="AU31" s="65">
        <f>IF(AU$16&lt;Assumptions!$D130,0,$C8*Assumptions!$F$130*'NOI Walk'!AU20/'NOI Walk'!$C$2*AU$11*$A8)</f>
        <v>7503.5361102774305</v>
      </c>
      <c r="AV31" s="65">
        <f>IF(AV$16&lt;Assumptions!$D130,0,$C8*Assumptions!$F$130*'NOI Walk'!AV20/'NOI Walk'!$C$2*AV$11*$A8)</f>
        <v>7516.0420037945569</v>
      </c>
      <c r="AW31" s="65">
        <f>IF(AW$16&lt;Assumptions!$D130,0,$C8*Assumptions!$F$130*'NOI Walk'!AW20/'NOI Walk'!$C$2*AW$11*$A8)</f>
        <v>7528.56874046755</v>
      </c>
      <c r="AX31" s="65">
        <f>IF(AX$16&lt;Assumptions!$D130,0,$C8*Assumptions!$F$130*'NOI Walk'!AX20/'NOI Walk'!$C$2*AX$11*$A8)</f>
        <v>7541.1163550349966</v>
      </c>
      <c r="AY31" s="65">
        <f>IF(AY$16&lt;Assumptions!$D130,0,$C8*Assumptions!$F$130*'NOI Walk'!AY20/'NOI Walk'!$C$2*AY$11*$A8)</f>
        <v>7553.684882293388</v>
      </c>
      <c r="AZ31" s="65">
        <f>IF(AZ$16&lt;Assumptions!$D130,0,$C8*Assumptions!$F$130*'NOI Walk'!AZ20/'NOI Walk'!$C$2*AZ$11*$A8)</f>
        <v>7566.2743570972107</v>
      </c>
      <c r="BA31" s="65">
        <f>IF(BA$16&lt;Assumptions!$D130,0,$C8*Assumptions!$F$130*'NOI Walk'!BA20/'NOI Walk'!$C$2*BA$11*$A8)</f>
        <v>7578.8848143590394</v>
      </c>
      <c r="BB31" s="65">
        <f>IF(BB$16&lt;Assumptions!$D130,0,$C8*Assumptions!$F$130*'NOI Walk'!BB20/'NOI Walk'!$C$2*BB$11*$A8)</f>
        <v>7591.5162890496395</v>
      </c>
      <c r="BC31" s="65">
        <f>IF(BC$16&lt;Assumptions!$D130,0,$C8*Assumptions!$F$130*'NOI Walk'!BC20/'NOI Walk'!$C$2*BC$11*$A8)</f>
        <v>7604.1688161980564</v>
      </c>
      <c r="BD31" s="65">
        <f>IF(BD$16&lt;Assumptions!$D130,0,$C8*Assumptions!$F$130*'NOI Walk'!BD20/'NOI Walk'!$C$2*BD$11*$A8)</f>
        <v>7616.8424308917192</v>
      </c>
      <c r="BE31" s="65">
        <f>IF(BE$16&lt;Assumptions!$D130,0,$C8*Assumptions!$F$130*'NOI Walk'!BE20/'NOI Walk'!$C$2*BE$11*$A8)</f>
        <v>7629.5371682765399</v>
      </c>
      <c r="BF31" s="65">
        <f>IF(BF$16&lt;Assumptions!$D130,0,$C8*Assumptions!$F$130*'NOI Walk'!BF20/'NOI Walk'!$C$2*BF$11*$A8)</f>
        <v>7642.253063557001</v>
      </c>
      <c r="BG31" s="65">
        <f>IF(BG$16&lt;Assumptions!$D130,0,$C8*Assumptions!$F$130*'NOI Walk'!BG20/'NOI Walk'!$C$2*BG$11*$A8)</f>
        <v>7654.9901519962632</v>
      </c>
      <c r="BH31" s="65">
        <f>IF(BH$16&lt;Assumptions!$D130,0,$C8*Assumptions!$F$130*'NOI Walk'!BH20/'NOI Walk'!$C$2*BH$11*$A8)</f>
        <v>7667.7484689162575</v>
      </c>
      <c r="BI31" s="65">
        <f>IF(BI$16&lt;Assumptions!$D130,0,$C8*Assumptions!$F$130*'NOI Walk'!BI20/'NOI Walk'!$C$2*BI$11*$A8)</f>
        <v>7680.5280496977857</v>
      </c>
      <c r="BJ31" s="65">
        <f>IF(BJ$16&lt;Assumptions!$D130,0,$C8*Assumptions!$F$130*'NOI Walk'!BJ20/'NOI Walk'!$C$2*BJ$11*$A8)</f>
        <v>7693.328929780615</v>
      </c>
      <c r="BK31" s="65">
        <f>IF(BK$16&lt;Assumptions!$D130,0,$C8*Assumptions!$F$130*'NOI Walk'!BK20/'NOI Walk'!$C$2*BK$11*$A8)</f>
        <v>7706.1511446635841</v>
      </c>
      <c r="BL31" s="65">
        <f>IF(BL$16&lt;Assumptions!$D130,0,$C8*Assumptions!$F$130*'NOI Walk'!BL20/'NOI Walk'!$C$2*BL$11*$A8)</f>
        <v>7718.9947299046898</v>
      </c>
      <c r="BM31" s="65">
        <f>IF(BM$16&lt;Assumptions!$D130,0,$C8*Assumptions!$F$130*'NOI Walk'!BM20/'NOI Walk'!$C$2*BM$11*$A8)</f>
        <v>7731.8597211211982</v>
      </c>
      <c r="BN31" s="65">
        <f>IF(BN$16&lt;Assumptions!$D130,0,$C8*Assumptions!$F$130*'NOI Walk'!BN20/'NOI Walk'!$C$2*BN$11*$A8)</f>
        <v>7744.7461539897349</v>
      </c>
      <c r="BO31" s="65">
        <f>IF(BO$16&lt;Assumptions!$D130,0,$C8*Assumptions!$F$130*'NOI Walk'!BO20/'NOI Walk'!$C$2*BO$11*$A8)</f>
        <v>7757.6540642463833</v>
      </c>
      <c r="BP31" s="65">
        <f>IF(BP$16&lt;Assumptions!$D130,0,$C8*Assumptions!$F$130*'NOI Walk'!BP20/'NOI Walk'!$C$2*BP$11*$A8)</f>
        <v>7770.5834876867957</v>
      </c>
      <c r="BQ31" s="65">
        <f>IF(BQ$16&lt;Assumptions!$D130,0,$C8*Assumptions!$F$130*'NOI Walk'!BQ20/'NOI Walk'!$C$2*BQ$11*$A8)</f>
        <v>7783.5344601662737</v>
      </c>
      <c r="BR31" s="65">
        <f>IF(BR$16&lt;Assumptions!$D130,0,$C8*Assumptions!$F$130*'NOI Walk'!BR20/'NOI Walk'!$C$2*BR$11*$A8)</f>
        <v>7796.5070175998853</v>
      </c>
      <c r="BS31" s="65">
        <f>IF(BS$16&lt;Assumptions!$D130,0,$C8*Assumptions!$F$130*'NOI Walk'!BS20/'NOI Walk'!$C$2*BS$11*$A8)</f>
        <v>7809.5011959625526</v>
      </c>
      <c r="BT31" s="65">
        <f>IF(BT$16&lt;Assumptions!$D130,0,$C8*Assumptions!$F$130*'NOI Walk'!BT20/'NOI Walk'!$C$2*BT$11*$A8)</f>
        <v>7822.5170312891569</v>
      </c>
      <c r="BU31" s="65">
        <f>IF(BU$16&lt;Assumptions!$D130,0,$C8*Assumptions!$F$130*'NOI Walk'!BU20/'NOI Walk'!$C$2*BU$11*$A8)</f>
        <v>7835.5545596746397</v>
      </c>
      <c r="BV31" s="65">
        <f>IF(BV$16&lt;Assumptions!$D130,0,$C8*Assumptions!$F$130*'NOI Walk'!BV20/'NOI Walk'!$C$2*BV$11*$A8)</f>
        <v>7848.6138172740984</v>
      </c>
      <c r="BW31" s="65">
        <f>IF(BW$16&lt;Assumptions!$D130,0,$C8*Assumptions!$F$130*'NOI Walk'!BW20/'NOI Walk'!$C$2*BW$11*$A8)</f>
        <v>7861.6948403028882</v>
      </c>
      <c r="BX31" s="65">
        <f>IF(BX$16&lt;Assumptions!$D130,0,$C8*Assumptions!$F$130*'NOI Walk'!BX20/'NOI Walk'!$C$2*BX$11*$A8)</f>
        <v>7874.7976650367264</v>
      </c>
      <c r="BY31" s="65">
        <f>IF(BY$16&lt;Assumptions!$D130,0,$C8*Assumptions!$F$130*'NOI Walk'!BY20/'NOI Walk'!$C$2*BY$11*$A8)</f>
        <v>7887.9223278117879</v>
      </c>
      <c r="BZ31" s="65">
        <f>IF(BZ$16&lt;Assumptions!$D130,0,$C8*Assumptions!$F$130*'NOI Walk'!BZ20/'NOI Walk'!$C$2*BZ$11*$A8)</f>
        <v>7901.0688650248076</v>
      </c>
      <c r="CA31" s="65">
        <f>IF(CA$16&lt;Assumptions!$D130,0,$C8*Assumptions!$F$130*'NOI Walk'!CA20/'NOI Walk'!$C$2*CA$11*$A8)</f>
        <v>7914.2373131331851</v>
      </c>
      <c r="CB31" s="65">
        <f>IF(CB$16&lt;Assumptions!$D130,0,$C8*Assumptions!$F$130*'NOI Walk'!CB20/'NOI Walk'!$C$2*CB$11*$A8)</f>
        <v>7927.4277086550719</v>
      </c>
      <c r="CC31" s="65">
        <f>IF(CC$16&lt;Assumptions!$D130,0,$C8*Assumptions!$F$130*'NOI Walk'!CC20/'NOI Walk'!$C$2*CC$11*$A8)</f>
        <v>7940.640088169499</v>
      </c>
      <c r="CD31" s="65">
        <f>IF(CD$16&lt;Assumptions!$D130,0,$C8*Assumptions!$F$130*'NOI Walk'!CD20/'NOI Walk'!$C$2*CD$11*$A8)</f>
        <v>7953.8744883164482</v>
      </c>
      <c r="CE31" s="65">
        <f>IF(CE$16&lt;Assumptions!$D130,0,$C8*Assumptions!$F$130*'NOI Walk'!CE20/'NOI Walk'!$C$2*CE$11*$A8)</f>
        <v>7967.1309457969755</v>
      </c>
      <c r="CF31" s="65">
        <f>IF(CF$16&lt;Assumptions!$D130,0,$C8*Assumptions!$F$130*'NOI Walk'!CF20/'NOI Walk'!$C$2*CF$11*$A8)</f>
        <v>7980.4094973733063</v>
      </c>
      <c r="CG31" s="65">
        <f>IF(CG$16&lt;Assumptions!$D130,0,$C8*Assumptions!$F$130*'NOI Walk'!CG20/'NOI Walk'!$C$2*CG$11*$A8)</f>
        <v>7993.7101798689282</v>
      </c>
      <c r="CH31" s="65">
        <f>IF(CH$16&lt;Assumptions!$D130,0,$C8*Assumptions!$F$130*'NOI Walk'!CH20/'NOI Walk'!$C$2*CH$11*$A8)</f>
        <v>8007.033030168709</v>
      </c>
      <c r="CI31" s="65">
        <f>IF(CI$16&lt;Assumptions!$D130,0,$C8*Assumptions!$F$130*'NOI Walk'!CI20/'NOI Walk'!$C$2*CI$11*$A8)</f>
        <v>8020.3780852189921</v>
      </c>
      <c r="CJ31" s="65">
        <f>IF(CJ$16&lt;Assumptions!$D130,0,$C8*Assumptions!$F$130*'NOI Walk'!CJ20/'NOI Walk'!$C$2*CJ$11*$A8)</f>
        <v>8033.7453820276896</v>
      </c>
      <c r="CK31" s="65">
        <f>IF(CK$16&lt;Assumptions!$D130,0,$C8*Assumptions!$F$130*'NOI Walk'!CK20/'NOI Walk'!$C$2*CK$11*$A8)</f>
        <v>8047.1349576644034</v>
      </c>
      <c r="CL31" s="65">
        <f>IF(CL$16&lt;Assumptions!$D130,0,$C8*Assumptions!$F$130*'NOI Walk'!CL20/'NOI Walk'!$C$2*CL$11*$A8)</f>
        <v>8060.5468492605123</v>
      </c>
      <c r="CM31" s="65">
        <f>IF(CM$16&lt;Assumptions!$D130,0,$C8*Assumptions!$F$130*'NOI Walk'!CM20/'NOI Walk'!$C$2*CM$11*$A8)</f>
        <v>8073.9810940092802</v>
      </c>
      <c r="CN31" s="65">
        <f>IF(CN$16&lt;Assumptions!$D130,0,$C8*Assumptions!$F$130*'NOI Walk'!CN20/'NOI Walk'!$C$2*CN$11*$A8)</f>
        <v>8087.4377291659639</v>
      </c>
      <c r="CO31" s="65">
        <f>IF(CO$16&lt;Assumptions!$D130,0,$C8*Assumptions!$F$130*'NOI Walk'!CO20/'NOI Walk'!$C$2*CO$11*$A8)</f>
        <v>8100.9167920479058</v>
      </c>
      <c r="CP31" s="65">
        <f>IF(CP$16&lt;Assumptions!$D130,0,$C8*Assumptions!$F$130*'NOI Walk'!CP20/'NOI Walk'!$C$2*CP$11*$A8)</f>
        <v>8114.4183200346552</v>
      </c>
      <c r="CQ31" s="65">
        <f>IF(CQ$16&lt;Assumptions!$D130,0,$C8*Assumptions!$F$130*'NOI Walk'!CQ20/'NOI Walk'!$C$2*CQ$11*$A8)</f>
        <v>8127.942350568047</v>
      </c>
      <c r="CR31" s="65">
        <f>IF(CR$16&lt;Assumptions!$D130,0,$C8*Assumptions!$F$130*'NOI Walk'!CR20/'NOI Walk'!$C$2*CR$11*$A8)</f>
        <v>8141.488921152325</v>
      </c>
      <c r="CS31" s="65">
        <f>IF(CS$16&lt;Assumptions!$D130,0,$C8*Assumptions!$F$130*'NOI Walk'!CS20/'NOI Walk'!$C$2*CS$11*$A8)</f>
        <v>8155.0580693542461</v>
      </c>
      <c r="CT31" s="65">
        <f>IF(CT$16&lt;Assumptions!$D130,0,$C8*Assumptions!$F$130*'NOI Walk'!CT20/'NOI Walk'!$C$2*CT$11*$A8)</f>
        <v>8168.6498328031712</v>
      </c>
      <c r="CU31" s="65">
        <f>IF(CU$16&lt;Assumptions!$D130,0,$C8*Assumptions!$F$130*'NOI Walk'!CU20/'NOI Walk'!$C$2*CU$11*$A8)</f>
        <v>8182.2642491911774</v>
      </c>
      <c r="CV31" s="65">
        <f>IF(CV$16&lt;Assumptions!$D130,0,$C8*Assumptions!$F$130*'NOI Walk'!CV20/'NOI Walk'!$C$2*CV$11*$A8)</f>
        <v>8195.9013562731634</v>
      </c>
      <c r="CW31" s="65">
        <f>IF(CW$16&lt;Assumptions!$D130,0,$C8*Assumptions!$F$130*'NOI Walk'!CW20/'NOI Walk'!$C$2*CW$11*$A8)</f>
        <v>8209.561191866951</v>
      </c>
      <c r="CX31" s="65">
        <f>IF(CX$16&lt;Assumptions!$D130,0,$C8*Assumptions!$F$130*'NOI Walk'!CX20/'NOI Walk'!$C$2*CX$11*$A8)</f>
        <v>8223.2437938533967</v>
      </c>
      <c r="CY31" s="65">
        <f>IF(CY$16&lt;Assumptions!$D130,0,$C8*Assumptions!$F$130*'NOI Walk'!CY20/'NOI Walk'!$C$2*CY$11*$A8)</f>
        <v>8236.9492001764884</v>
      </c>
      <c r="CZ31" s="65">
        <f>IF(CZ$16&lt;Assumptions!$D130,0,$C8*Assumptions!$F$130*'NOI Walk'!CZ20/'NOI Walk'!$C$2*CZ$11*$A8)</f>
        <v>8250.6774488434512</v>
      </c>
      <c r="DA31" s="65">
        <f>IF(DA$16&lt;Assumptions!$D130,0,$C8*Assumptions!$F$130*'NOI Walk'!DA20/'NOI Walk'!$C$2*DA$11*$A8)</f>
        <v>8264.4285779248548</v>
      </c>
      <c r="DB31" s="65">
        <f>IF(DB$16&lt;Assumptions!$D130,0,$C8*Assumptions!$F$130*'NOI Walk'!DB20/'NOI Walk'!$C$2*DB$11*$A8)</f>
        <v>8278.2026255547316</v>
      </c>
      <c r="DC31" s="65">
        <f>IF(DC$16&lt;Assumptions!$D130,0,$C8*Assumptions!$F$130*'NOI Walk'!DC20/'NOI Walk'!$C$2*DC$11*$A8)</f>
        <v>8291.9996299306567</v>
      </c>
      <c r="DD31" s="65">
        <f>IF(DD$16&lt;Assumptions!$D130,0,$C8*Assumptions!$F$130*'NOI Walk'!DD20/'NOI Walk'!$C$2*DD$11*$A8)</f>
        <v>8305.8196293138735</v>
      </c>
      <c r="DE31" s="65">
        <f>IF(DE$16&lt;Assumptions!$D130,0,$C8*Assumptions!$F$130*'NOI Walk'!DE20/'NOI Walk'!$C$2*DE$11*$A8)</f>
        <v>8319.6626620293973</v>
      </c>
      <c r="DF31" s="65">
        <f>IF(DF$16&lt;Assumptions!$D130,0,$C8*Assumptions!$F$130*'NOI Walk'!DF20/'NOI Walk'!$C$2*DF$11*$A8)</f>
        <v>8333.5287664661137</v>
      </c>
      <c r="DG31" s="65">
        <f>IF(DG$16&lt;Assumptions!$D130,0,$C8*Assumptions!$F$130*'NOI Walk'!DG20/'NOI Walk'!$C$2*DG$11*$A8)</f>
        <v>8347.4179810768928</v>
      </c>
      <c r="DH31" s="65">
        <f>IF(DH$16&lt;Assumptions!$D130,0,$C8*Assumptions!$F$130*'NOI Walk'!DH20/'NOI Walk'!$C$2*DH$11*$A8)</f>
        <v>8361.3303443786863</v>
      </c>
      <c r="DI31" s="65">
        <f>IF(DI$16&lt;Assumptions!$D130,0,$C8*Assumptions!$F$130*'NOI Walk'!DI20/'NOI Walk'!$C$2*DI$11*$A8)</f>
        <v>8375.2658949526503</v>
      </c>
      <c r="DJ31" s="65">
        <f>IF(DJ$16&lt;Assumptions!$D130,0,$C8*Assumptions!$F$130*'NOI Walk'!DJ20/'NOI Walk'!$C$2*DJ$11*$A8)</f>
        <v>8389.224671444239</v>
      </c>
      <c r="DK31" s="65">
        <f>IF(DK$16&lt;Assumptions!$D130,0,$C8*Assumptions!$F$130*'NOI Walk'!DK20/'NOI Walk'!$C$2*DK$11*$A8)</f>
        <v>8403.206712563313</v>
      </c>
      <c r="DL31" s="65">
        <f>IF(DL$16&lt;Assumptions!$D130,0,$C8*Assumptions!$F$130*'NOI Walk'!DL20/'NOI Walk'!$C$2*DL$11*$A8)</f>
        <v>8417.2120570842544</v>
      </c>
      <c r="DM31" s="65">
        <f>IF(DM$16&lt;Assumptions!$D130,0,$C8*Assumptions!$F$130*'NOI Walk'!DM20/'NOI Walk'!$C$2*DM$11*$A8)</f>
        <v>8431.2407438460614</v>
      </c>
      <c r="DN31" s="65">
        <f>IF(DN$16&lt;Assumptions!$D130,0,$C8*Assumptions!$F$130*'NOI Walk'!DN20/'NOI Walk'!$C$2*DN$11*$A8)</f>
        <v>8445.2928117524734</v>
      </c>
      <c r="DO31" s="65">
        <f>IF(DO$16&lt;Assumptions!$D130,0,$C8*Assumptions!$F$130*'NOI Walk'!DO20/'NOI Walk'!$C$2*DO$11*$A8)</f>
        <v>8459.3682997720625</v>
      </c>
      <c r="DP31" s="65">
        <f>IF(DP$16&lt;Assumptions!$D130,0,$C8*Assumptions!$F$130*'NOI Walk'!DP20/'NOI Walk'!$C$2*DP$11*$A8)</f>
        <v>8473.4672469383495</v>
      </c>
      <c r="DQ31" s="65">
        <f>IF(DQ$16&lt;Assumptions!$D130,0,$C8*Assumptions!$F$130*'NOI Walk'!DQ20/'NOI Walk'!$C$2*DQ$11*$A8)</f>
        <v>8487.5896923499113</v>
      </c>
      <c r="DR31" s="65">
        <f>IF(DR$16&lt;Assumptions!$D130,0,$C8*Assumptions!$F$130*'NOI Walk'!DR20/'NOI Walk'!$C$2*DR$11*$A8)</f>
        <v>8501.7356751704956</v>
      </c>
      <c r="DS31" s="65">
        <f>IF(DS$16&lt;Assumptions!$D130,0,$C8*Assumptions!$F$130*'NOI Walk'!DS20/'NOI Walk'!$C$2*DS$11*$A8)</f>
        <v>8515.9052346291137</v>
      </c>
      <c r="DT31" s="65">
        <f>IF(DT$16&lt;Assumptions!$D130,0,$C8*Assumptions!$F$130*'NOI Walk'!DT20/'NOI Walk'!$C$2*DT$11*$A8)</f>
        <v>8530.098410020164</v>
      </c>
      <c r="DU31" s="65">
        <f>IF(DU$16&lt;Assumptions!$D130,0,$C8*Assumptions!$F$130*'NOI Walk'!DU20/'NOI Walk'!$C$2*DU$11*$A8)</f>
        <v>8544.3152407035304</v>
      </c>
      <c r="DV31" s="65">
        <f>IF(DV$16&lt;Assumptions!$D130,0,$C8*Assumptions!$F$130*'NOI Walk'!DV20/'NOI Walk'!$C$2*DV$11*$A8)</f>
        <v>8558.5557661047042</v>
      </c>
      <c r="DW31" s="65">
        <f>IF(DW$16&lt;Assumptions!$D130,0,$C8*Assumptions!$F$130*'NOI Walk'!DW20/'NOI Walk'!$C$2*DW$11*$A8)</f>
        <v>8572.8200257148801</v>
      </c>
      <c r="DX31" s="65">
        <f>IF(DX$16&lt;Assumptions!$D130,0,$C8*Assumptions!$F$130*'NOI Walk'!DX20/'NOI Walk'!$C$2*DX$11*$A8)</f>
        <v>8587.1080590910715</v>
      </c>
      <c r="DY31" s="65">
        <f>IF(DY$16&lt;Assumptions!$D130,0,$C8*Assumptions!$F$130*'NOI Walk'!DY20/'NOI Walk'!$C$2*DY$11*$A8)</f>
        <v>8601.4199058562244</v>
      </c>
      <c r="DZ31" s="65">
        <f>IF(DZ$16&lt;Assumptions!$D130,0,$C8*Assumptions!$F$130*'NOI Walk'!DZ20/'NOI Walk'!$C$2*DZ$11*$A8)</f>
        <v>8615.755605699318</v>
      </c>
      <c r="EA31" s="65">
        <f>IF(EA$16&lt;Assumptions!$D130,0,$C8*Assumptions!$F$130*'NOI Walk'!EA20/'NOI Walk'!$C$2*EA$11*$A8)</f>
        <v>8630.1151983754826</v>
      </c>
      <c r="EB31" s="65">
        <f>IF(EB$16&lt;Assumptions!$D130,0,$C8*Assumptions!$F$130*'NOI Walk'!EB20/'NOI Walk'!$C$2*EB$11*$A8)</f>
        <v>8644.4987237061105</v>
      </c>
      <c r="EC31" s="65">
        <f>IF(EC$16&lt;Assumptions!$D130,0,$C8*Assumptions!$F$130*'NOI Walk'!EC20/'NOI Walk'!$C$2*EC$11*$A8)</f>
        <v>8658.9062215789527</v>
      </c>
      <c r="ED31" s="65">
        <f>IF(ED$16&lt;Assumptions!$D130,0,$C8*Assumptions!$F$130*'NOI Walk'!ED20/'NOI Walk'!$C$2*ED$11*$A8)</f>
        <v>8673.3377319482552</v>
      </c>
      <c r="EE31" s="65">
        <f>IF(EE$16&lt;Assumptions!$D130,0,$C8*Assumptions!$F$130*'NOI Walk'!EE20/'NOI Walk'!$C$2*EE$11*$A8)</f>
        <v>8687.7932948348353</v>
      </c>
      <c r="EF31" s="65">
        <f>IF(EF$16&lt;Assumptions!$D130,0,$C8*Assumptions!$F$130*'NOI Walk'!EF20/'NOI Walk'!$C$2*EF$11*$A8)</f>
        <v>8702.2729503262271</v>
      </c>
      <c r="EG31" s="65">
        <f>IF(EG$16&lt;Assumptions!$D130,0,$C8*Assumptions!$F$130*'NOI Walk'!EG20/'NOI Walk'!$C$2*EG$11*$A8)</f>
        <v>8716.7767385767693</v>
      </c>
      <c r="EH31" s="65">
        <f>IF(EH$16&lt;Assumptions!$D130,0,$C8*Assumptions!$F$130*'NOI Walk'!EH20/'NOI Walk'!$C$2*EH$11*$A8)</f>
        <v>8731.3046998077334</v>
      </c>
      <c r="EI31" s="65">
        <f>IF(EI$16&lt;Assumptions!$D130,0,$C8*Assumptions!$F$130*'NOI Walk'!EI20/'NOI Walk'!$C$2*EI$11*$A8)</f>
        <v>8745.8568743074138</v>
      </c>
    </row>
    <row r="32" spans="2:139" x14ac:dyDescent="0.45">
      <c r="B32" s="58" t="s">
        <v>305</v>
      </c>
      <c r="H32" s="65">
        <f t="shared" ref="H32" si="186">-IF(H16&lt;$K$5,0,(H24*$O$3))</f>
        <v>0</v>
      </c>
      <c r="I32" s="65">
        <f t="shared" ref="I32:BT32" si="187">-IF(I16&lt;$K$5,0,(I24*$O$3))</f>
        <v>0</v>
      </c>
      <c r="J32" s="65">
        <f t="shared" si="187"/>
        <v>0</v>
      </c>
      <c r="K32" s="65">
        <f t="shared" si="187"/>
        <v>0</v>
      </c>
      <c r="L32" s="65">
        <f t="shared" si="187"/>
        <v>0</v>
      </c>
      <c r="M32" s="65">
        <f t="shared" si="187"/>
        <v>0</v>
      </c>
      <c r="N32" s="65">
        <f t="shared" si="187"/>
        <v>0</v>
      </c>
      <c r="O32" s="65">
        <f t="shared" si="187"/>
        <v>0</v>
      </c>
      <c r="P32" s="65">
        <f t="shared" si="187"/>
        <v>0</v>
      </c>
      <c r="Q32" s="65">
        <f t="shared" si="187"/>
        <v>0</v>
      </c>
      <c r="R32" s="65">
        <f t="shared" si="187"/>
        <v>0</v>
      </c>
      <c r="S32" s="65">
        <f t="shared" si="187"/>
        <v>0</v>
      </c>
      <c r="T32" s="65">
        <f t="shared" si="187"/>
        <v>0</v>
      </c>
      <c r="U32" s="65">
        <f t="shared" si="187"/>
        <v>0</v>
      </c>
      <c r="V32" s="65">
        <f t="shared" si="187"/>
        <v>0</v>
      </c>
      <c r="W32" s="65">
        <f t="shared" si="187"/>
        <v>0</v>
      </c>
      <c r="X32" s="65">
        <f t="shared" si="187"/>
        <v>0</v>
      </c>
      <c r="Y32" s="65">
        <f t="shared" si="187"/>
        <v>0</v>
      </c>
      <c r="Z32" s="65">
        <f t="shared" si="187"/>
        <v>0</v>
      </c>
      <c r="AA32" s="65">
        <f t="shared" si="187"/>
        <v>0</v>
      </c>
      <c r="AB32" s="65">
        <f t="shared" si="187"/>
        <v>0</v>
      </c>
      <c r="AC32" s="65">
        <f t="shared" si="187"/>
        <v>0</v>
      </c>
      <c r="AD32" s="65">
        <f t="shared" si="187"/>
        <v>0</v>
      </c>
      <c r="AE32" s="65">
        <f t="shared" si="187"/>
        <v>0</v>
      </c>
      <c r="AF32" s="65">
        <f t="shared" si="187"/>
        <v>0</v>
      </c>
      <c r="AG32" s="65">
        <f t="shared" si="187"/>
        <v>0</v>
      </c>
      <c r="AH32" s="65">
        <f t="shared" si="187"/>
        <v>0</v>
      </c>
      <c r="AI32" s="65">
        <f t="shared" si="187"/>
        <v>0</v>
      </c>
      <c r="AJ32" s="65">
        <f t="shared" si="187"/>
        <v>0</v>
      </c>
      <c r="AK32" s="65">
        <f t="shared" si="187"/>
        <v>0</v>
      </c>
      <c r="AL32" s="65">
        <f t="shared" si="187"/>
        <v>0</v>
      </c>
      <c r="AM32" s="65">
        <f t="shared" si="187"/>
        <v>0</v>
      </c>
      <c r="AN32" s="65">
        <f t="shared" si="187"/>
        <v>0</v>
      </c>
      <c r="AO32" s="65">
        <f t="shared" si="187"/>
        <v>0</v>
      </c>
      <c r="AP32" s="65">
        <f t="shared" si="187"/>
        <v>0</v>
      </c>
      <c r="AQ32" s="65">
        <f t="shared" si="187"/>
        <v>0</v>
      </c>
      <c r="AR32" s="65">
        <f t="shared" si="187"/>
        <v>0</v>
      </c>
      <c r="AS32" s="65">
        <f t="shared" si="187"/>
        <v>0</v>
      </c>
      <c r="AT32" s="65">
        <f t="shared" si="187"/>
        <v>0</v>
      </c>
      <c r="AU32" s="65">
        <f t="shared" si="187"/>
        <v>0</v>
      </c>
      <c r="AV32" s="65">
        <f t="shared" si="187"/>
        <v>0</v>
      </c>
      <c r="AW32" s="65">
        <f t="shared" si="187"/>
        <v>0</v>
      </c>
      <c r="AX32" s="65">
        <f t="shared" si="187"/>
        <v>0</v>
      </c>
      <c r="AY32" s="65">
        <f t="shared" si="187"/>
        <v>0</v>
      </c>
      <c r="AZ32" s="65">
        <f t="shared" si="187"/>
        <v>0</v>
      </c>
      <c r="BA32" s="65">
        <f t="shared" si="187"/>
        <v>0</v>
      </c>
      <c r="BB32" s="65">
        <f t="shared" si="187"/>
        <v>0</v>
      </c>
      <c r="BC32" s="65">
        <f t="shared" si="187"/>
        <v>0</v>
      </c>
      <c r="BD32" s="65">
        <f t="shared" si="187"/>
        <v>0</v>
      </c>
      <c r="BE32" s="65">
        <f t="shared" si="187"/>
        <v>0</v>
      </c>
      <c r="BF32" s="65">
        <f t="shared" si="187"/>
        <v>0</v>
      </c>
      <c r="BG32" s="65">
        <f t="shared" si="187"/>
        <v>0</v>
      </c>
      <c r="BH32" s="65">
        <f t="shared" si="187"/>
        <v>0</v>
      </c>
      <c r="BI32" s="65">
        <f t="shared" si="187"/>
        <v>0</v>
      </c>
      <c r="BJ32" s="65">
        <f t="shared" si="187"/>
        <v>0</v>
      </c>
      <c r="BK32" s="65">
        <f t="shared" si="187"/>
        <v>0</v>
      </c>
      <c r="BL32" s="65">
        <f t="shared" si="187"/>
        <v>0</v>
      </c>
      <c r="BM32" s="65">
        <f t="shared" si="187"/>
        <v>0</v>
      </c>
      <c r="BN32" s="65">
        <f t="shared" si="187"/>
        <v>0</v>
      </c>
      <c r="BO32" s="65">
        <f t="shared" si="187"/>
        <v>0</v>
      </c>
      <c r="BP32" s="65">
        <f t="shared" si="187"/>
        <v>0</v>
      </c>
      <c r="BQ32" s="65">
        <f t="shared" si="187"/>
        <v>0</v>
      </c>
      <c r="BR32" s="65">
        <f t="shared" si="187"/>
        <v>0</v>
      </c>
      <c r="BS32" s="65">
        <f t="shared" si="187"/>
        <v>0</v>
      </c>
      <c r="BT32" s="65">
        <f t="shared" si="187"/>
        <v>0</v>
      </c>
      <c r="BU32" s="65">
        <f t="shared" ref="BU32:EF32" si="188">-IF(BU16&lt;$K$5,0,(BU24*$O$3))</f>
        <v>0</v>
      </c>
      <c r="BV32" s="65">
        <f t="shared" si="188"/>
        <v>0</v>
      </c>
      <c r="BW32" s="65">
        <f t="shared" si="188"/>
        <v>0</v>
      </c>
      <c r="BX32" s="65">
        <f t="shared" si="188"/>
        <v>0</v>
      </c>
      <c r="BY32" s="65">
        <f t="shared" si="188"/>
        <v>0</v>
      </c>
      <c r="BZ32" s="65">
        <f t="shared" si="188"/>
        <v>0</v>
      </c>
      <c r="CA32" s="65">
        <f t="shared" si="188"/>
        <v>0</v>
      </c>
      <c r="CB32" s="65">
        <f t="shared" si="188"/>
        <v>0</v>
      </c>
      <c r="CC32" s="65">
        <f t="shared" si="188"/>
        <v>0</v>
      </c>
      <c r="CD32" s="65">
        <f t="shared" si="188"/>
        <v>0</v>
      </c>
      <c r="CE32" s="65">
        <f t="shared" si="188"/>
        <v>0</v>
      </c>
      <c r="CF32" s="65">
        <f t="shared" si="188"/>
        <v>0</v>
      </c>
      <c r="CG32" s="65">
        <f t="shared" si="188"/>
        <v>0</v>
      </c>
      <c r="CH32" s="65">
        <f t="shared" si="188"/>
        <v>0</v>
      </c>
      <c r="CI32" s="65">
        <f t="shared" si="188"/>
        <v>0</v>
      </c>
      <c r="CJ32" s="65">
        <f t="shared" si="188"/>
        <v>0</v>
      </c>
      <c r="CK32" s="65">
        <f t="shared" si="188"/>
        <v>0</v>
      </c>
      <c r="CL32" s="65">
        <f t="shared" si="188"/>
        <v>0</v>
      </c>
      <c r="CM32" s="65">
        <f t="shared" si="188"/>
        <v>0</v>
      </c>
      <c r="CN32" s="65">
        <f t="shared" si="188"/>
        <v>0</v>
      </c>
      <c r="CO32" s="65">
        <f t="shared" si="188"/>
        <v>0</v>
      </c>
      <c r="CP32" s="65">
        <f t="shared" si="188"/>
        <v>0</v>
      </c>
      <c r="CQ32" s="65">
        <f t="shared" si="188"/>
        <v>0</v>
      </c>
      <c r="CR32" s="65">
        <f t="shared" si="188"/>
        <v>0</v>
      </c>
      <c r="CS32" s="65">
        <f t="shared" si="188"/>
        <v>0</v>
      </c>
      <c r="CT32" s="65">
        <f t="shared" si="188"/>
        <v>0</v>
      </c>
      <c r="CU32" s="65">
        <f t="shared" si="188"/>
        <v>0</v>
      </c>
      <c r="CV32" s="65">
        <f t="shared" si="188"/>
        <v>0</v>
      </c>
      <c r="CW32" s="65">
        <f t="shared" si="188"/>
        <v>0</v>
      </c>
      <c r="CX32" s="65">
        <f t="shared" si="188"/>
        <v>0</v>
      </c>
      <c r="CY32" s="65">
        <f t="shared" si="188"/>
        <v>0</v>
      </c>
      <c r="CZ32" s="65">
        <f t="shared" si="188"/>
        <v>0</v>
      </c>
      <c r="DA32" s="65">
        <f t="shared" si="188"/>
        <v>0</v>
      </c>
      <c r="DB32" s="65">
        <f t="shared" si="188"/>
        <v>0</v>
      </c>
      <c r="DC32" s="65">
        <f t="shared" si="188"/>
        <v>0</v>
      </c>
      <c r="DD32" s="65">
        <f t="shared" si="188"/>
        <v>0</v>
      </c>
      <c r="DE32" s="65">
        <f t="shared" si="188"/>
        <v>0</v>
      </c>
      <c r="DF32" s="65">
        <f t="shared" si="188"/>
        <v>0</v>
      </c>
      <c r="DG32" s="65">
        <f t="shared" si="188"/>
        <v>0</v>
      </c>
      <c r="DH32" s="65">
        <f t="shared" si="188"/>
        <v>0</v>
      </c>
      <c r="DI32" s="65">
        <f t="shared" si="188"/>
        <v>0</v>
      </c>
      <c r="DJ32" s="65">
        <f t="shared" si="188"/>
        <v>0</v>
      </c>
      <c r="DK32" s="65">
        <f t="shared" si="188"/>
        <v>0</v>
      </c>
      <c r="DL32" s="65">
        <f t="shared" si="188"/>
        <v>0</v>
      </c>
      <c r="DM32" s="65">
        <f t="shared" si="188"/>
        <v>0</v>
      </c>
      <c r="DN32" s="65">
        <f t="shared" si="188"/>
        <v>0</v>
      </c>
      <c r="DO32" s="65">
        <f t="shared" si="188"/>
        <v>0</v>
      </c>
      <c r="DP32" s="65">
        <f t="shared" si="188"/>
        <v>0</v>
      </c>
      <c r="DQ32" s="65">
        <f t="shared" si="188"/>
        <v>0</v>
      </c>
      <c r="DR32" s="65">
        <f t="shared" si="188"/>
        <v>0</v>
      </c>
      <c r="DS32" s="65">
        <f t="shared" si="188"/>
        <v>0</v>
      </c>
      <c r="DT32" s="65">
        <f t="shared" si="188"/>
        <v>0</v>
      </c>
      <c r="DU32" s="65">
        <f t="shared" si="188"/>
        <v>0</v>
      </c>
      <c r="DV32" s="65">
        <f t="shared" si="188"/>
        <v>0</v>
      </c>
      <c r="DW32" s="65">
        <f t="shared" si="188"/>
        <v>0</v>
      </c>
      <c r="DX32" s="65">
        <f t="shared" si="188"/>
        <v>0</v>
      </c>
      <c r="DY32" s="65">
        <f t="shared" si="188"/>
        <v>0</v>
      </c>
      <c r="DZ32" s="65">
        <f t="shared" si="188"/>
        <v>0</v>
      </c>
      <c r="EA32" s="65">
        <f t="shared" si="188"/>
        <v>0</v>
      </c>
      <c r="EB32" s="65">
        <f t="shared" si="188"/>
        <v>0</v>
      </c>
      <c r="EC32" s="65">
        <f t="shared" si="188"/>
        <v>0</v>
      </c>
      <c r="ED32" s="65">
        <f t="shared" si="188"/>
        <v>0</v>
      </c>
      <c r="EE32" s="65">
        <f t="shared" si="188"/>
        <v>0</v>
      </c>
      <c r="EF32" s="65">
        <f t="shared" si="188"/>
        <v>0</v>
      </c>
      <c r="EG32" s="65">
        <f t="shared" ref="EG32:EI32" si="189">-IF(EG16&lt;$K$5,0,(EG24*$O$3))</f>
        <v>0</v>
      </c>
      <c r="EH32" s="65">
        <f t="shared" si="189"/>
        <v>0</v>
      </c>
      <c r="EI32" s="65">
        <f t="shared" si="189"/>
        <v>0</v>
      </c>
    </row>
    <row r="33" spans="2:139" x14ac:dyDescent="0.45">
      <c r="B33" s="58" t="s">
        <v>61</v>
      </c>
      <c r="H33" s="65">
        <f t="shared" ref="H33" si="190">-$K$6*SUM(H22,H26)</f>
        <v>0</v>
      </c>
      <c r="I33" s="65">
        <f t="shared" ref="I33:BT33" si="191">-$K$6*SUM(I22,I26)</f>
        <v>0</v>
      </c>
      <c r="J33" s="65">
        <f t="shared" si="191"/>
        <v>0</v>
      </c>
      <c r="K33" s="65">
        <f t="shared" si="191"/>
        <v>0</v>
      </c>
      <c r="L33" s="65">
        <f t="shared" si="191"/>
        <v>0</v>
      </c>
      <c r="M33" s="65">
        <f t="shared" si="191"/>
        <v>0</v>
      </c>
      <c r="N33" s="65">
        <f t="shared" si="191"/>
        <v>0</v>
      </c>
      <c r="O33" s="65">
        <f t="shared" si="191"/>
        <v>0</v>
      </c>
      <c r="P33" s="65">
        <f t="shared" si="191"/>
        <v>0</v>
      </c>
      <c r="Q33" s="65">
        <f t="shared" si="191"/>
        <v>0</v>
      </c>
      <c r="R33" s="65">
        <f t="shared" si="191"/>
        <v>0</v>
      </c>
      <c r="S33" s="65">
        <f t="shared" si="191"/>
        <v>0</v>
      </c>
      <c r="T33" s="65">
        <f t="shared" si="191"/>
        <v>0</v>
      </c>
      <c r="U33" s="65">
        <f t="shared" si="191"/>
        <v>0</v>
      </c>
      <c r="V33" s="65">
        <f t="shared" si="191"/>
        <v>0</v>
      </c>
      <c r="W33" s="65">
        <f t="shared" si="191"/>
        <v>0</v>
      </c>
      <c r="X33" s="65">
        <f t="shared" si="191"/>
        <v>0</v>
      </c>
      <c r="Y33" s="65">
        <f t="shared" si="191"/>
        <v>0</v>
      </c>
      <c r="Z33" s="65">
        <f t="shared" si="191"/>
        <v>0</v>
      </c>
      <c r="AA33" s="65">
        <f t="shared" si="191"/>
        <v>0</v>
      </c>
      <c r="AB33" s="65">
        <f t="shared" si="191"/>
        <v>0</v>
      </c>
      <c r="AC33" s="65">
        <f t="shared" si="191"/>
        <v>0</v>
      </c>
      <c r="AD33" s="65">
        <f t="shared" si="191"/>
        <v>0</v>
      </c>
      <c r="AE33" s="65">
        <f t="shared" si="191"/>
        <v>0</v>
      </c>
      <c r="AF33" s="65">
        <f t="shared" si="191"/>
        <v>0</v>
      </c>
      <c r="AG33" s="65">
        <f t="shared" si="191"/>
        <v>0</v>
      </c>
      <c r="AH33" s="65">
        <f t="shared" si="191"/>
        <v>0</v>
      </c>
      <c r="AI33" s="65">
        <f t="shared" si="191"/>
        <v>0</v>
      </c>
      <c r="AJ33" s="65">
        <f t="shared" si="191"/>
        <v>0</v>
      </c>
      <c r="AK33" s="65">
        <f t="shared" si="191"/>
        <v>0</v>
      </c>
      <c r="AL33" s="65">
        <f t="shared" si="191"/>
        <v>0</v>
      </c>
      <c r="AM33" s="65">
        <f t="shared" si="191"/>
        <v>0</v>
      </c>
      <c r="AN33" s="65">
        <f t="shared" si="191"/>
        <v>0</v>
      </c>
      <c r="AO33" s="65">
        <f t="shared" si="191"/>
        <v>0</v>
      </c>
      <c r="AP33" s="65">
        <f t="shared" si="191"/>
        <v>0</v>
      </c>
      <c r="AQ33" s="65">
        <f t="shared" si="191"/>
        <v>0</v>
      </c>
      <c r="AR33" s="65">
        <f t="shared" si="191"/>
        <v>0</v>
      </c>
      <c r="AS33" s="65">
        <f t="shared" si="191"/>
        <v>0</v>
      </c>
      <c r="AT33" s="65">
        <f t="shared" si="191"/>
        <v>0</v>
      </c>
      <c r="AU33" s="65">
        <f t="shared" si="191"/>
        <v>0</v>
      </c>
      <c r="AV33" s="65">
        <f t="shared" si="191"/>
        <v>0</v>
      </c>
      <c r="AW33" s="65">
        <f t="shared" si="191"/>
        <v>0</v>
      </c>
      <c r="AX33" s="65">
        <f t="shared" si="191"/>
        <v>0</v>
      </c>
      <c r="AY33" s="65">
        <f t="shared" si="191"/>
        <v>0</v>
      </c>
      <c r="AZ33" s="65">
        <f t="shared" si="191"/>
        <v>0</v>
      </c>
      <c r="BA33" s="65">
        <f t="shared" si="191"/>
        <v>0</v>
      </c>
      <c r="BB33" s="65">
        <f t="shared" si="191"/>
        <v>0</v>
      </c>
      <c r="BC33" s="65">
        <f t="shared" si="191"/>
        <v>0</v>
      </c>
      <c r="BD33" s="65">
        <f t="shared" si="191"/>
        <v>0</v>
      </c>
      <c r="BE33" s="65">
        <f t="shared" si="191"/>
        <v>0</v>
      </c>
      <c r="BF33" s="65">
        <f t="shared" si="191"/>
        <v>0</v>
      </c>
      <c r="BG33" s="65">
        <f t="shared" si="191"/>
        <v>0</v>
      </c>
      <c r="BH33" s="65">
        <f t="shared" si="191"/>
        <v>0</v>
      </c>
      <c r="BI33" s="65">
        <f t="shared" si="191"/>
        <v>0</v>
      </c>
      <c r="BJ33" s="65">
        <f t="shared" si="191"/>
        <v>0</v>
      </c>
      <c r="BK33" s="65">
        <f t="shared" si="191"/>
        <v>0</v>
      </c>
      <c r="BL33" s="65">
        <f t="shared" si="191"/>
        <v>0</v>
      </c>
      <c r="BM33" s="65">
        <f t="shared" si="191"/>
        <v>0</v>
      </c>
      <c r="BN33" s="65">
        <f t="shared" si="191"/>
        <v>0</v>
      </c>
      <c r="BO33" s="65">
        <f t="shared" si="191"/>
        <v>0</v>
      </c>
      <c r="BP33" s="65">
        <f t="shared" si="191"/>
        <v>0</v>
      </c>
      <c r="BQ33" s="65">
        <f t="shared" si="191"/>
        <v>0</v>
      </c>
      <c r="BR33" s="65">
        <f t="shared" si="191"/>
        <v>0</v>
      </c>
      <c r="BS33" s="65">
        <f t="shared" si="191"/>
        <v>0</v>
      </c>
      <c r="BT33" s="65">
        <f t="shared" si="191"/>
        <v>0</v>
      </c>
      <c r="BU33" s="65">
        <f t="shared" ref="BU33:EF33" si="192">-$K$6*SUM(BU22,BU26)</f>
        <v>0</v>
      </c>
      <c r="BV33" s="65">
        <f t="shared" si="192"/>
        <v>0</v>
      </c>
      <c r="BW33" s="65">
        <f t="shared" si="192"/>
        <v>0</v>
      </c>
      <c r="BX33" s="65">
        <f t="shared" si="192"/>
        <v>0</v>
      </c>
      <c r="BY33" s="65">
        <f t="shared" si="192"/>
        <v>0</v>
      </c>
      <c r="BZ33" s="65">
        <f t="shared" si="192"/>
        <v>0</v>
      </c>
      <c r="CA33" s="65">
        <f t="shared" si="192"/>
        <v>0</v>
      </c>
      <c r="CB33" s="65">
        <f t="shared" si="192"/>
        <v>0</v>
      </c>
      <c r="CC33" s="65">
        <f t="shared" si="192"/>
        <v>0</v>
      </c>
      <c r="CD33" s="65">
        <f t="shared" si="192"/>
        <v>0</v>
      </c>
      <c r="CE33" s="65">
        <f t="shared" si="192"/>
        <v>0</v>
      </c>
      <c r="CF33" s="65">
        <f t="shared" si="192"/>
        <v>0</v>
      </c>
      <c r="CG33" s="65">
        <f t="shared" si="192"/>
        <v>0</v>
      </c>
      <c r="CH33" s="65">
        <f t="shared" si="192"/>
        <v>0</v>
      </c>
      <c r="CI33" s="65">
        <f t="shared" si="192"/>
        <v>0</v>
      </c>
      <c r="CJ33" s="65">
        <f t="shared" si="192"/>
        <v>0</v>
      </c>
      <c r="CK33" s="65">
        <f t="shared" si="192"/>
        <v>0</v>
      </c>
      <c r="CL33" s="65">
        <f t="shared" si="192"/>
        <v>0</v>
      </c>
      <c r="CM33" s="65">
        <f t="shared" si="192"/>
        <v>0</v>
      </c>
      <c r="CN33" s="65">
        <f t="shared" si="192"/>
        <v>0</v>
      </c>
      <c r="CO33" s="65">
        <f t="shared" si="192"/>
        <v>0</v>
      </c>
      <c r="CP33" s="65">
        <f t="shared" si="192"/>
        <v>0</v>
      </c>
      <c r="CQ33" s="65">
        <f t="shared" si="192"/>
        <v>0</v>
      </c>
      <c r="CR33" s="65">
        <f t="shared" si="192"/>
        <v>0</v>
      </c>
      <c r="CS33" s="65">
        <f t="shared" si="192"/>
        <v>0</v>
      </c>
      <c r="CT33" s="65">
        <f t="shared" si="192"/>
        <v>0</v>
      </c>
      <c r="CU33" s="65">
        <f t="shared" si="192"/>
        <v>0</v>
      </c>
      <c r="CV33" s="65">
        <f t="shared" si="192"/>
        <v>0</v>
      </c>
      <c r="CW33" s="65">
        <f t="shared" si="192"/>
        <v>0</v>
      </c>
      <c r="CX33" s="65">
        <f t="shared" si="192"/>
        <v>0</v>
      </c>
      <c r="CY33" s="65">
        <f t="shared" si="192"/>
        <v>0</v>
      </c>
      <c r="CZ33" s="65">
        <f t="shared" si="192"/>
        <v>0</v>
      </c>
      <c r="DA33" s="65">
        <f t="shared" si="192"/>
        <v>0</v>
      </c>
      <c r="DB33" s="65">
        <f t="shared" si="192"/>
        <v>0</v>
      </c>
      <c r="DC33" s="65">
        <f t="shared" si="192"/>
        <v>0</v>
      </c>
      <c r="DD33" s="65">
        <f t="shared" si="192"/>
        <v>0</v>
      </c>
      <c r="DE33" s="65">
        <f t="shared" si="192"/>
        <v>0</v>
      </c>
      <c r="DF33" s="65">
        <f t="shared" si="192"/>
        <v>0</v>
      </c>
      <c r="DG33" s="65">
        <f t="shared" si="192"/>
        <v>0</v>
      </c>
      <c r="DH33" s="65">
        <f t="shared" si="192"/>
        <v>0</v>
      </c>
      <c r="DI33" s="65">
        <f t="shared" si="192"/>
        <v>0</v>
      </c>
      <c r="DJ33" s="65">
        <f t="shared" si="192"/>
        <v>0</v>
      </c>
      <c r="DK33" s="65">
        <f t="shared" si="192"/>
        <v>0</v>
      </c>
      <c r="DL33" s="65">
        <f t="shared" si="192"/>
        <v>0</v>
      </c>
      <c r="DM33" s="65">
        <f t="shared" si="192"/>
        <v>0</v>
      </c>
      <c r="DN33" s="65">
        <f t="shared" si="192"/>
        <v>0</v>
      </c>
      <c r="DO33" s="65">
        <f t="shared" si="192"/>
        <v>0</v>
      </c>
      <c r="DP33" s="65">
        <f t="shared" si="192"/>
        <v>0</v>
      </c>
      <c r="DQ33" s="65">
        <f t="shared" si="192"/>
        <v>0</v>
      </c>
      <c r="DR33" s="65">
        <f t="shared" si="192"/>
        <v>0</v>
      </c>
      <c r="DS33" s="65">
        <f t="shared" si="192"/>
        <v>0</v>
      </c>
      <c r="DT33" s="65">
        <f t="shared" si="192"/>
        <v>0</v>
      </c>
      <c r="DU33" s="65">
        <f t="shared" si="192"/>
        <v>0</v>
      </c>
      <c r="DV33" s="65">
        <f t="shared" si="192"/>
        <v>0</v>
      </c>
      <c r="DW33" s="65">
        <f t="shared" si="192"/>
        <v>0</v>
      </c>
      <c r="DX33" s="65">
        <f t="shared" si="192"/>
        <v>0</v>
      </c>
      <c r="DY33" s="65">
        <f t="shared" si="192"/>
        <v>0</v>
      </c>
      <c r="DZ33" s="65">
        <f t="shared" si="192"/>
        <v>0</v>
      </c>
      <c r="EA33" s="65">
        <f t="shared" si="192"/>
        <v>0</v>
      </c>
      <c r="EB33" s="65">
        <f t="shared" si="192"/>
        <v>0</v>
      </c>
      <c r="EC33" s="65">
        <f t="shared" si="192"/>
        <v>0</v>
      </c>
      <c r="ED33" s="65">
        <f t="shared" si="192"/>
        <v>0</v>
      </c>
      <c r="EE33" s="65">
        <f t="shared" si="192"/>
        <v>0</v>
      </c>
      <c r="EF33" s="65">
        <f t="shared" si="192"/>
        <v>0</v>
      </c>
      <c r="EG33" s="65">
        <f t="shared" ref="EG33:EI33" si="193">-$K$6*SUM(EG22,EG26)</f>
        <v>0</v>
      </c>
      <c r="EH33" s="65">
        <f t="shared" si="193"/>
        <v>0</v>
      </c>
      <c r="EI33" s="65">
        <f t="shared" si="193"/>
        <v>0</v>
      </c>
    </row>
    <row r="34" spans="2:139" x14ac:dyDescent="0.45">
      <c r="B34" s="71" t="s">
        <v>82</v>
      </c>
      <c r="C34" s="71"/>
      <c r="D34" s="71"/>
      <c r="E34" s="71"/>
      <c r="F34" s="71"/>
      <c r="G34" s="71"/>
      <c r="H34" s="72">
        <f t="shared" ref="H34:R34" si="194">SUM(H28:H33,H24:H25)</f>
        <v>135936.78800000006</v>
      </c>
      <c r="I34" s="72">
        <f t="shared" si="194"/>
        <v>130975.48486979173</v>
      </c>
      <c r="J34" s="72">
        <f t="shared" si="194"/>
        <v>125993.34458069797</v>
      </c>
      <c r="K34" s="72">
        <f t="shared" si="194"/>
        <v>120990.30246483885</v>
      </c>
      <c r="L34" s="72">
        <f t="shared" si="194"/>
        <v>123844.60663855475</v>
      </c>
      <c r="M34" s="72">
        <f t="shared" si="194"/>
        <v>128278.37047821633</v>
      </c>
      <c r="N34" s="72">
        <f t="shared" si="194"/>
        <v>131158.06279324053</v>
      </c>
      <c r="O34" s="72">
        <f t="shared" si="194"/>
        <v>134049.19937347985</v>
      </c>
      <c r="P34" s="72">
        <f t="shared" si="194"/>
        <v>136951.81540855972</v>
      </c>
      <c r="Q34" s="72">
        <f t="shared" si="194"/>
        <v>139865.9461850643</v>
      </c>
      <c r="R34" s="72">
        <f t="shared" si="194"/>
        <v>142791.62708678743</v>
      </c>
      <c r="S34" s="72">
        <f>SUM(S28:S33,S24:S25)</f>
        <v>145728.89359498475</v>
      </c>
      <c r="T34" s="72">
        <f t="shared" ref="T34:CE34" si="195">SUM(T28:T33,T24:T25)</f>
        <v>148677.7812886262</v>
      </c>
      <c r="U34" s="72">
        <f t="shared" si="195"/>
        <v>151638.32584464911</v>
      </c>
      <c r="V34" s="72">
        <f t="shared" si="195"/>
        <v>154610.56303821199</v>
      </c>
      <c r="W34" s="72">
        <f t="shared" si="195"/>
        <v>157594.52874294901</v>
      </c>
      <c r="X34" s="72">
        <f t="shared" si="195"/>
        <v>160590.25893122505</v>
      </c>
      <c r="Y34" s="72">
        <f t="shared" si="195"/>
        <v>163597.78967439124</v>
      </c>
      <c r="Z34" s="72">
        <f t="shared" si="195"/>
        <v>166617.15714304143</v>
      </c>
      <c r="AA34" s="72">
        <f t="shared" si="195"/>
        <v>169648.39760726929</v>
      </c>
      <c r="AB34" s="72">
        <f t="shared" si="195"/>
        <v>172691.54743692552</v>
      </c>
      <c r="AC34" s="72">
        <f t="shared" si="195"/>
        <v>175746.64310187637</v>
      </c>
      <c r="AD34" s="72">
        <f t="shared" si="195"/>
        <v>178813.72117226251</v>
      </c>
      <c r="AE34" s="72">
        <f t="shared" si="195"/>
        <v>181892.8183187586</v>
      </c>
      <c r="AF34" s="72">
        <f t="shared" si="195"/>
        <v>184983.97131283322</v>
      </c>
      <c r="AG34" s="72">
        <f t="shared" si="195"/>
        <v>188087.21702700999</v>
      </c>
      <c r="AH34" s="72">
        <f t="shared" si="195"/>
        <v>191202.5924351289</v>
      </c>
      <c r="AI34" s="72">
        <f t="shared" si="195"/>
        <v>199925.41292247648</v>
      </c>
      <c r="AJ34" s="72">
        <f t="shared" si="195"/>
        <v>208683.25072404247</v>
      </c>
      <c r="AK34" s="72">
        <f t="shared" si="195"/>
        <v>217476.21316023503</v>
      </c>
      <c r="AL34" s="72">
        <f t="shared" si="195"/>
        <v>217922.76311058761</v>
      </c>
      <c r="AM34" s="72">
        <f t="shared" si="195"/>
        <v>218370.23249751391</v>
      </c>
      <c r="AN34" s="72">
        <f t="shared" si="195"/>
        <v>218818.62321838035</v>
      </c>
      <c r="AO34" s="72">
        <f t="shared" si="195"/>
        <v>219267.93717447607</v>
      </c>
      <c r="AP34" s="72">
        <f t="shared" si="195"/>
        <v>219718.17627102096</v>
      </c>
      <c r="AQ34" s="72">
        <f t="shared" si="195"/>
        <v>220169.3424171739</v>
      </c>
      <c r="AR34" s="72">
        <f t="shared" si="195"/>
        <v>220621.43752604059</v>
      </c>
      <c r="AS34" s="72">
        <f t="shared" si="195"/>
        <v>221074.46351468217</v>
      </c>
      <c r="AT34" s="72">
        <f t="shared" si="195"/>
        <v>221528.42230412306</v>
      </c>
      <c r="AU34" s="72">
        <f t="shared" si="195"/>
        <v>221983.31581935936</v>
      </c>
      <c r="AV34" s="72">
        <f t="shared" si="195"/>
        <v>222439.14598936698</v>
      </c>
      <c r="AW34" s="72">
        <f t="shared" si="195"/>
        <v>222895.91474711002</v>
      </c>
      <c r="AX34" s="72">
        <f t="shared" si="195"/>
        <v>223353.62402954878</v>
      </c>
      <c r="AY34" s="72">
        <f t="shared" si="195"/>
        <v>223812.27577764829</v>
      </c>
      <c r="AZ34" s="72">
        <f t="shared" si="195"/>
        <v>224271.87193638642</v>
      </c>
      <c r="BA34" s="72">
        <f t="shared" si="195"/>
        <v>224732.41445476218</v>
      </c>
      <c r="BB34" s="72">
        <f t="shared" si="195"/>
        <v>225193.90528580436</v>
      </c>
      <c r="BC34" s="72">
        <f t="shared" si="195"/>
        <v>225656.34638657942</v>
      </c>
      <c r="BD34" s="72">
        <f t="shared" si="195"/>
        <v>226119.73971820017</v>
      </c>
      <c r="BE34" s="72">
        <f t="shared" si="195"/>
        <v>226584.08724583391</v>
      </c>
      <c r="BF34" s="72">
        <f t="shared" si="195"/>
        <v>227049.39093871115</v>
      </c>
      <c r="BG34" s="72">
        <f t="shared" si="195"/>
        <v>227515.65277013378</v>
      </c>
      <c r="BH34" s="72">
        <f t="shared" si="195"/>
        <v>227982.8747174835</v>
      </c>
      <c r="BI34" s="72">
        <f t="shared" si="195"/>
        <v>228451.0587622303</v>
      </c>
      <c r="BJ34" s="72">
        <f t="shared" si="195"/>
        <v>228920.20688994101</v>
      </c>
      <c r="BK34" s="72">
        <f t="shared" si="195"/>
        <v>229390.32109028776</v>
      </c>
      <c r="BL34" s="72">
        <f t="shared" si="195"/>
        <v>229861.40335705626</v>
      </c>
      <c r="BM34" s="72">
        <f t="shared" si="195"/>
        <v>230333.45568815476</v>
      </c>
      <c r="BN34" s="72">
        <f t="shared" si="195"/>
        <v>230806.48008562211</v>
      </c>
      <c r="BO34" s="72">
        <f t="shared" si="195"/>
        <v>231280.47855563654</v>
      </c>
      <c r="BP34" s="72">
        <f t="shared" si="195"/>
        <v>231755.45310852438</v>
      </c>
      <c r="BQ34" s="72">
        <f t="shared" si="195"/>
        <v>232231.40575876838</v>
      </c>
      <c r="BR34" s="72">
        <f t="shared" si="195"/>
        <v>232708.3385250163</v>
      </c>
      <c r="BS34" s="72">
        <f t="shared" si="195"/>
        <v>233186.25343008991</v>
      </c>
      <c r="BT34" s="72">
        <f t="shared" si="195"/>
        <v>233665.15250099325</v>
      </c>
      <c r="BU34" s="72">
        <f t="shared" si="195"/>
        <v>234145.03776892138</v>
      </c>
      <c r="BV34" s="72">
        <f t="shared" si="195"/>
        <v>234625.91126926913</v>
      </c>
      <c r="BW34" s="72">
        <f t="shared" si="195"/>
        <v>235107.77504163992</v>
      </c>
      <c r="BX34" s="72">
        <f t="shared" si="195"/>
        <v>235590.63112985401</v>
      </c>
      <c r="BY34" s="72">
        <f t="shared" si="195"/>
        <v>236074.48158195775</v>
      </c>
      <c r="BZ34" s="72">
        <f t="shared" si="195"/>
        <v>236559.32845023222</v>
      </c>
      <c r="CA34" s="72">
        <f t="shared" si="195"/>
        <v>237045.17379120164</v>
      </c>
      <c r="CB34" s="72">
        <f t="shared" si="195"/>
        <v>237532.01966564255</v>
      </c>
      <c r="CC34" s="72">
        <f t="shared" si="195"/>
        <v>238019.86813859249</v>
      </c>
      <c r="CD34" s="72">
        <f t="shared" si="195"/>
        <v>238508.72127935887</v>
      </c>
      <c r="CE34" s="72">
        <f t="shared" si="195"/>
        <v>238998.5811615276</v>
      </c>
      <c r="CF34" s="72">
        <f t="shared" ref="CF34:EI34" si="196">SUM(CF28:CF33,CF24:CF25)</f>
        <v>239489.44986297225</v>
      </c>
      <c r="CG34" s="72">
        <f t="shared" si="196"/>
        <v>239981.32946586277</v>
      </c>
      <c r="CH34" s="72">
        <f t="shared" si="196"/>
        <v>240474.22205667428</v>
      </c>
      <c r="CI34" s="72">
        <f t="shared" si="196"/>
        <v>240968.12972619626</v>
      </c>
      <c r="CJ34" s="72">
        <f t="shared" si="196"/>
        <v>241463.05456954124</v>
      </c>
      <c r="CK34" s="72">
        <f t="shared" si="196"/>
        <v>241958.99868615391</v>
      </c>
      <c r="CL34" s="72">
        <f t="shared" si="196"/>
        <v>242455.96417981992</v>
      </c>
      <c r="CM34" s="72">
        <f t="shared" si="196"/>
        <v>242953.95315867508</v>
      </c>
      <c r="CN34" s="72">
        <f t="shared" si="196"/>
        <v>243452.96773521422</v>
      </c>
      <c r="CO34" s="72">
        <f t="shared" si="196"/>
        <v>243953.01002630024</v>
      </c>
      <c r="CP34" s="72">
        <f t="shared" si="196"/>
        <v>244454.08215317322</v>
      </c>
      <c r="CQ34" s="72">
        <f t="shared" si="196"/>
        <v>244956.18624145939</v>
      </c>
      <c r="CR34" s="72">
        <f t="shared" si="196"/>
        <v>245459.32442118024</v>
      </c>
      <c r="CS34" s="72">
        <f t="shared" si="196"/>
        <v>245963.4988267617</v>
      </c>
      <c r="CT34" s="72">
        <f t="shared" si="196"/>
        <v>246468.71159704321</v>
      </c>
      <c r="CU34" s="72">
        <f t="shared" si="196"/>
        <v>246974.96487528677</v>
      </c>
      <c r="CV34" s="72">
        <f t="shared" si="196"/>
        <v>247482.26080918629</v>
      </c>
      <c r="CW34" s="72">
        <f t="shared" si="196"/>
        <v>247990.60155087651</v>
      </c>
      <c r="CX34" s="72">
        <f t="shared" si="196"/>
        <v>248499.9892569425</v>
      </c>
      <c r="CY34" s="72">
        <f t="shared" si="196"/>
        <v>249010.42608842865</v>
      </c>
      <c r="CZ34" s="72">
        <f t="shared" si="196"/>
        <v>249521.9142108479</v>
      </c>
      <c r="DA34" s="72">
        <f t="shared" si="196"/>
        <v>250034.45579419125</v>
      </c>
      <c r="DB34" s="72">
        <f t="shared" si="196"/>
        <v>250548.05301293661</v>
      </c>
      <c r="DC34" s="72">
        <f t="shared" si="196"/>
        <v>251062.70804605863</v>
      </c>
      <c r="DD34" s="72">
        <f t="shared" si="196"/>
        <v>251578.42307703741</v>
      </c>
      <c r="DE34" s="72">
        <f t="shared" si="196"/>
        <v>252095.20029386829</v>
      </c>
      <c r="DF34" s="72">
        <f t="shared" si="196"/>
        <v>252613.04188907109</v>
      </c>
      <c r="DG34" s="72">
        <f t="shared" si="196"/>
        <v>253131.9500596993</v>
      </c>
      <c r="DH34" s="72">
        <f t="shared" si="196"/>
        <v>253651.92700734967</v>
      </c>
      <c r="DI34" s="72">
        <f t="shared" si="196"/>
        <v>254172.97493817162</v>
      </c>
      <c r="DJ34" s="72">
        <f t="shared" si="196"/>
        <v>254695.09606287649</v>
      </c>
      <c r="DK34" s="72">
        <f t="shared" si="196"/>
        <v>255218.29259674711</v>
      </c>
      <c r="DL34" s="72">
        <f t="shared" si="196"/>
        <v>255742.56675964731</v>
      </c>
      <c r="DM34" s="72">
        <f t="shared" si="196"/>
        <v>256267.92077603133</v>
      </c>
      <c r="DN34" s="72">
        <f t="shared" si="196"/>
        <v>256794.35687495326</v>
      </c>
      <c r="DO34" s="72">
        <f t="shared" si="196"/>
        <v>257321.87729007687</v>
      </c>
      <c r="DP34" s="72">
        <f t="shared" si="196"/>
        <v>257850.48425968469</v>
      </c>
      <c r="DQ34" s="72">
        <f t="shared" si="196"/>
        <v>258380.18002668794</v>
      </c>
      <c r="DR34" s="72">
        <f t="shared" si="196"/>
        <v>258910.96683863591</v>
      </c>
      <c r="DS34" s="72">
        <f t="shared" si="196"/>
        <v>259442.84694772589</v>
      </c>
      <c r="DT34" s="72">
        <f t="shared" si="196"/>
        <v>259975.82261081235</v>
      </c>
      <c r="DU34" s="72">
        <f t="shared" si="196"/>
        <v>260509.89608941678</v>
      </c>
      <c r="DV34" s="72">
        <f t="shared" si="196"/>
        <v>261045.06964973747</v>
      </c>
      <c r="DW34" s="72">
        <f t="shared" si="196"/>
        <v>261581.34556265909</v>
      </c>
      <c r="DX34" s="72">
        <f t="shared" si="196"/>
        <v>262118.72610376225</v>
      </c>
      <c r="DY34" s="72">
        <f t="shared" si="196"/>
        <v>262657.2135533336</v>
      </c>
      <c r="DZ34" s="72">
        <f t="shared" si="196"/>
        <v>263196.8101963753</v>
      </c>
      <c r="EA34" s="72">
        <f t="shared" si="196"/>
        <v>263737.51832261455</v>
      </c>
      <c r="EB34" s="72">
        <f t="shared" si="196"/>
        <v>264279.34022651409</v>
      </c>
      <c r="EC34" s="72">
        <f t="shared" si="196"/>
        <v>264822.27820728126</v>
      </c>
      <c r="ED34" s="72">
        <f t="shared" si="196"/>
        <v>265366.33456887829</v>
      </c>
      <c r="EE34" s="72">
        <f t="shared" si="196"/>
        <v>265911.51162003196</v>
      </c>
      <c r="EF34" s="72">
        <f t="shared" si="196"/>
        <v>266457.81167424354</v>
      </c>
      <c r="EG34" s="72">
        <f t="shared" si="196"/>
        <v>267005.23704979871</v>
      </c>
      <c r="EH34" s="72">
        <f t="shared" si="196"/>
        <v>267553.79006977717</v>
      </c>
      <c r="EI34" s="72">
        <f t="shared" si="196"/>
        <v>268103.47306206304</v>
      </c>
    </row>
    <row r="35" spans="2:139" x14ac:dyDescent="0.45"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65"/>
      <c r="CO35" s="65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5"/>
      <c r="DN35" s="65"/>
      <c r="DO35" s="65"/>
      <c r="DP35" s="65"/>
      <c r="DQ35" s="65"/>
      <c r="DR35" s="65"/>
      <c r="DS35" s="65"/>
      <c r="DT35" s="65"/>
      <c r="DU35" s="65"/>
      <c r="DV35" s="65"/>
      <c r="DW35" s="65"/>
      <c r="DX35" s="65"/>
      <c r="DY35" s="65"/>
      <c r="DZ35" s="65"/>
      <c r="EA35" s="65"/>
      <c r="EB35" s="65"/>
      <c r="EC35" s="65"/>
      <c r="ED35" s="65"/>
      <c r="EE35" s="65"/>
      <c r="EF35" s="65"/>
      <c r="EG35" s="65"/>
      <c r="EH35" s="65"/>
      <c r="EI35" s="65"/>
    </row>
    <row r="36" spans="2:139" x14ac:dyDescent="0.45">
      <c r="B36" s="67" t="s">
        <v>85</v>
      </c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5"/>
      <c r="CF36" s="65"/>
      <c r="CG36" s="65"/>
      <c r="CH36" s="65"/>
      <c r="CI36" s="65"/>
      <c r="CJ36" s="65"/>
      <c r="CK36" s="65"/>
      <c r="CL36" s="65"/>
      <c r="CM36" s="65"/>
      <c r="CN36" s="65"/>
      <c r="CO36" s="65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5"/>
      <c r="DA36" s="65"/>
      <c r="DB36" s="65"/>
      <c r="DC36" s="65"/>
      <c r="DD36" s="65"/>
      <c r="DE36" s="65"/>
      <c r="DF36" s="65"/>
      <c r="DG36" s="65"/>
      <c r="DH36" s="65"/>
      <c r="DI36" s="65"/>
      <c r="DJ36" s="65"/>
      <c r="DK36" s="65"/>
      <c r="DL36" s="65"/>
      <c r="DM36" s="65"/>
      <c r="DN36" s="65"/>
      <c r="DO36" s="65"/>
      <c r="DP36" s="65"/>
      <c r="DQ36" s="65"/>
      <c r="DR36" s="65"/>
      <c r="DS36" s="65"/>
      <c r="DT36" s="65"/>
      <c r="DU36" s="65"/>
      <c r="DV36" s="65"/>
      <c r="DW36" s="65"/>
      <c r="DX36" s="65"/>
      <c r="DY36" s="65"/>
      <c r="DZ36" s="65"/>
      <c r="EA36" s="65"/>
      <c r="EB36" s="65"/>
      <c r="EC36" s="65"/>
      <c r="ED36" s="65"/>
      <c r="EE36" s="65"/>
      <c r="EF36" s="65"/>
      <c r="EG36" s="65"/>
      <c r="EH36" s="65"/>
      <c r="EI36" s="65"/>
    </row>
    <row r="37" spans="2:139" x14ac:dyDescent="0.45">
      <c r="B37" s="58" t="str">
        <f>Assumptions!B149</f>
        <v>Property Taxes</v>
      </c>
      <c r="H37" s="65">
        <f>Assumptions!$I149*H$12</f>
        <v>24843.503611111119</v>
      </c>
      <c r="I37" s="65">
        <f>Assumptions!$I149*I$12</f>
        <v>24884.909450462968</v>
      </c>
      <c r="J37" s="65">
        <f>Assumptions!$I149*J$12</f>
        <v>24926.384299547077</v>
      </c>
      <c r="K37" s="65">
        <f>Assumptions!$I149*K$12</f>
        <v>24967.928273379657</v>
      </c>
      <c r="L37" s="65">
        <f>Assumptions!$I149*L$12</f>
        <v>25009.541487168623</v>
      </c>
      <c r="M37" s="65">
        <f>Assumptions!$I149*M$12</f>
        <v>25051.224056313906</v>
      </c>
      <c r="N37" s="65">
        <f>Assumptions!$I149*N$12</f>
        <v>25092.976096407761</v>
      </c>
      <c r="O37" s="65">
        <f>Assumptions!$I149*O$12</f>
        <v>25134.797723235115</v>
      </c>
      <c r="P37" s="65">
        <f>Assumptions!$I149*P$12</f>
        <v>25176.68905277384</v>
      </c>
      <c r="Q37" s="65">
        <f>Assumptions!$I149*Q$12</f>
        <v>25218.650201195131</v>
      </c>
      <c r="R37" s="65">
        <f>Assumptions!$I149*R$12</f>
        <v>25260.681284863789</v>
      </c>
      <c r="S37" s="65">
        <f>Assumptions!$I149*S$12</f>
        <v>25302.782420338564</v>
      </c>
      <c r="T37" s="65">
        <f>Assumptions!$I149*T$12</f>
        <v>25344.953724372463</v>
      </c>
      <c r="U37" s="65">
        <f>Assumptions!$I149*U$12</f>
        <v>25387.195313913089</v>
      </c>
      <c r="V37" s="65">
        <f>Assumptions!$I149*V$12</f>
        <v>25429.507306102943</v>
      </c>
      <c r="W37" s="65">
        <f>Assumptions!$I149*W$12</f>
        <v>25471.889818279786</v>
      </c>
      <c r="X37" s="65">
        <f>Assumptions!$I149*X$12</f>
        <v>25514.342967976918</v>
      </c>
      <c r="Y37" s="65">
        <f>Assumptions!$I149*Y$12</f>
        <v>25556.866872923547</v>
      </c>
      <c r="Z37" s="65">
        <f>Assumptions!$I149*Z$12</f>
        <v>25599.461651045094</v>
      </c>
      <c r="AA37" s="65">
        <f>Assumptions!$I149*AA$12</f>
        <v>25642.127420463501</v>
      </c>
      <c r="AB37" s="65">
        <f>Assumptions!$I149*AB$12</f>
        <v>25684.864299497611</v>
      </c>
      <c r="AC37" s="65">
        <f>Assumptions!$I149*AC$12</f>
        <v>25727.672406663438</v>
      </c>
      <c r="AD37" s="65">
        <f>Assumptions!$I149*AD$12</f>
        <v>25770.551860674546</v>
      </c>
      <c r="AE37" s="65">
        <f>Assumptions!$I149*AE$12</f>
        <v>25813.502780442344</v>
      </c>
      <c r="AF37" s="65">
        <f>Assumptions!$I149*AF$12</f>
        <v>25856.525285076408</v>
      </c>
      <c r="AG37" s="65">
        <f>Assumptions!$I149*AG$12</f>
        <v>25899.619493884871</v>
      </c>
      <c r="AH37" s="65">
        <f>Assumptions!$I149*AH$12</f>
        <v>25942.785526374682</v>
      </c>
      <c r="AI37" s="65">
        <f>Assumptions!$I149*AI$12</f>
        <v>25986.023502251977</v>
      </c>
      <c r="AJ37" s="65">
        <f>Assumptions!$I149*AJ$12</f>
        <v>26029.333541422398</v>
      </c>
      <c r="AK37" s="65">
        <f>Assumptions!$I149*AK$12</f>
        <v>26072.715763991437</v>
      </c>
      <c r="AL37" s="65">
        <f>Assumptions!$I149*AL$12</f>
        <v>26116.170290264759</v>
      </c>
      <c r="AM37" s="65">
        <f>Assumptions!$I149*AM$12</f>
        <v>26159.697240748537</v>
      </c>
      <c r="AN37" s="65">
        <f>Assumptions!$I149*AN$12</f>
        <v>26203.296736149787</v>
      </c>
      <c r="AO37" s="65">
        <f>Assumptions!$I149*AO$12</f>
        <v>26246.968897376704</v>
      </c>
      <c r="AP37" s="65">
        <f>Assumptions!$I149*AP$12</f>
        <v>26290.713845539001</v>
      </c>
      <c r="AQ37" s="65">
        <f>Assumptions!$I149*AQ$12</f>
        <v>26334.531701948232</v>
      </c>
      <c r="AR37" s="65">
        <f>Assumptions!$I149*AR$12</f>
        <v>26378.422588118148</v>
      </c>
      <c r="AS37" s="65">
        <f>Assumptions!$I149*AS$12</f>
        <v>26422.386625765012</v>
      </c>
      <c r="AT37" s="65">
        <f>Assumptions!$I149*AT$12</f>
        <v>26466.423936807958</v>
      </c>
      <c r="AU37" s="65">
        <f>Assumptions!$I149*AU$12</f>
        <v>26510.534643369312</v>
      </c>
      <c r="AV37" s="65">
        <f>Assumptions!$I149*AV$12</f>
        <v>26554.718867774922</v>
      </c>
      <c r="AW37" s="65">
        <f>Assumptions!$I149*AW$12</f>
        <v>26598.976732554547</v>
      </c>
      <c r="AX37" s="65">
        <f>Assumptions!$I149*AX$12</f>
        <v>26643.308360442141</v>
      </c>
      <c r="AY37" s="65">
        <f>Assumptions!$I149*AY$12</f>
        <v>26687.713874376212</v>
      </c>
      <c r="AZ37" s="65">
        <f>Assumptions!$I149*AZ$12</f>
        <v>26732.193397500178</v>
      </c>
      <c r="BA37" s="65">
        <f>Assumptions!$I149*BA$12</f>
        <v>26776.747053162679</v>
      </c>
      <c r="BB37" s="65">
        <f>Assumptions!$I149*BB$12</f>
        <v>26821.374964917952</v>
      </c>
      <c r="BC37" s="65">
        <f>Assumptions!$I149*BC$12</f>
        <v>26866.077256526154</v>
      </c>
      <c r="BD37" s="65">
        <f>Assumptions!$I149*BD$12</f>
        <v>26910.854051953695</v>
      </c>
      <c r="BE37" s="65">
        <f>Assumptions!$I149*BE$12</f>
        <v>26955.705475373619</v>
      </c>
      <c r="BF37" s="65">
        <f>Assumptions!$I149*BF$12</f>
        <v>27000.631651165913</v>
      </c>
      <c r="BG37" s="65">
        <f>Assumptions!$I149*BG$12</f>
        <v>27045.632703917854</v>
      </c>
      <c r="BH37" s="65">
        <f>Assumptions!$I149*BH$12</f>
        <v>27090.708758424389</v>
      </c>
      <c r="BI37" s="65">
        <f>Assumptions!$I149*BI$12</f>
        <v>27135.859939688431</v>
      </c>
      <c r="BJ37" s="65">
        <f>Assumptions!$I149*BJ$12</f>
        <v>27181.086372921247</v>
      </c>
      <c r="BK37" s="65">
        <f>Assumptions!$I149*BK$12</f>
        <v>27226.388183542789</v>
      </c>
      <c r="BL37" s="65">
        <f>Assumptions!$I149*BL$12</f>
        <v>27271.765497182023</v>
      </c>
      <c r="BM37" s="65">
        <f>Assumptions!$I149*BM$12</f>
        <v>27317.218439677326</v>
      </c>
      <c r="BN37" s="65">
        <f>Assumptions!$I149*BN$12</f>
        <v>27362.747137076793</v>
      </c>
      <c r="BO37" s="65">
        <f>Assumptions!$I149*BO$12</f>
        <v>27408.351715638586</v>
      </c>
      <c r="BP37" s="65">
        <f>Assumptions!$I149*BP$12</f>
        <v>27454.032301831325</v>
      </c>
      <c r="BQ37" s="65">
        <f>Assumptions!$I149*BQ$12</f>
        <v>27499.789022334375</v>
      </c>
      <c r="BR37" s="65">
        <f>Assumptions!$I149*BR$12</f>
        <v>27545.622004038272</v>
      </c>
      <c r="BS37" s="65">
        <f>Assumptions!$I149*BS$12</f>
        <v>27591.531374045004</v>
      </c>
      <c r="BT37" s="65">
        <f>Assumptions!$I149*BT$12</f>
        <v>27637.517259668413</v>
      </c>
      <c r="BU37" s="65">
        <f>Assumptions!$I149*BU$12</f>
        <v>27683.579788434527</v>
      </c>
      <c r="BV37" s="65">
        <f>Assumptions!$I149*BV$12</f>
        <v>27729.719088081922</v>
      </c>
      <c r="BW37" s="65">
        <f>Assumptions!$I149*BW$12</f>
        <v>27775.935286562057</v>
      </c>
      <c r="BX37" s="65">
        <f>Assumptions!$I149*BX$12</f>
        <v>27822.228512039663</v>
      </c>
      <c r="BY37" s="65">
        <f>Assumptions!$I149*BY$12</f>
        <v>27868.59889289306</v>
      </c>
      <c r="BZ37" s="65">
        <f>Assumptions!$I149*BZ$12</f>
        <v>27915.046557714551</v>
      </c>
      <c r="CA37" s="65">
        <f>Assumptions!$I149*CA$12</f>
        <v>27961.571635310749</v>
      </c>
      <c r="CB37" s="65">
        <f>Assumptions!$I149*CB$12</f>
        <v>28008.174254702932</v>
      </c>
      <c r="CC37" s="65">
        <f>Assumptions!$I149*CC$12</f>
        <v>28054.85454512744</v>
      </c>
      <c r="CD37" s="65">
        <f>Assumptions!$I149*CD$12</f>
        <v>28101.612636035989</v>
      </c>
      <c r="CE37" s="65">
        <f>Assumptions!$I149*CE$12</f>
        <v>28148.448657096051</v>
      </c>
      <c r="CF37" s="65">
        <f>Assumptions!$I149*CF$12</f>
        <v>28195.362738191216</v>
      </c>
      <c r="CG37" s="65">
        <f>Assumptions!$I149*CG$12</f>
        <v>28242.355009421535</v>
      </c>
      <c r="CH37" s="65">
        <f>Assumptions!$I149*CH$12</f>
        <v>28289.425601103903</v>
      </c>
      <c r="CI37" s="65">
        <f>Assumptions!$I149*CI$12</f>
        <v>28336.574643772416</v>
      </c>
      <c r="CJ37" s="65">
        <f>Assumptions!$I149*CJ$12</f>
        <v>28383.802268178701</v>
      </c>
      <c r="CK37" s="65">
        <f>Assumptions!$I149*CK$12</f>
        <v>28431.108605292335</v>
      </c>
      <c r="CL37" s="65">
        <f>Assumptions!$I149*CL$12</f>
        <v>28478.493786301158</v>
      </c>
      <c r="CM37" s="65">
        <f>Assumptions!$I149*CM$12</f>
        <v>28525.957942611662</v>
      </c>
      <c r="CN37" s="65">
        <f>Assumptions!$I149*CN$12</f>
        <v>28573.501205849356</v>
      </c>
      <c r="CO37" s="65">
        <f>Assumptions!$I149*CO$12</f>
        <v>28621.123707859097</v>
      </c>
      <c r="CP37" s="65">
        <f>Assumptions!$I149*CP$12</f>
        <v>28668.825580705536</v>
      </c>
      <c r="CQ37" s="65">
        <f>Assumptions!$I149*CQ$12</f>
        <v>28716.606956673386</v>
      </c>
      <c r="CR37" s="65">
        <f>Assumptions!$I149*CR$12</f>
        <v>28764.467968267836</v>
      </c>
      <c r="CS37" s="65">
        <f>Assumptions!$I149*CS$12</f>
        <v>28812.408748214948</v>
      </c>
      <c r="CT37" s="65">
        <f>Assumptions!$I149*CT$12</f>
        <v>28860.429429461979</v>
      </c>
      <c r="CU37" s="65">
        <f>Assumptions!$I149*CU$12</f>
        <v>28908.530145177752</v>
      </c>
      <c r="CV37" s="65">
        <f>Assumptions!$I149*CV$12</f>
        <v>28956.711028753052</v>
      </c>
      <c r="CW37" s="65">
        <f>Assumptions!$I149*CW$12</f>
        <v>29004.972213800967</v>
      </c>
      <c r="CX37" s="65">
        <f>Assumptions!$I149*CX$12</f>
        <v>29053.31383415731</v>
      </c>
      <c r="CY37" s="65">
        <f>Assumptions!$I149*CY$12</f>
        <v>29101.736023880912</v>
      </c>
      <c r="CZ37" s="65">
        <f>Assumptions!$I149*CZ$12</f>
        <v>29150.23891725405</v>
      </c>
      <c r="DA37" s="65">
        <f>Assumptions!$I149*DA$12</f>
        <v>29198.822648782803</v>
      </c>
      <c r="DB37" s="65">
        <f>Assumptions!$I149*DB$12</f>
        <v>29247.487353197444</v>
      </c>
      <c r="DC37" s="65">
        <f>Assumptions!$I149*DC$12</f>
        <v>29296.233165452777</v>
      </c>
      <c r="DD37" s="65">
        <f>Assumptions!$I149*DD$12</f>
        <v>29345.060220728534</v>
      </c>
      <c r="DE37" s="65">
        <f>Assumptions!$I149*DE$12</f>
        <v>29393.968654429744</v>
      </c>
      <c r="DF37" s="65">
        <f>Assumptions!$I149*DF$12</f>
        <v>29442.958602187133</v>
      </c>
      <c r="DG37" s="65">
        <f>Assumptions!$I149*DG$12</f>
        <v>29492.03019985745</v>
      </c>
      <c r="DH37" s="65">
        <f>Assumptions!$I149*DH$12</f>
        <v>29541.183583523874</v>
      </c>
      <c r="DI37" s="65">
        <f>Assumptions!$I149*DI$12</f>
        <v>29590.418889496417</v>
      </c>
      <c r="DJ37" s="65">
        <f>Assumptions!$I149*DJ$12</f>
        <v>29639.736254312251</v>
      </c>
      <c r="DK37" s="65">
        <f>Assumptions!$I149*DK$12</f>
        <v>29689.135814736099</v>
      </c>
      <c r="DL37" s="65">
        <f>Assumptions!$I149*DL$12</f>
        <v>29738.617707760666</v>
      </c>
      <c r="DM37" s="65">
        <f>Assumptions!$I149*DM$12</f>
        <v>29788.182070606937</v>
      </c>
      <c r="DN37" s="65">
        <f>Assumptions!$I149*DN$12</f>
        <v>29837.829040724617</v>
      </c>
      <c r="DO37" s="65">
        <f>Assumptions!$I149*DO$12</f>
        <v>29887.558755792496</v>
      </c>
      <c r="DP37" s="65">
        <f>Assumptions!$I149*DP$12</f>
        <v>29937.37135371882</v>
      </c>
      <c r="DQ37" s="65">
        <f>Assumptions!$I149*DQ$12</f>
        <v>29987.266972641683</v>
      </c>
      <c r="DR37" s="65">
        <f>Assumptions!$I149*DR$12</f>
        <v>30037.245750929425</v>
      </c>
      <c r="DS37" s="65">
        <f>Assumptions!$I149*DS$12</f>
        <v>30087.307827180972</v>
      </c>
      <c r="DT37" s="65">
        <f>Assumptions!$I149*DT$12</f>
        <v>30137.453340226279</v>
      </c>
      <c r="DU37" s="65">
        <f>Assumptions!$I149*DU$12</f>
        <v>30187.682429126653</v>
      </c>
      <c r="DV37" s="65">
        <f>Assumptions!$I149*DV$12</f>
        <v>30237.995233175199</v>
      </c>
      <c r="DW37" s="65">
        <f>Assumptions!$I149*DW$12</f>
        <v>30288.391891897169</v>
      </c>
      <c r="DX37" s="65">
        <f>Assumptions!$I149*DX$12</f>
        <v>30338.872545050326</v>
      </c>
      <c r="DY37" s="65">
        <f>Assumptions!$I149*DY$12</f>
        <v>30389.437332625414</v>
      </c>
      <c r="DZ37" s="65">
        <f>Assumptions!$I149*DZ$12</f>
        <v>30440.086394846458</v>
      </c>
      <c r="EA37" s="65">
        <f>Assumptions!$I149*EA$12</f>
        <v>30490.8198721712</v>
      </c>
      <c r="EB37" s="65">
        <f>Assumptions!$I149*EB$12</f>
        <v>30541.637905291493</v>
      </c>
      <c r="EC37" s="65">
        <f>Assumptions!$I149*EC$12</f>
        <v>30592.540635133642</v>
      </c>
      <c r="ED37" s="65">
        <f>Assumptions!$I149*ED$12</f>
        <v>30643.528202858874</v>
      </c>
      <c r="EE37" s="65">
        <f>Assumptions!$I149*EE$12</f>
        <v>30694.600749863643</v>
      </c>
      <c r="EF37" s="65">
        <f>Assumptions!$I149*EF$12</f>
        <v>30745.758417780082</v>
      </c>
      <c r="EG37" s="65">
        <f>Assumptions!$I149*EG$12</f>
        <v>30797.00134847638</v>
      </c>
      <c r="EH37" s="65">
        <f>Assumptions!$I149*EH$12</f>
        <v>30848.329684057178</v>
      </c>
      <c r="EI37" s="65">
        <f>Assumptions!$I149*EI$12</f>
        <v>30899.743566863945</v>
      </c>
    </row>
    <row r="38" spans="2:139" x14ac:dyDescent="0.45">
      <c r="B38" s="58" t="str">
        <f>Assumptions!B150</f>
        <v>Insurance</v>
      </c>
      <c r="H38" s="65">
        <f>+Assumptions!$I150*H$12</f>
        <v>7813</v>
      </c>
      <c r="I38" s="65">
        <f>+Assumptions!$I150*I$12</f>
        <v>7826.0216666666674</v>
      </c>
      <c r="J38" s="65">
        <f>+Assumptions!$I150*J$12</f>
        <v>7839.065036111112</v>
      </c>
      <c r="K38" s="65">
        <f>+Assumptions!$I150*K$12</f>
        <v>7852.1301445046311</v>
      </c>
      <c r="L38" s="65">
        <f>+Assumptions!$I150*L$12</f>
        <v>7865.2170280788059</v>
      </c>
      <c r="M38" s="65">
        <f>+Assumptions!$I150*M$12</f>
        <v>7878.3257231256039</v>
      </c>
      <c r="N38" s="65">
        <f>+Assumptions!$I150*N$12</f>
        <v>7891.4562659974808</v>
      </c>
      <c r="O38" s="65">
        <f>+Assumptions!$I150*O$12</f>
        <v>7904.6086931074778</v>
      </c>
      <c r="P38" s="65">
        <f>+Assumptions!$I150*P$12</f>
        <v>7917.7830409293238</v>
      </c>
      <c r="Q38" s="65">
        <f>+Assumptions!$I150*Q$12</f>
        <v>7930.9793459975399</v>
      </c>
      <c r="R38" s="65">
        <f>+Assumptions!$I150*R$12</f>
        <v>7944.1976449075364</v>
      </c>
      <c r="S38" s="65">
        <f>+Assumptions!$I150*S$12</f>
        <v>7957.437974315716</v>
      </c>
      <c r="T38" s="65">
        <f>+Assumptions!$I150*T$12</f>
        <v>7970.7003709395758</v>
      </c>
      <c r="U38" s="65">
        <f>+Assumptions!$I150*U$12</f>
        <v>7983.9848715578091</v>
      </c>
      <c r="V38" s="65">
        <f>+Assumptions!$I150*V$12</f>
        <v>7997.2915130104057</v>
      </c>
      <c r="W38" s="65">
        <f>+Assumptions!$I150*W$12</f>
        <v>8010.6203321987587</v>
      </c>
      <c r="X38" s="65">
        <f>+Assumptions!$I150*X$12</f>
        <v>8023.971366085756</v>
      </c>
      <c r="Y38" s="65">
        <f>+Assumptions!$I150*Y$12</f>
        <v>8037.3446516958993</v>
      </c>
      <c r="Z38" s="65">
        <f>+Assumptions!$I150*Z$12</f>
        <v>8050.7402261153939</v>
      </c>
      <c r="AA38" s="65">
        <f>+Assumptions!$I150*AA$12</f>
        <v>8064.1581264922524</v>
      </c>
      <c r="AB38" s="65">
        <f>+Assumptions!$I150*AB$12</f>
        <v>8077.5983900364072</v>
      </c>
      <c r="AC38" s="65">
        <f>+Assumptions!$I150*AC$12</f>
        <v>8091.0610540198013</v>
      </c>
      <c r="AD38" s="65">
        <f>+Assumptions!$I150*AD$12</f>
        <v>8104.546155776502</v>
      </c>
      <c r="AE38" s="65">
        <f>+Assumptions!$I150*AE$12</f>
        <v>8118.0537327027978</v>
      </c>
      <c r="AF38" s="65">
        <f>+Assumptions!$I150*AF$12</f>
        <v>8131.5838222573011</v>
      </c>
      <c r="AG38" s="65">
        <f>+Assumptions!$I150*AG$12</f>
        <v>8145.136461961064</v>
      </c>
      <c r="AH38" s="65">
        <f>+Assumptions!$I150*AH$12</f>
        <v>8158.7116893976663</v>
      </c>
      <c r="AI38" s="65">
        <f>+Assumptions!$I150*AI$12</f>
        <v>8172.3095422133301</v>
      </c>
      <c r="AJ38" s="65">
        <f>+Assumptions!$I150*AJ$12</f>
        <v>8185.9300581170201</v>
      </c>
      <c r="AK38" s="65">
        <f>+Assumptions!$I150*AK$12</f>
        <v>8199.5732748805476</v>
      </c>
      <c r="AL38" s="65">
        <f>+Assumptions!$I150*AL$12</f>
        <v>8213.2392303386841</v>
      </c>
      <c r="AM38" s="65">
        <f>+Assumptions!$I150*AM$12</f>
        <v>8226.9279623892489</v>
      </c>
      <c r="AN38" s="65">
        <f>+Assumptions!$I150*AN$12</f>
        <v>8240.6395089932321</v>
      </c>
      <c r="AO38" s="65">
        <f>+Assumptions!$I150*AO$12</f>
        <v>8254.3739081748863</v>
      </c>
      <c r="AP38" s="65">
        <f>+Assumptions!$I150*AP$12</f>
        <v>8268.131198021847</v>
      </c>
      <c r="AQ38" s="65">
        <f>+Assumptions!$I150*AQ$12</f>
        <v>8281.911416685216</v>
      </c>
      <c r="AR38" s="65">
        <f>+Assumptions!$I150*AR$12</f>
        <v>8295.7146023796922</v>
      </c>
      <c r="AS38" s="65">
        <f>+Assumptions!$I150*AS$12</f>
        <v>8309.5407933836577</v>
      </c>
      <c r="AT38" s="65">
        <f>+Assumptions!$I150*AT$12</f>
        <v>8323.3900280392991</v>
      </c>
      <c r="AU38" s="65">
        <f>+Assumptions!$I150*AU$12</f>
        <v>8337.2623447527003</v>
      </c>
      <c r="AV38" s="65">
        <f>+Assumptions!$I150*AV$12</f>
        <v>8351.1577819939521</v>
      </c>
      <c r="AW38" s="65">
        <f>+Assumptions!$I150*AW$12</f>
        <v>8365.0763782972772</v>
      </c>
      <c r="AX38" s="65">
        <f>+Assumptions!$I150*AX$12</f>
        <v>8379.0181722611069</v>
      </c>
      <c r="AY38" s="65">
        <f>+Assumptions!$I150*AY$12</f>
        <v>8392.9832025482083</v>
      </c>
      <c r="AZ38" s="65">
        <f>+Assumptions!$I150*AZ$12</f>
        <v>8406.9715078857898</v>
      </c>
      <c r="BA38" s="65">
        <f>+Assumptions!$I150*BA$12</f>
        <v>8420.9831270655995</v>
      </c>
      <c r="BB38" s="65">
        <f>+Assumptions!$I150*BB$12</f>
        <v>8435.0180989440432</v>
      </c>
      <c r="BC38" s="65">
        <f>+Assumptions!$I150*BC$12</f>
        <v>8449.0764624422845</v>
      </c>
      <c r="BD38" s="65">
        <f>+Assumptions!$I150*BD$12</f>
        <v>8463.1582565463541</v>
      </c>
      <c r="BE38" s="65">
        <f>+Assumptions!$I150*BE$12</f>
        <v>8477.2635203072659</v>
      </c>
      <c r="BF38" s="65">
        <f>+Assumptions!$I150*BF$12</f>
        <v>8491.3922928411121</v>
      </c>
      <c r="BG38" s="65">
        <f>+Assumptions!$I150*BG$12</f>
        <v>8505.5446133291807</v>
      </c>
      <c r="BH38" s="65">
        <f>+Assumptions!$I150*BH$12</f>
        <v>8519.7205210180637</v>
      </c>
      <c r="BI38" s="65">
        <f>+Assumptions!$I150*BI$12</f>
        <v>8533.9200552197617</v>
      </c>
      <c r="BJ38" s="65">
        <f>+Assumptions!$I150*BJ$12</f>
        <v>8548.1432553117938</v>
      </c>
      <c r="BK38" s="65">
        <f>+Assumptions!$I150*BK$12</f>
        <v>8562.3901607373155</v>
      </c>
      <c r="BL38" s="65">
        <f>+Assumptions!$I150*BL$12</f>
        <v>8576.6608110052111</v>
      </c>
      <c r="BM38" s="65">
        <f>+Assumptions!$I150*BM$12</f>
        <v>8590.9552456902202</v>
      </c>
      <c r="BN38" s="65">
        <f>+Assumptions!$I150*BN$12</f>
        <v>8605.2735044330384</v>
      </c>
      <c r="BO38" s="65">
        <f>+Assumptions!$I150*BO$12</f>
        <v>8619.6156269404255</v>
      </c>
      <c r="BP38" s="65">
        <f>+Assumptions!$I150*BP$12</f>
        <v>8633.9816529853288</v>
      </c>
      <c r="BQ38" s="65">
        <f>+Assumptions!$I150*BQ$12</f>
        <v>8648.3716224069703</v>
      </c>
      <c r="BR38" s="65">
        <f>+Assumptions!$I150*BR$12</f>
        <v>8662.7855751109837</v>
      </c>
      <c r="BS38" s="65">
        <f>+Assumptions!$I150*BS$12</f>
        <v>8677.2235510695027</v>
      </c>
      <c r="BT38" s="65">
        <f>+Assumptions!$I150*BT$12</f>
        <v>8691.6855903212854</v>
      </c>
      <c r="BU38" s="65">
        <f>+Assumptions!$I150*BU$12</f>
        <v>8706.1717329718213</v>
      </c>
      <c r="BV38" s="65">
        <f>+Assumptions!$I150*BV$12</f>
        <v>8720.6820191934421</v>
      </c>
      <c r="BW38" s="65">
        <f>+Assumptions!$I150*BW$12</f>
        <v>8735.2164892254314</v>
      </c>
      <c r="BX38" s="65">
        <f>+Assumptions!$I150*BX$12</f>
        <v>8749.7751833741404</v>
      </c>
      <c r="BY38" s="65">
        <f>+Assumptions!$I150*BY$12</f>
        <v>8764.3581420130977</v>
      </c>
      <c r="BZ38" s="65">
        <f>+Assumptions!$I150*BZ$12</f>
        <v>8778.9654055831197</v>
      </c>
      <c r="CA38" s="65">
        <f>+Assumptions!$I150*CA$12</f>
        <v>8793.5970145924275</v>
      </c>
      <c r="CB38" s="65">
        <f>+Assumptions!$I150*CB$12</f>
        <v>8808.2530096167466</v>
      </c>
      <c r="CC38" s="65">
        <f>+Assumptions!$I150*CC$12</f>
        <v>8822.9334312994433</v>
      </c>
      <c r="CD38" s="65">
        <f>+Assumptions!$I150*CD$12</f>
        <v>8837.6383203516089</v>
      </c>
      <c r="CE38" s="65">
        <f>+Assumptions!$I150*CE$12</f>
        <v>8852.3677175521952</v>
      </c>
      <c r="CF38" s="65">
        <f>+Assumptions!$I150*CF$12</f>
        <v>8867.1216637481175</v>
      </c>
      <c r="CG38" s="65">
        <f>+Assumptions!$I150*CG$12</f>
        <v>8881.9001998543645</v>
      </c>
      <c r="CH38" s="65">
        <f>+Assumptions!$I150*CH$12</f>
        <v>8896.7033668541208</v>
      </c>
      <c r="CI38" s="65">
        <f>+Assumptions!$I150*CI$12</f>
        <v>8911.5312057988795</v>
      </c>
      <c r="CJ38" s="65">
        <f>+Assumptions!$I150*CJ$12</f>
        <v>8926.383757808544</v>
      </c>
      <c r="CK38" s="65">
        <f>+Assumptions!$I150*CK$12</f>
        <v>8941.2610640715593</v>
      </c>
      <c r="CL38" s="65">
        <f>+Assumptions!$I150*CL$12</f>
        <v>8956.1631658450133</v>
      </c>
      <c r="CM38" s="65">
        <f>+Assumptions!$I150*CM$12</f>
        <v>8971.0901044547554</v>
      </c>
      <c r="CN38" s="65">
        <f>+Assumptions!$I150*CN$12</f>
        <v>8986.0419212955148</v>
      </c>
      <c r="CO38" s="65">
        <f>+Assumptions!$I150*CO$12</f>
        <v>9001.0186578310058</v>
      </c>
      <c r="CP38" s="65">
        <f>+Assumptions!$I150*CP$12</f>
        <v>9016.0203555940607</v>
      </c>
      <c r="CQ38" s="65">
        <f>+Assumptions!$I150*CQ$12</f>
        <v>9031.0470561867187</v>
      </c>
      <c r="CR38" s="65">
        <f>+Assumptions!$I150*CR$12</f>
        <v>9046.0988012803609</v>
      </c>
      <c r="CS38" s="65">
        <f>+Assumptions!$I150*CS$12</f>
        <v>9061.1756326158284</v>
      </c>
      <c r="CT38" s="65">
        <f>+Assumptions!$I150*CT$12</f>
        <v>9076.2775920035238</v>
      </c>
      <c r="CU38" s="65">
        <f>+Assumptions!$I150*CU$12</f>
        <v>9091.4047213235299</v>
      </c>
      <c r="CV38" s="65">
        <f>+Assumptions!$I150*CV$12</f>
        <v>9106.5570625257369</v>
      </c>
      <c r="CW38" s="65">
        <f>+Assumptions!$I150*CW$12</f>
        <v>9121.734657629946</v>
      </c>
      <c r="CX38" s="65">
        <f>+Assumptions!$I150*CX$12</f>
        <v>9136.9375487259967</v>
      </c>
      <c r="CY38" s="65">
        <f>+Assumptions!$I150*CY$12</f>
        <v>9152.1657779738762</v>
      </c>
      <c r="CZ38" s="65">
        <f>+Assumptions!$I150*CZ$12</f>
        <v>9167.4193876038335</v>
      </c>
      <c r="DA38" s="65">
        <f>+Assumptions!$I150*DA$12</f>
        <v>9182.6984199165054</v>
      </c>
      <c r="DB38" s="65">
        <f>+Assumptions!$I150*DB$12</f>
        <v>9198.0029172830345</v>
      </c>
      <c r="DC38" s="65">
        <f>+Assumptions!$I150*DC$12</f>
        <v>9213.3329221451731</v>
      </c>
      <c r="DD38" s="65">
        <f>+Assumptions!$I150*DD$12</f>
        <v>9228.6884770154156</v>
      </c>
      <c r="DE38" s="65">
        <f>+Assumptions!$I150*DE$12</f>
        <v>9244.0696244771079</v>
      </c>
      <c r="DF38" s="65">
        <f>+Assumptions!$I150*DF$12</f>
        <v>9259.4764071845711</v>
      </c>
      <c r="DG38" s="65">
        <f>+Assumptions!$I150*DG$12</f>
        <v>9274.9088678632143</v>
      </c>
      <c r="DH38" s="65">
        <f>+Assumptions!$I150*DH$12</f>
        <v>9290.3670493096506</v>
      </c>
      <c r="DI38" s="65">
        <f>+Assumptions!$I150*DI$12</f>
        <v>9305.8509943918343</v>
      </c>
      <c r="DJ38" s="65">
        <f>+Assumptions!$I150*DJ$12</f>
        <v>9321.3607460491548</v>
      </c>
      <c r="DK38" s="65">
        <f>+Assumptions!$I150*DK$12</f>
        <v>9336.8963472925698</v>
      </c>
      <c r="DL38" s="65">
        <f>+Assumptions!$I150*DL$12</f>
        <v>9352.4578412047267</v>
      </c>
      <c r="DM38" s="65">
        <f>+Assumptions!$I150*DM$12</f>
        <v>9368.0452709400688</v>
      </c>
      <c r="DN38" s="65">
        <f>+Assumptions!$I150*DN$12</f>
        <v>9383.6586797249693</v>
      </c>
      <c r="DO38" s="65">
        <f>+Assumptions!$I150*DO$12</f>
        <v>9399.298110857846</v>
      </c>
      <c r="DP38" s="65">
        <f>+Assumptions!$I150*DP$12</f>
        <v>9414.9636077092764</v>
      </c>
      <c r="DQ38" s="65">
        <f>+Assumptions!$I150*DQ$12</f>
        <v>9430.6552137221242</v>
      </c>
      <c r="DR38" s="65">
        <f>+Assumptions!$I150*DR$12</f>
        <v>9446.372972411662</v>
      </c>
      <c r="DS38" s="65">
        <f>+Assumptions!$I150*DS$12</f>
        <v>9462.1169273656815</v>
      </c>
      <c r="DT38" s="65">
        <f>+Assumptions!$I150*DT$12</f>
        <v>9477.8871222446269</v>
      </c>
      <c r="DU38" s="65">
        <f>+Assumptions!$I150*DU$12</f>
        <v>9493.6836007817001</v>
      </c>
      <c r="DV38" s="65">
        <f>+Assumptions!$I150*DV$12</f>
        <v>9509.5064067830044</v>
      </c>
      <c r="DW38" s="65">
        <f>+Assumptions!$I150*DW$12</f>
        <v>9525.3555841276448</v>
      </c>
      <c r="DX38" s="65">
        <f>+Assumptions!$I150*DX$12</f>
        <v>9541.2311767678566</v>
      </c>
      <c r="DY38" s="65">
        <f>+Assumptions!$I150*DY$12</f>
        <v>9557.133228729137</v>
      </c>
      <c r="DZ38" s="65">
        <f>+Assumptions!$I150*DZ$12</f>
        <v>9573.061784110354</v>
      </c>
      <c r="EA38" s="65">
        <f>+Assumptions!$I150*EA$12</f>
        <v>9589.0168870838697</v>
      </c>
      <c r="EB38" s="65">
        <f>+Assumptions!$I150*EB$12</f>
        <v>9604.9985818956775</v>
      </c>
      <c r="EC38" s="65">
        <f>+Assumptions!$I150*EC$12</f>
        <v>9621.0069128655032</v>
      </c>
      <c r="ED38" s="65">
        <f>+Assumptions!$I150*ED$12</f>
        <v>9637.0419243869492</v>
      </c>
      <c r="EE38" s="65">
        <f>+Assumptions!$I150*EE$12</f>
        <v>9653.1036609275943</v>
      </c>
      <c r="EF38" s="65">
        <f>+Assumptions!$I150*EF$12</f>
        <v>9669.1921670291413</v>
      </c>
      <c r="EG38" s="65">
        <f>+Assumptions!$I150*EG$12</f>
        <v>9685.307487307522</v>
      </c>
      <c r="EH38" s="65">
        <f>+Assumptions!$I150*EH$12</f>
        <v>9701.4496664530361</v>
      </c>
      <c r="EI38" s="65">
        <f>+Assumptions!$I150*EI$12</f>
        <v>9717.6187492304598</v>
      </c>
    </row>
    <row r="39" spans="2:139" x14ac:dyDescent="0.45">
      <c r="B39" s="58" t="str">
        <f>Assumptions!B151</f>
        <v>Water / Sewer</v>
      </c>
      <c r="H39" s="65">
        <f>+Assumptions!$G$151/12*'NOI Walk'!H20*'NOI Walk'!H12</f>
        <v>3912.3430555555547</v>
      </c>
      <c r="I39" s="65">
        <f>+Assumptions!$G$151/12*'NOI Walk'!I20*'NOI Walk'!I12</f>
        <v>3768.1381031873211</v>
      </c>
      <c r="J39" s="65">
        <f>+Assumptions!$G$151/12*'NOI Walk'!J20*'NOI Walk'!J12</f>
        <v>3623.441600024928</v>
      </c>
      <c r="K39" s="65">
        <f>+Assumptions!$G$151/12*'NOI Walk'!K20*'NOI Walk'!K12</f>
        <v>3478.2523081350409</v>
      </c>
      <c r="L39" s="65">
        <f>+Assumptions!$G$151/12*'NOI Walk'!L20*'NOI Walk'!L12</f>
        <v>3484.0493953152659</v>
      </c>
      <c r="M39" s="65">
        <f>+Assumptions!$G$151/12*'NOI Walk'!M20*'NOI Walk'!M12</f>
        <v>3489.8561443074582</v>
      </c>
      <c r="N39" s="65">
        <f>+Assumptions!$G$151/12*'NOI Walk'!N20*'NOI Walk'!N12</f>
        <v>3495.6725712146376</v>
      </c>
      <c r="O39" s="65">
        <f>+Assumptions!$G$151/12*'NOI Walk'!O20*'NOI Walk'!O12</f>
        <v>3501.4986921666627</v>
      </c>
      <c r="P39" s="65">
        <f>+Assumptions!$G$151/12*'NOI Walk'!P20*'NOI Walk'!P12</f>
        <v>3507.3345233202735</v>
      </c>
      <c r="Q39" s="65">
        <f>+Assumptions!$G$151/12*'NOI Walk'!Q20*'NOI Walk'!Q12</f>
        <v>3513.1800808591411</v>
      </c>
      <c r="R39" s="65">
        <f>+Assumptions!$G$151/12*'NOI Walk'!R20*'NOI Walk'!R12</f>
        <v>3519.0353809939065</v>
      </c>
      <c r="S39" s="65">
        <f>+Assumptions!$G$151/12*'NOI Walk'!S20*'NOI Walk'!S12</f>
        <v>3524.9004399622299</v>
      </c>
      <c r="T39" s="65">
        <f>+Assumptions!$G$151/12*'NOI Walk'!T20*'NOI Walk'!T12</f>
        <v>3530.7752740288338</v>
      </c>
      <c r="U39" s="65">
        <f>+Assumptions!$G$151/12*'NOI Walk'!U20*'NOI Walk'!U12</f>
        <v>3536.659899485549</v>
      </c>
      <c r="V39" s="65">
        <f>+Assumptions!$G$151/12*'NOI Walk'!V20*'NOI Walk'!V12</f>
        <v>3542.554332651358</v>
      </c>
      <c r="W39" s="65">
        <f>+Assumptions!$G$151/12*'NOI Walk'!W20*'NOI Walk'!W12</f>
        <v>3548.4585898724445</v>
      </c>
      <c r="X39" s="65">
        <f>+Assumptions!$G$151/12*'NOI Walk'!X20*'NOI Walk'!X12</f>
        <v>3554.3726875222319</v>
      </c>
      <c r="Y39" s="65">
        <f>+Assumptions!$G$151/12*'NOI Walk'!Y20*'NOI Walk'!Y12</f>
        <v>3560.2966420014354</v>
      </c>
      <c r="Z39" s="65">
        <f>+Assumptions!$G$151/12*'NOI Walk'!Z20*'NOI Walk'!Z12</f>
        <v>3566.2304697381055</v>
      </c>
      <c r="AA39" s="65">
        <f>+Assumptions!$G$151/12*'NOI Walk'!AA20*'NOI Walk'!AA12</f>
        <v>3572.1741871876688</v>
      </c>
      <c r="AB39" s="65">
        <f>+Assumptions!$G$151/12*'NOI Walk'!AB20*'NOI Walk'!AB12</f>
        <v>3578.127810832982</v>
      </c>
      <c r="AC39" s="65">
        <f>+Assumptions!$G$151/12*'NOI Walk'!AC20*'NOI Walk'!AC12</f>
        <v>3584.0913571843703</v>
      </c>
      <c r="AD39" s="65">
        <f>+Assumptions!$G$151/12*'NOI Walk'!AD20*'NOI Walk'!AD12</f>
        <v>3590.0648427796777</v>
      </c>
      <c r="AE39" s="65">
        <f>+Assumptions!$G$151/12*'NOI Walk'!AE20*'NOI Walk'!AE12</f>
        <v>3596.0482841843118</v>
      </c>
      <c r="AF39" s="65">
        <f>+Assumptions!$G$151/12*'NOI Walk'!AF20*'NOI Walk'!AF12</f>
        <v>3602.0416979912848</v>
      </c>
      <c r="AG39" s="65">
        <f>+Assumptions!$G$151/12*'NOI Walk'!AG20*'NOI Walk'!AG12</f>
        <v>3608.0451008212704</v>
      </c>
      <c r="AH39" s="65">
        <f>+Assumptions!$G$151/12*'NOI Walk'!AH20*'NOI Walk'!AH12</f>
        <v>3614.0585093226396</v>
      </c>
      <c r="AI39" s="65">
        <f>+Assumptions!$G$151/12*'NOI Walk'!AI20*'NOI Walk'!AI12</f>
        <v>3777.4768071354897</v>
      </c>
      <c r="AJ39" s="65">
        <f>+Assumptions!$G$151/12*'NOI Walk'!AJ20*'NOI Walk'!AJ12</f>
        <v>3941.4297935563013</v>
      </c>
      <c r="AK39" s="65">
        <f>+Assumptions!$G$151/12*'NOI Walk'!AK20*'NOI Walk'!AK12</f>
        <v>4105.9187969407176</v>
      </c>
      <c r="AL39" s="65">
        <f>+Assumptions!$G$151/12*'NOI Walk'!AL20*'NOI Walk'!AL12</f>
        <v>4112.7619949356194</v>
      </c>
      <c r="AM39" s="65">
        <f>+Assumptions!$G$151/12*'NOI Walk'!AM20*'NOI Walk'!AM12</f>
        <v>4119.6165982605125</v>
      </c>
      <c r="AN39" s="65">
        <f>+Assumptions!$G$151/12*'NOI Walk'!AN20*'NOI Walk'!AN12</f>
        <v>4126.4826259242809</v>
      </c>
      <c r="AO39" s="65">
        <f>+Assumptions!$G$151/12*'NOI Walk'!AO20*'NOI Walk'!AO12</f>
        <v>4133.3600969674881</v>
      </c>
      <c r="AP39" s="65">
        <f>+Assumptions!$G$151/12*'NOI Walk'!AP20*'NOI Walk'!AP12</f>
        <v>4140.2490304624343</v>
      </c>
      <c r="AQ39" s="65">
        <f>+Assumptions!$G$151/12*'NOI Walk'!AQ20*'NOI Walk'!AQ12</f>
        <v>4147.1494455132042</v>
      </c>
      <c r="AR39" s="65">
        <f>+Assumptions!$G$151/12*'NOI Walk'!AR20*'NOI Walk'!AR12</f>
        <v>4154.0613612557272</v>
      </c>
      <c r="AS39" s="65">
        <f>+Assumptions!$G$151/12*'NOI Walk'!AS20*'NOI Walk'!AS12</f>
        <v>4160.9847968578197</v>
      </c>
      <c r="AT39" s="65">
        <f>+Assumptions!$G$151/12*'NOI Walk'!AT20*'NOI Walk'!AT12</f>
        <v>4167.9197715192504</v>
      </c>
      <c r="AU39" s="65">
        <f>+Assumptions!$G$151/12*'NOI Walk'!AU20*'NOI Walk'!AU12</f>
        <v>4174.8663044717832</v>
      </c>
      <c r="AV39" s="65">
        <f>+Assumptions!$G$151/12*'NOI Walk'!AV20*'NOI Walk'!AV12</f>
        <v>4181.8244149792354</v>
      </c>
      <c r="AW39" s="65">
        <f>+Assumptions!$G$151/12*'NOI Walk'!AW20*'NOI Walk'!AW12</f>
        <v>4188.7941223375346</v>
      </c>
      <c r="AX39" s="65">
        <f>+Assumptions!$G$151/12*'NOI Walk'!AX20*'NOI Walk'!AX12</f>
        <v>4195.775445874764</v>
      </c>
      <c r="AY39" s="65">
        <f>+Assumptions!$G$151/12*'NOI Walk'!AY20*'NOI Walk'!AY12</f>
        <v>4202.7684049512218</v>
      </c>
      <c r="AZ39" s="65">
        <f>+Assumptions!$G$151/12*'NOI Walk'!AZ20*'NOI Walk'!AZ12</f>
        <v>4209.7730189594749</v>
      </c>
      <c r="BA39" s="65">
        <f>+Assumptions!$G$151/12*'NOI Walk'!BA20*'NOI Walk'!BA12</f>
        <v>4216.7893073244077</v>
      </c>
      <c r="BB39" s="65">
        <f>+Assumptions!$G$151/12*'NOI Walk'!BB20*'NOI Walk'!BB12</f>
        <v>4223.8172895032822</v>
      </c>
      <c r="BC39" s="65">
        <f>+Assumptions!$G$151/12*'NOI Walk'!BC20*'NOI Walk'!BC12</f>
        <v>4230.8569849857886</v>
      </c>
      <c r="BD39" s="65">
        <f>+Assumptions!$G$151/12*'NOI Walk'!BD20*'NOI Walk'!BD12</f>
        <v>4237.908413294098</v>
      </c>
      <c r="BE39" s="65">
        <f>+Assumptions!$G$151/12*'NOI Walk'!BE20*'NOI Walk'!BE12</f>
        <v>4244.9715939829211</v>
      </c>
      <c r="BF39" s="65">
        <f>+Assumptions!$G$151/12*'NOI Walk'!BF20*'NOI Walk'!BF12</f>
        <v>4252.0465466395599</v>
      </c>
      <c r="BG39" s="65">
        <f>+Assumptions!$G$151/12*'NOI Walk'!BG20*'NOI Walk'!BG12</f>
        <v>4259.1332908839595</v>
      </c>
      <c r="BH39" s="65">
        <f>+Assumptions!$G$151/12*'NOI Walk'!BH20*'NOI Walk'!BH12</f>
        <v>4266.2318463687661</v>
      </c>
      <c r="BI39" s="65">
        <f>+Assumptions!$G$151/12*'NOI Walk'!BI20*'NOI Walk'!BI12</f>
        <v>4273.3422327793814</v>
      </c>
      <c r="BJ39" s="65">
        <f>+Assumptions!$G$151/12*'NOI Walk'!BJ20*'NOI Walk'!BJ12</f>
        <v>4280.4644698340135</v>
      </c>
      <c r="BK39" s="65">
        <f>+Assumptions!$G$151/12*'NOI Walk'!BK20*'NOI Walk'!BK12</f>
        <v>4287.5985772837385</v>
      </c>
      <c r="BL39" s="65">
        <f>+Assumptions!$G$151/12*'NOI Walk'!BL20*'NOI Walk'!BL12</f>
        <v>4294.7445749125436</v>
      </c>
      <c r="BM39" s="65">
        <f>+Assumptions!$G$151/12*'NOI Walk'!BM20*'NOI Walk'!BM12</f>
        <v>4301.9024825373981</v>
      </c>
      <c r="BN39" s="65">
        <f>+Assumptions!$G$151/12*'NOI Walk'!BN20*'NOI Walk'!BN12</f>
        <v>4309.0723200082948</v>
      </c>
      <c r="BO39" s="65">
        <f>+Assumptions!$G$151/12*'NOI Walk'!BO20*'NOI Walk'!BO12</f>
        <v>4316.2541072083077</v>
      </c>
      <c r="BP39" s="65">
        <f>+Assumptions!$G$151/12*'NOI Walk'!BP20*'NOI Walk'!BP12</f>
        <v>4323.4478640536563</v>
      </c>
      <c r="BQ39" s="65">
        <f>+Assumptions!$G$151/12*'NOI Walk'!BQ20*'NOI Walk'!BQ12</f>
        <v>4330.6536104937459</v>
      </c>
      <c r="BR39" s="65">
        <f>+Assumptions!$G$151/12*'NOI Walk'!BR20*'NOI Walk'!BR12</f>
        <v>4337.8713665112364</v>
      </c>
      <c r="BS39" s="65">
        <f>+Assumptions!$G$151/12*'NOI Walk'!BS20*'NOI Walk'!BS12</f>
        <v>4345.101152122088</v>
      </c>
      <c r="BT39" s="65">
        <f>+Assumptions!$G$151/12*'NOI Walk'!BT20*'NOI Walk'!BT12</f>
        <v>4352.3429873756259</v>
      </c>
      <c r="BU39" s="65">
        <f>+Assumptions!$G$151/12*'NOI Walk'!BU20*'NOI Walk'!BU12</f>
        <v>4359.5968923545843</v>
      </c>
      <c r="BV39" s="65">
        <f>+Assumptions!$G$151/12*'NOI Walk'!BV20*'NOI Walk'!BV12</f>
        <v>4366.8628871751762</v>
      </c>
      <c r="BW39" s="65">
        <f>+Assumptions!$G$151/12*'NOI Walk'!BW20*'NOI Walk'!BW12</f>
        <v>4374.1409919871348</v>
      </c>
      <c r="BX39" s="65">
        <f>+Assumptions!$G$151/12*'NOI Walk'!BX20*'NOI Walk'!BX12</f>
        <v>4381.4312269737802</v>
      </c>
      <c r="BY39" s="65">
        <f>+Assumptions!$G$151/12*'NOI Walk'!BY20*'NOI Walk'!BY12</f>
        <v>4388.7336123520699</v>
      </c>
      <c r="BZ39" s="65">
        <f>+Assumptions!$G$151/12*'NOI Walk'!BZ20*'NOI Walk'!BZ12</f>
        <v>4396.0481683726566</v>
      </c>
      <c r="CA39" s="65">
        <f>+Assumptions!$G$151/12*'NOI Walk'!CA20*'NOI Walk'!CA12</f>
        <v>4403.374915319946</v>
      </c>
      <c r="CB39" s="65">
        <f>+Assumptions!$G$151/12*'NOI Walk'!CB20*'NOI Walk'!CB12</f>
        <v>4410.7138735121453</v>
      </c>
      <c r="CC39" s="65">
        <f>+Assumptions!$G$151/12*'NOI Walk'!CC20*'NOI Walk'!CC12</f>
        <v>4418.0650633013329</v>
      </c>
      <c r="CD39" s="65">
        <f>+Assumptions!$G$151/12*'NOI Walk'!CD20*'NOI Walk'!CD12</f>
        <v>4425.4285050735025</v>
      </c>
      <c r="CE39" s="65">
        <f>+Assumptions!$G$151/12*'NOI Walk'!CE20*'NOI Walk'!CE12</f>
        <v>4432.8042192486246</v>
      </c>
      <c r="CF39" s="65">
        <f>+Assumptions!$G$151/12*'NOI Walk'!CF20*'NOI Walk'!CF12</f>
        <v>4440.1922262807066</v>
      </c>
      <c r="CG39" s="65">
        <f>+Assumptions!$G$151/12*'NOI Walk'!CG20*'NOI Walk'!CG12</f>
        <v>4447.592546657841</v>
      </c>
      <c r="CH39" s="65">
        <f>+Assumptions!$G$151/12*'NOI Walk'!CH20*'NOI Walk'!CH12</f>
        <v>4455.0052009022711</v>
      </c>
      <c r="CI39" s="65">
        <f>+Assumptions!$G$151/12*'NOI Walk'!CI20*'NOI Walk'!CI12</f>
        <v>4462.4302095704425</v>
      </c>
      <c r="CJ39" s="65">
        <f>+Assumptions!$G$151/12*'NOI Walk'!CJ20*'NOI Walk'!CJ12</f>
        <v>4469.8675932530596</v>
      </c>
      <c r="CK39" s="65">
        <f>+Assumptions!$G$151/12*'NOI Walk'!CK20*'NOI Walk'!CK12</f>
        <v>4477.3173725751476</v>
      </c>
      <c r="CL39" s="65">
        <f>+Assumptions!$G$151/12*'NOI Walk'!CL20*'NOI Walk'!CL12</f>
        <v>4484.779568196107</v>
      </c>
      <c r="CM39" s="65">
        <f>+Assumptions!$G$151/12*'NOI Walk'!CM20*'NOI Walk'!CM12</f>
        <v>4492.254200809768</v>
      </c>
      <c r="CN39" s="65">
        <f>+Assumptions!$G$151/12*'NOI Walk'!CN20*'NOI Walk'!CN12</f>
        <v>4499.7412911444517</v>
      </c>
      <c r="CO39" s="65">
        <f>+Assumptions!$G$151/12*'NOI Walk'!CO20*'NOI Walk'!CO12</f>
        <v>4507.2408599630244</v>
      </c>
      <c r="CP39" s="65">
        <f>+Assumptions!$G$151/12*'NOI Walk'!CP20*'NOI Walk'!CP12</f>
        <v>4514.7529280629642</v>
      </c>
      <c r="CQ39" s="65">
        <f>+Assumptions!$G$151/12*'NOI Walk'!CQ20*'NOI Walk'!CQ12</f>
        <v>4522.2775162764037</v>
      </c>
      <c r="CR39" s="65">
        <f>+Assumptions!$G$151/12*'NOI Walk'!CR20*'NOI Walk'!CR12</f>
        <v>4529.8146454701964</v>
      </c>
      <c r="CS39" s="65">
        <f>+Assumptions!$G$151/12*'NOI Walk'!CS20*'NOI Walk'!CS12</f>
        <v>4537.3643365459802</v>
      </c>
      <c r="CT39" s="65">
        <f>+Assumptions!$G$151/12*'NOI Walk'!CT20*'NOI Walk'!CT12</f>
        <v>4544.9266104402241</v>
      </c>
      <c r="CU39" s="65">
        <f>+Assumptions!$G$151/12*'NOI Walk'!CU20*'NOI Walk'!CU12</f>
        <v>4552.5014881242923</v>
      </c>
      <c r="CV39" s="65">
        <f>+Assumptions!$G$151/12*'NOI Walk'!CV20*'NOI Walk'!CV12</f>
        <v>4560.0889906045004</v>
      </c>
      <c r="CW39" s="65">
        <f>+Assumptions!$G$151/12*'NOI Walk'!CW20*'NOI Walk'!CW12</f>
        <v>4567.6891389221737</v>
      </c>
      <c r="CX39" s="65">
        <f>+Assumptions!$G$151/12*'NOI Walk'!CX20*'NOI Walk'!CX12</f>
        <v>4575.3019541537114</v>
      </c>
      <c r="CY39" s="65">
        <f>+Assumptions!$G$151/12*'NOI Walk'!CY20*'NOI Walk'!CY12</f>
        <v>4582.9274574106348</v>
      </c>
      <c r="CZ39" s="65">
        <f>+Assumptions!$G$151/12*'NOI Walk'!CZ20*'NOI Walk'!CZ12</f>
        <v>4590.5656698396533</v>
      </c>
      <c r="DA39" s="65">
        <f>+Assumptions!$G$151/12*'NOI Walk'!DA20*'NOI Walk'!DA12</f>
        <v>4598.2166126227185</v>
      </c>
      <c r="DB39" s="65">
        <f>+Assumptions!$G$151/12*'NOI Walk'!DB20*'NOI Walk'!DB12</f>
        <v>4605.8803069770902</v>
      </c>
      <c r="DC39" s="65">
        <f>+Assumptions!$G$151/12*'NOI Walk'!DC20*'NOI Walk'!DC12</f>
        <v>4613.5567741553859</v>
      </c>
      <c r="DD39" s="65">
        <f>+Assumptions!$G$151/12*'NOI Walk'!DD20*'NOI Walk'!DD12</f>
        <v>4621.2460354456452</v>
      </c>
      <c r="DE39" s="65">
        <f>+Assumptions!$G$151/12*'NOI Walk'!DE20*'NOI Walk'!DE12</f>
        <v>4628.9481121713879</v>
      </c>
      <c r="DF39" s="65">
        <f>+Assumptions!$G$151/12*'NOI Walk'!DF20*'NOI Walk'!DF12</f>
        <v>4636.6630256916742</v>
      </c>
      <c r="DG39" s="65">
        <f>+Assumptions!$G$151/12*'NOI Walk'!DG20*'NOI Walk'!DG12</f>
        <v>4644.3907974011609</v>
      </c>
      <c r="DH39" s="65">
        <f>+Assumptions!$G$151/12*'NOI Walk'!DH20*'NOI Walk'!DH12</f>
        <v>4652.1314487301624</v>
      </c>
      <c r="DI39" s="65">
        <f>+Assumptions!$G$151/12*'NOI Walk'!DI20*'NOI Walk'!DI12</f>
        <v>4659.885001144713</v>
      </c>
      <c r="DJ39" s="65">
        <f>+Assumptions!$G$151/12*'NOI Walk'!DJ20*'NOI Walk'!DJ12</f>
        <v>4667.6514761466215</v>
      </c>
      <c r="DK39" s="65">
        <f>+Assumptions!$G$151/12*'NOI Walk'!DK20*'NOI Walk'!DK12</f>
        <v>4675.4308952735319</v>
      </c>
      <c r="DL39" s="65">
        <f>+Assumptions!$G$151/12*'NOI Walk'!DL20*'NOI Walk'!DL12</f>
        <v>4683.2232800989896</v>
      </c>
      <c r="DM39" s="65">
        <f>+Assumptions!$G$151/12*'NOI Walk'!DM20*'NOI Walk'!DM12</f>
        <v>4691.0286522324877</v>
      </c>
      <c r="DN39" s="65">
        <f>+Assumptions!$G$151/12*'NOI Walk'!DN20*'NOI Walk'!DN12</f>
        <v>4698.8470333195428</v>
      </c>
      <c r="DO39" s="65">
        <f>+Assumptions!$G$151/12*'NOI Walk'!DO20*'NOI Walk'!DO12</f>
        <v>4706.6784450417426</v>
      </c>
      <c r="DP39" s="65">
        <f>+Assumptions!$G$151/12*'NOI Walk'!DP20*'NOI Walk'!DP12</f>
        <v>4714.5229091168121</v>
      </c>
      <c r="DQ39" s="65">
        <f>+Assumptions!$G$151/12*'NOI Walk'!DQ20*'NOI Walk'!DQ12</f>
        <v>4722.3804472986731</v>
      </c>
      <c r="DR39" s="65">
        <f>+Assumptions!$G$151/12*'NOI Walk'!DR20*'NOI Walk'!DR12</f>
        <v>4730.2510813775052</v>
      </c>
      <c r="DS39" s="65">
        <f>+Assumptions!$G$151/12*'NOI Walk'!DS20*'NOI Walk'!DS12</f>
        <v>4738.1348331798008</v>
      </c>
      <c r="DT39" s="65">
        <f>+Assumptions!$G$151/12*'NOI Walk'!DT20*'NOI Walk'!DT12</f>
        <v>4746.0317245684346</v>
      </c>
      <c r="DU39" s="65">
        <f>+Assumptions!$G$151/12*'NOI Walk'!DU20*'NOI Walk'!DU12</f>
        <v>4753.9417774427147</v>
      </c>
      <c r="DV39" s="65">
        <f>+Assumptions!$G$151/12*'NOI Walk'!DV20*'NOI Walk'!DV12</f>
        <v>4761.8650137384539</v>
      </c>
      <c r="DW39" s="65">
        <f>+Assumptions!$G$151/12*'NOI Walk'!DW20*'NOI Walk'!DW12</f>
        <v>4769.8014554280189</v>
      </c>
      <c r="DX39" s="65">
        <f>+Assumptions!$G$151/12*'NOI Walk'!DX20*'NOI Walk'!DX12</f>
        <v>4777.7511245203987</v>
      </c>
      <c r="DY39" s="65">
        <f>+Assumptions!$G$151/12*'NOI Walk'!DY20*'NOI Walk'!DY12</f>
        <v>4785.7140430612662</v>
      </c>
      <c r="DZ39" s="65">
        <f>+Assumptions!$G$151/12*'NOI Walk'!DZ20*'NOI Walk'!DZ12</f>
        <v>4793.6902331330357</v>
      </c>
      <c r="EA39" s="65">
        <f>+Assumptions!$G$151/12*'NOI Walk'!EA20*'NOI Walk'!EA12</f>
        <v>4801.6797168549228</v>
      </c>
      <c r="EB39" s="65">
        <f>+Assumptions!$G$151/12*'NOI Walk'!EB20*'NOI Walk'!EB12</f>
        <v>4809.6825163830163</v>
      </c>
      <c r="EC39" s="65">
        <f>+Assumptions!$G$151/12*'NOI Walk'!EC20*'NOI Walk'!EC12</f>
        <v>4817.6986539103209</v>
      </c>
      <c r="ED39" s="65">
        <f>+Assumptions!$G$151/12*'NOI Walk'!ED20*'NOI Walk'!ED12</f>
        <v>4825.728151666839</v>
      </c>
      <c r="EE39" s="65">
        <f>+Assumptions!$G$151/12*'NOI Walk'!EE20*'NOI Walk'!EE12</f>
        <v>4833.7710319196176</v>
      </c>
      <c r="EF39" s="65">
        <f>+Assumptions!$G$151/12*'NOI Walk'!EF20*'NOI Walk'!EF12</f>
        <v>4841.8273169728172</v>
      </c>
      <c r="EG39" s="65">
        <f>+Assumptions!$G$151/12*'NOI Walk'!EG20*'NOI Walk'!EG12</f>
        <v>4849.8970291677715</v>
      </c>
      <c r="EH39" s="65">
        <f>+Assumptions!$G$151/12*'NOI Walk'!EH20*'NOI Walk'!EH12</f>
        <v>4857.9801908830514</v>
      </c>
      <c r="EI39" s="65">
        <f>+Assumptions!$G$151/12*'NOI Walk'!EI20*'NOI Walk'!EI12</f>
        <v>4866.0768245345243</v>
      </c>
    </row>
    <row r="40" spans="2:139" x14ac:dyDescent="0.45">
      <c r="B40" s="58" t="str">
        <f>Assumptions!B152</f>
        <v>Repairs &amp; Maintenance</v>
      </c>
      <c r="H40" s="65">
        <f>+Assumptions!$G$152/12*'NOI Walk'!H20*'NOI Walk'!H12</f>
        <v>3255.416666666667</v>
      </c>
      <c r="I40" s="65">
        <f>+Assumptions!$G$152/12*'NOI Walk'!I20*'NOI Walk'!I12</f>
        <v>3135.4253472222226</v>
      </c>
      <c r="J40" s="65">
        <f>+Assumptions!$G$152/12*'NOI Walk'!J20*'NOI Walk'!J12</f>
        <v>3015.0250138888891</v>
      </c>
      <c r="K40" s="65">
        <f>+Assumptions!$G$152/12*'NOI Walk'!K20*'NOI Walk'!K12</f>
        <v>2894.2146365962585</v>
      </c>
      <c r="L40" s="65">
        <f>+Assumptions!$G$152/12*'NOI Walk'!L20*'NOI Walk'!L12</f>
        <v>2899.038327657252</v>
      </c>
      <c r="M40" s="65">
        <f>+Assumptions!$G$152/12*'NOI Walk'!M20*'NOI Walk'!M12</f>
        <v>2903.8700582033475</v>
      </c>
      <c r="N40" s="65">
        <f>+Assumptions!$G$152/12*'NOI Walk'!N20*'NOI Walk'!N12</f>
        <v>2908.7098416336867</v>
      </c>
      <c r="O40" s="65">
        <f>+Assumptions!$G$152/12*'NOI Walk'!O20*'NOI Walk'!O12</f>
        <v>2913.5576913697437</v>
      </c>
      <c r="P40" s="65">
        <f>+Assumptions!$G$152/12*'NOI Walk'!P20*'NOI Walk'!P12</f>
        <v>2918.4136208553596</v>
      </c>
      <c r="Q40" s="65">
        <f>+Assumptions!$G$152/12*'NOI Walk'!Q20*'NOI Walk'!Q12</f>
        <v>2923.2776435567857</v>
      </c>
      <c r="R40" s="65">
        <f>+Assumptions!$G$152/12*'NOI Walk'!R20*'NOI Walk'!R12</f>
        <v>2928.1497729627135</v>
      </c>
      <c r="S40" s="65">
        <f>+Assumptions!$G$152/12*'NOI Walk'!S20*'NOI Walk'!S12</f>
        <v>2933.0300225843184</v>
      </c>
      <c r="T40" s="65">
        <f>+Assumptions!$G$152/12*'NOI Walk'!T20*'NOI Walk'!T12</f>
        <v>2937.9184059552922</v>
      </c>
      <c r="U40" s="65">
        <f>+Assumptions!$G$152/12*'NOI Walk'!U20*'NOI Walk'!U12</f>
        <v>2942.8149366318848</v>
      </c>
      <c r="V40" s="65">
        <f>+Assumptions!$G$152/12*'NOI Walk'!V20*'NOI Walk'!V12</f>
        <v>2947.7196281929382</v>
      </c>
      <c r="W40" s="65">
        <f>+Assumptions!$G$152/12*'NOI Walk'!W20*'NOI Walk'!W12</f>
        <v>2952.6324942399269</v>
      </c>
      <c r="X40" s="65">
        <f>+Assumptions!$G$152/12*'NOI Walk'!X20*'NOI Walk'!X12</f>
        <v>2957.5535483969934</v>
      </c>
      <c r="Y40" s="65">
        <f>+Assumptions!$G$152/12*'NOI Walk'!Y20*'NOI Walk'!Y12</f>
        <v>2962.4828043109883</v>
      </c>
      <c r="Z40" s="65">
        <f>+Assumptions!$G$152/12*'NOI Walk'!Z20*'NOI Walk'!Z12</f>
        <v>2967.4202756515074</v>
      </c>
      <c r="AA40" s="65">
        <f>+Assumptions!$G$152/12*'NOI Walk'!AA20*'NOI Walk'!AA12</f>
        <v>2972.3659761109266</v>
      </c>
      <c r="AB40" s="65">
        <f>+Assumptions!$G$152/12*'NOI Walk'!AB20*'NOI Walk'!AB12</f>
        <v>2977.319919404445</v>
      </c>
      <c r="AC40" s="65">
        <f>+Assumptions!$G$152/12*'NOI Walk'!AC20*'NOI Walk'!AC12</f>
        <v>2982.282119270119</v>
      </c>
      <c r="AD40" s="65">
        <f>+Assumptions!$G$152/12*'NOI Walk'!AD20*'NOI Walk'!AD12</f>
        <v>2987.2525894689029</v>
      </c>
      <c r="AE40" s="65">
        <f>+Assumptions!$G$152/12*'NOI Walk'!AE20*'NOI Walk'!AE12</f>
        <v>2992.2313437846851</v>
      </c>
      <c r="AF40" s="65">
        <f>+Assumptions!$G$152/12*'NOI Walk'!AF20*'NOI Walk'!AF12</f>
        <v>2997.2183960243256</v>
      </c>
      <c r="AG40" s="65">
        <f>+Assumptions!$G$152/12*'NOI Walk'!AG20*'NOI Walk'!AG12</f>
        <v>3002.2137600176998</v>
      </c>
      <c r="AH40" s="65">
        <f>+Assumptions!$G$152/12*'NOI Walk'!AH20*'NOI Walk'!AH12</f>
        <v>3007.2174496177295</v>
      </c>
      <c r="AI40" s="65">
        <f>+Assumptions!$G$152/12*'NOI Walk'!AI20*'NOI Walk'!AI12</f>
        <v>3143.1959777743577</v>
      </c>
      <c r="AJ40" s="65">
        <f>+Assumptions!$G$152/12*'NOI Walk'!AJ20*'NOI Walk'!AJ12</f>
        <v>3279.6194143097036</v>
      </c>
      <c r="AK40" s="65">
        <f>+Assumptions!$G$152/12*'NOI Walk'!AK20*'NOI Walk'!AK12</f>
        <v>3416.4888645335618</v>
      </c>
      <c r="AL40" s="65">
        <f>+Assumptions!$G$152/12*'NOI Walk'!AL20*'NOI Walk'!AL12</f>
        <v>3422.1830126411182</v>
      </c>
      <c r="AM40" s="65">
        <f>+Assumptions!$G$152/12*'NOI Walk'!AM20*'NOI Walk'!AM12</f>
        <v>3427.8866509955205</v>
      </c>
      <c r="AN40" s="65">
        <f>+Assumptions!$G$152/12*'NOI Walk'!AN20*'NOI Walk'!AN12</f>
        <v>3433.5997954138466</v>
      </c>
      <c r="AO40" s="65">
        <f>+Assumptions!$G$152/12*'NOI Walk'!AO20*'NOI Walk'!AO12</f>
        <v>3439.3224617395363</v>
      </c>
      <c r="AP40" s="65">
        <f>+Assumptions!$G$152/12*'NOI Walk'!AP20*'NOI Walk'!AP12</f>
        <v>3445.054665842436</v>
      </c>
      <c r="AQ40" s="65">
        <f>+Assumptions!$G$152/12*'NOI Walk'!AQ20*'NOI Walk'!AQ12</f>
        <v>3450.79642361884</v>
      </c>
      <c r="AR40" s="65">
        <f>+Assumptions!$G$152/12*'NOI Walk'!AR20*'NOI Walk'!AR12</f>
        <v>3456.5477509915386</v>
      </c>
      <c r="AS40" s="65">
        <f>+Assumptions!$G$152/12*'NOI Walk'!AS20*'NOI Walk'!AS12</f>
        <v>3462.3086639098574</v>
      </c>
      <c r="AT40" s="65">
        <f>+Assumptions!$G$152/12*'NOI Walk'!AT20*'NOI Walk'!AT12</f>
        <v>3468.0791783497079</v>
      </c>
      <c r="AU40" s="65">
        <f>+Assumptions!$G$152/12*'NOI Walk'!AU20*'NOI Walk'!AU12</f>
        <v>3473.859310313625</v>
      </c>
      <c r="AV40" s="65">
        <f>+Assumptions!$G$152/12*'NOI Walk'!AV20*'NOI Walk'!AV12</f>
        <v>3479.6490758308137</v>
      </c>
      <c r="AW40" s="65">
        <f>+Assumptions!$G$152/12*'NOI Walk'!AW20*'NOI Walk'!AW12</f>
        <v>3485.4484909571984</v>
      </c>
      <c r="AX40" s="65">
        <f>+Assumptions!$G$152/12*'NOI Walk'!AX20*'NOI Walk'!AX12</f>
        <v>3491.2575717754612</v>
      </c>
      <c r="AY40" s="65">
        <f>+Assumptions!$G$152/12*'NOI Walk'!AY20*'NOI Walk'!AY12</f>
        <v>3497.0763343950866</v>
      </c>
      <c r="AZ40" s="65">
        <f>+Assumptions!$G$152/12*'NOI Walk'!AZ20*'NOI Walk'!AZ12</f>
        <v>3502.9047949524124</v>
      </c>
      <c r="BA40" s="65">
        <f>+Assumptions!$G$152/12*'NOI Walk'!BA20*'NOI Walk'!BA12</f>
        <v>3508.7429696106665</v>
      </c>
      <c r="BB40" s="65">
        <f>+Assumptions!$G$152/12*'NOI Walk'!BB20*'NOI Walk'!BB12</f>
        <v>3514.5908745600182</v>
      </c>
      <c r="BC40" s="65">
        <f>+Assumptions!$G$152/12*'NOI Walk'!BC20*'NOI Walk'!BC12</f>
        <v>3520.4485260176189</v>
      </c>
      <c r="BD40" s="65">
        <f>+Assumptions!$G$152/12*'NOI Walk'!BD20*'NOI Walk'!BD12</f>
        <v>3526.3159402276478</v>
      </c>
      <c r="BE40" s="65">
        <f>+Assumptions!$G$152/12*'NOI Walk'!BE20*'NOI Walk'!BE12</f>
        <v>3532.1931334613605</v>
      </c>
      <c r="BF40" s="65">
        <f>+Assumptions!$G$152/12*'NOI Walk'!BF20*'NOI Walk'!BF12</f>
        <v>3538.0801220171302</v>
      </c>
      <c r="BG40" s="65">
        <f>+Assumptions!$G$152/12*'NOI Walk'!BG20*'NOI Walk'!BG12</f>
        <v>3543.9769222204918</v>
      </c>
      <c r="BH40" s="65">
        <f>+Assumptions!$G$152/12*'NOI Walk'!BH20*'NOI Walk'!BH12</f>
        <v>3549.8835504241933</v>
      </c>
      <c r="BI40" s="65">
        <f>+Assumptions!$G$152/12*'NOI Walk'!BI20*'NOI Walk'!BI12</f>
        <v>3555.8000230082339</v>
      </c>
      <c r="BJ40" s="65">
        <f>+Assumptions!$G$152/12*'NOI Walk'!BJ20*'NOI Walk'!BJ12</f>
        <v>3561.7263563799143</v>
      </c>
      <c r="BK40" s="65">
        <f>+Assumptions!$G$152/12*'NOI Walk'!BK20*'NOI Walk'!BK12</f>
        <v>3567.6625669738819</v>
      </c>
      <c r="BL40" s="65">
        <f>+Assumptions!$G$152/12*'NOI Walk'!BL20*'NOI Walk'!BL12</f>
        <v>3573.6086712521715</v>
      </c>
      <c r="BM40" s="65">
        <f>+Assumptions!$G$152/12*'NOI Walk'!BM20*'NOI Walk'!BM12</f>
        <v>3579.5646857042584</v>
      </c>
      <c r="BN40" s="65">
        <f>+Assumptions!$G$152/12*'NOI Walk'!BN20*'NOI Walk'!BN12</f>
        <v>3585.530626847099</v>
      </c>
      <c r="BO40" s="65">
        <f>+Assumptions!$G$152/12*'NOI Walk'!BO20*'NOI Walk'!BO12</f>
        <v>3591.5065112251773</v>
      </c>
      <c r="BP40" s="65">
        <f>+Assumptions!$G$152/12*'NOI Walk'!BP20*'NOI Walk'!BP12</f>
        <v>3597.4923554105535</v>
      </c>
      <c r="BQ40" s="65">
        <f>+Assumptions!$G$152/12*'NOI Walk'!BQ20*'NOI Walk'!BQ12</f>
        <v>3603.4881760029043</v>
      </c>
      <c r="BR40" s="65">
        <f>+Assumptions!$G$152/12*'NOI Walk'!BR20*'NOI Walk'!BR12</f>
        <v>3609.4939896295768</v>
      </c>
      <c r="BS40" s="65">
        <f>+Assumptions!$G$152/12*'NOI Walk'!BS20*'NOI Walk'!BS12</f>
        <v>3615.509812945626</v>
      </c>
      <c r="BT40" s="65">
        <f>+Assumptions!$G$152/12*'NOI Walk'!BT20*'NOI Walk'!BT12</f>
        <v>3621.5356626338694</v>
      </c>
      <c r="BU40" s="65">
        <f>+Assumptions!$G$152/12*'NOI Walk'!BU20*'NOI Walk'!BU12</f>
        <v>3627.5715554049252</v>
      </c>
      <c r="BV40" s="65">
        <f>+Assumptions!$G$152/12*'NOI Walk'!BV20*'NOI Walk'!BV12</f>
        <v>3633.6175079972672</v>
      </c>
      <c r="BW40" s="65">
        <f>+Assumptions!$G$152/12*'NOI Walk'!BW20*'NOI Walk'!BW12</f>
        <v>3639.6735371772629</v>
      </c>
      <c r="BX40" s="65">
        <f>+Assumptions!$G$152/12*'NOI Walk'!BX20*'NOI Walk'!BX12</f>
        <v>3645.7396597392253</v>
      </c>
      <c r="BY40" s="65">
        <f>+Assumptions!$G$152/12*'NOI Walk'!BY20*'NOI Walk'!BY12</f>
        <v>3651.8158925054572</v>
      </c>
      <c r="BZ40" s="65">
        <f>+Assumptions!$G$152/12*'NOI Walk'!BZ20*'NOI Walk'!BZ12</f>
        <v>3657.9022523262997</v>
      </c>
      <c r="CA40" s="65">
        <f>+Assumptions!$G$152/12*'NOI Walk'!CA20*'NOI Walk'!CA12</f>
        <v>3663.9987560801778</v>
      </c>
      <c r="CB40" s="65">
        <f>+Assumptions!$G$152/12*'NOI Walk'!CB20*'NOI Walk'!CB12</f>
        <v>3670.1054206736449</v>
      </c>
      <c r="CC40" s="65">
        <f>+Assumptions!$G$152/12*'NOI Walk'!CC20*'NOI Walk'!CC12</f>
        <v>3676.2222630414344</v>
      </c>
      <c r="CD40" s="65">
        <f>+Assumptions!$G$152/12*'NOI Walk'!CD20*'NOI Walk'!CD12</f>
        <v>3682.349300146504</v>
      </c>
      <c r="CE40" s="65">
        <f>+Assumptions!$G$152/12*'NOI Walk'!CE20*'NOI Walk'!CE12</f>
        <v>3688.4865489800814</v>
      </c>
      <c r="CF40" s="65">
        <f>+Assumptions!$G$152/12*'NOI Walk'!CF20*'NOI Walk'!CF12</f>
        <v>3694.6340265617155</v>
      </c>
      <c r="CG40" s="65">
        <f>+Assumptions!$G$152/12*'NOI Walk'!CG20*'NOI Walk'!CG12</f>
        <v>3700.7917499393184</v>
      </c>
      <c r="CH40" s="65">
        <f>+Assumptions!$G$152/12*'NOI Walk'!CH20*'NOI Walk'!CH12</f>
        <v>3706.959736189217</v>
      </c>
      <c r="CI40" s="65">
        <f>+Assumptions!$G$152/12*'NOI Walk'!CI20*'NOI Walk'!CI12</f>
        <v>3713.1380024161999</v>
      </c>
      <c r="CJ40" s="65">
        <f>+Assumptions!$G$152/12*'NOI Walk'!CJ20*'NOI Walk'!CJ12</f>
        <v>3719.3265657535603</v>
      </c>
      <c r="CK40" s="65">
        <f>+Assumptions!$G$152/12*'NOI Walk'!CK20*'NOI Walk'!CK12</f>
        <v>3725.5254433631494</v>
      </c>
      <c r="CL40" s="65">
        <f>+Assumptions!$G$152/12*'NOI Walk'!CL20*'NOI Walk'!CL12</f>
        <v>3731.734652435422</v>
      </c>
      <c r="CM40" s="65">
        <f>+Assumptions!$G$152/12*'NOI Walk'!CM20*'NOI Walk'!CM12</f>
        <v>3737.9542101894817</v>
      </c>
      <c r="CN40" s="65">
        <f>+Assumptions!$G$152/12*'NOI Walk'!CN20*'NOI Walk'!CN12</f>
        <v>3744.1841338731315</v>
      </c>
      <c r="CO40" s="65">
        <f>+Assumptions!$G$152/12*'NOI Walk'!CO20*'NOI Walk'!CO12</f>
        <v>3750.4244407629189</v>
      </c>
      <c r="CP40" s="65">
        <f>+Assumptions!$G$152/12*'NOI Walk'!CP20*'NOI Walk'!CP12</f>
        <v>3756.6751481641918</v>
      </c>
      <c r="CQ40" s="65">
        <f>+Assumptions!$G$152/12*'NOI Walk'!CQ20*'NOI Walk'!CQ12</f>
        <v>3762.9362734111328</v>
      </c>
      <c r="CR40" s="65">
        <f>+Assumptions!$G$152/12*'NOI Walk'!CR20*'NOI Walk'!CR12</f>
        <v>3769.2078338668171</v>
      </c>
      <c r="CS40" s="65">
        <f>+Assumptions!$G$152/12*'NOI Walk'!CS20*'NOI Walk'!CS12</f>
        <v>3775.4898469232621</v>
      </c>
      <c r="CT40" s="65">
        <f>+Assumptions!$G$152/12*'NOI Walk'!CT20*'NOI Walk'!CT12</f>
        <v>3781.7823300014679</v>
      </c>
      <c r="CU40" s="65">
        <f>+Assumptions!$G$152/12*'NOI Walk'!CU20*'NOI Walk'!CU12</f>
        <v>3788.0853005514709</v>
      </c>
      <c r="CV40" s="65">
        <f>+Assumptions!$G$152/12*'NOI Walk'!CV20*'NOI Walk'!CV12</f>
        <v>3794.3987760523905</v>
      </c>
      <c r="CW40" s="65">
        <f>+Assumptions!$G$152/12*'NOI Walk'!CW20*'NOI Walk'!CW12</f>
        <v>3800.7227740124772</v>
      </c>
      <c r="CX40" s="65">
        <f>+Assumptions!$G$152/12*'NOI Walk'!CX20*'NOI Walk'!CX12</f>
        <v>3807.0573119691653</v>
      </c>
      <c r="CY40" s="65">
        <f>+Assumptions!$G$152/12*'NOI Walk'!CY20*'NOI Walk'!CY12</f>
        <v>3813.4024074891149</v>
      </c>
      <c r="CZ40" s="65">
        <f>+Assumptions!$G$152/12*'NOI Walk'!CZ20*'NOI Walk'!CZ12</f>
        <v>3819.7580781682641</v>
      </c>
      <c r="DA40" s="65">
        <f>+Assumptions!$G$152/12*'NOI Walk'!DA20*'NOI Walk'!DA12</f>
        <v>3826.1243416318775</v>
      </c>
      <c r="DB40" s="65">
        <f>+Assumptions!$G$152/12*'NOI Walk'!DB20*'NOI Walk'!DB12</f>
        <v>3832.5012155345976</v>
      </c>
      <c r="DC40" s="65">
        <f>+Assumptions!$G$152/12*'NOI Walk'!DC20*'NOI Walk'!DC12</f>
        <v>3838.8887175604891</v>
      </c>
      <c r="DD40" s="65">
        <f>+Assumptions!$G$152/12*'NOI Walk'!DD20*'NOI Walk'!DD12</f>
        <v>3845.2868654230897</v>
      </c>
      <c r="DE40" s="65">
        <f>+Assumptions!$G$152/12*'NOI Walk'!DE20*'NOI Walk'!DE12</f>
        <v>3851.6956768654613</v>
      </c>
      <c r="DF40" s="65">
        <f>+Assumptions!$G$152/12*'NOI Walk'!DF20*'NOI Walk'!DF12</f>
        <v>3858.1151696602378</v>
      </c>
      <c r="DG40" s="65">
        <f>+Assumptions!$G$152/12*'NOI Walk'!DG20*'NOI Walk'!DG12</f>
        <v>3864.5453616096725</v>
      </c>
      <c r="DH40" s="65">
        <f>+Assumptions!$G$152/12*'NOI Walk'!DH20*'NOI Walk'!DH12</f>
        <v>3870.9862705456881</v>
      </c>
      <c r="DI40" s="65">
        <f>+Assumptions!$G$152/12*'NOI Walk'!DI20*'NOI Walk'!DI12</f>
        <v>3877.4379143299307</v>
      </c>
      <c r="DJ40" s="65">
        <f>+Assumptions!$G$152/12*'NOI Walk'!DJ20*'NOI Walk'!DJ12</f>
        <v>3883.900310853815</v>
      </c>
      <c r="DK40" s="65">
        <f>+Assumptions!$G$152/12*'NOI Walk'!DK20*'NOI Walk'!DK12</f>
        <v>3890.3734780385707</v>
      </c>
      <c r="DL40" s="65">
        <f>+Assumptions!$G$152/12*'NOI Walk'!DL20*'NOI Walk'!DL12</f>
        <v>3896.8574338353028</v>
      </c>
      <c r="DM40" s="65">
        <f>+Assumptions!$G$152/12*'NOI Walk'!DM20*'NOI Walk'!DM12</f>
        <v>3903.3521962250288</v>
      </c>
      <c r="DN40" s="65">
        <f>+Assumptions!$G$152/12*'NOI Walk'!DN20*'NOI Walk'!DN12</f>
        <v>3909.857783218737</v>
      </c>
      <c r="DO40" s="65">
        <f>+Assumptions!$G$152/12*'NOI Walk'!DO20*'NOI Walk'!DO12</f>
        <v>3916.3742128574354</v>
      </c>
      <c r="DP40" s="65">
        <f>+Assumptions!$G$152/12*'NOI Walk'!DP20*'NOI Walk'!DP12</f>
        <v>3922.9015032121983</v>
      </c>
      <c r="DQ40" s="65">
        <f>+Assumptions!$G$152/12*'NOI Walk'!DQ20*'NOI Walk'!DQ12</f>
        <v>3929.4396723842183</v>
      </c>
      <c r="DR40" s="65">
        <f>+Assumptions!$G$152/12*'NOI Walk'!DR20*'NOI Walk'!DR12</f>
        <v>3935.9887385048596</v>
      </c>
      <c r="DS40" s="65">
        <f>+Assumptions!$G$152/12*'NOI Walk'!DS20*'NOI Walk'!DS12</f>
        <v>3942.5487197357011</v>
      </c>
      <c r="DT40" s="65">
        <f>+Assumptions!$G$152/12*'NOI Walk'!DT20*'NOI Walk'!DT12</f>
        <v>3949.1196342685944</v>
      </c>
      <c r="DU40" s="65">
        <f>+Assumptions!$G$152/12*'NOI Walk'!DU20*'NOI Walk'!DU12</f>
        <v>3955.7015003257084</v>
      </c>
      <c r="DV40" s="65">
        <f>+Assumptions!$G$152/12*'NOI Walk'!DV20*'NOI Walk'!DV12</f>
        <v>3962.2943361595849</v>
      </c>
      <c r="DW40" s="65">
        <f>+Assumptions!$G$152/12*'NOI Walk'!DW20*'NOI Walk'!DW12</f>
        <v>3968.8981600531852</v>
      </c>
      <c r="DX40" s="65">
        <f>+Assumptions!$G$152/12*'NOI Walk'!DX20*'NOI Walk'!DX12</f>
        <v>3975.5129903199404</v>
      </c>
      <c r="DY40" s="65">
        <f>+Assumptions!$G$152/12*'NOI Walk'!DY20*'NOI Walk'!DY12</f>
        <v>3982.1388453038071</v>
      </c>
      <c r="DZ40" s="65">
        <f>+Assumptions!$G$152/12*'NOI Walk'!DZ20*'NOI Walk'!DZ12</f>
        <v>3988.775743379314</v>
      </c>
      <c r="EA40" s="65">
        <f>+Assumptions!$G$152/12*'NOI Walk'!EA20*'NOI Walk'!EA12</f>
        <v>3995.4237029516121</v>
      </c>
      <c r="EB40" s="65">
        <f>+Assumptions!$G$152/12*'NOI Walk'!EB20*'NOI Walk'!EB12</f>
        <v>4002.0827424565327</v>
      </c>
      <c r="EC40" s="65">
        <f>+Assumptions!$G$152/12*'NOI Walk'!EC20*'NOI Walk'!EC12</f>
        <v>4008.7528803606265</v>
      </c>
      <c r="ED40" s="65">
        <f>+Assumptions!$G$152/12*'NOI Walk'!ED20*'NOI Walk'!ED12</f>
        <v>4015.4341351612288</v>
      </c>
      <c r="EE40" s="65">
        <f>+Assumptions!$G$152/12*'NOI Walk'!EE20*'NOI Walk'!EE12</f>
        <v>4022.1265253864976</v>
      </c>
      <c r="EF40" s="65">
        <f>+Assumptions!$G$152/12*'NOI Walk'!EF20*'NOI Walk'!EF12</f>
        <v>4028.8300695954754</v>
      </c>
      <c r="EG40" s="65">
        <f>+Assumptions!$G$152/12*'NOI Walk'!EG20*'NOI Walk'!EG12</f>
        <v>4035.5447863781346</v>
      </c>
      <c r="EH40" s="65">
        <f>+Assumptions!$G$152/12*'NOI Walk'!EH20*'NOI Walk'!EH12</f>
        <v>4042.2706943554317</v>
      </c>
      <c r="EI40" s="65">
        <f>+Assumptions!$G$152/12*'NOI Walk'!EI20*'NOI Walk'!EI12</f>
        <v>4049.0078121793581</v>
      </c>
    </row>
    <row r="41" spans="2:139" x14ac:dyDescent="0.45">
      <c r="B41" s="58" t="str">
        <f>Assumptions!B153</f>
        <v>Elevator Contract</v>
      </c>
      <c r="H41" s="65">
        <f>+Assumptions!$I153*H$12</f>
        <v>0</v>
      </c>
      <c r="I41" s="65">
        <f>+Assumptions!$I153*I$12</f>
        <v>0</v>
      </c>
      <c r="J41" s="65">
        <f>+Assumptions!$I153*J$12</f>
        <v>0</v>
      </c>
      <c r="K41" s="65">
        <f>+Assumptions!$I153*K$12</f>
        <v>0</v>
      </c>
      <c r="L41" s="65">
        <f>+Assumptions!$I153*L$12</f>
        <v>0</v>
      </c>
      <c r="M41" s="65">
        <f>+Assumptions!$I153*M$12</f>
        <v>0</v>
      </c>
      <c r="N41" s="65">
        <f>+Assumptions!$I153*N$12</f>
        <v>0</v>
      </c>
      <c r="O41" s="65">
        <f>+Assumptions!$I153*O$12</f>
        <v>0</v>
      </c>
      <c r="P41" s="65">
        <f>+Assumptions!$I153*P$12</f>
        <v>0</v>
      </c>
      <c r="Q41" s="65">
        <f>+Assumptions!$I153*Q$12</f>
        <v>0</v>
      </c>
      <c r="R41" s="65">
        <f>+Assumptions!$I153*R$12</f>
        <v>0</v>
      </c>
      <c r="S41" s="65">
        <f>+Assumptions!$I153*S$12</f>
        <v>0</v>
      </c>
      <c r="T41" s="65">
        <f>+Assumptions!$I153*T$12</f>
        <v>0</v>
      </c>
      <c r="U41" s="65">
        <f>+Assumptions!$I153*U$12</f>
        <v>0</v>
      </c>
      <c r="V41" s="65">
        <f>+Assumptions!$I153*V$12</f>
        <v>0</v>
      </c>
      <c r="W41" s="65">
        <f>+Assumptions!$I153*W$12</f>
        <v>0</v>
      </c>
      <c r="X41" s="65">
        <f>+Assumptions!$I153*X$12</f>
        <v>0</v>
      </c>
      <c r="Y41" s="65">
        <f>+Assumptions!$I153*Y$12</f>
        <v>0</v>
      </c>
      <c r="Z41" s="65">
        <f>+Assumptions!$I153*Z$12</f>
        <v>0</v>
      </c>
      <c r="AA41" s="65">
        <f>+Assumptions!$I153*AA$12</f>
        <v>0</v>
      </c>
      <c r="AB41" s="65">
        <f>+Assumptions!$I153*AB$12</f>
        <v>0</v>
      </c>
      <c r="AC41" s="65">
        <f>+Assumptions!$I153*AC$12</f>
        <v>0</v>
      </c>
      <c r="AD41" s="65">
        <f>+Assumptions!$I153*AD$12</f>
        <v>0</v>
      </c>
      <c r="AE41" s="65">
        <f>+Assumptions!$I153*AE$12</f>
        <v>0</v>
      </c>
      <c r="AF41" s="65">
        <f>+Assumptions!$I153*AF$12</f>
        <v>0</v>
      </c>
      <c r="AG41" s="65">
        <f>+Assumptions!$I153*AG$12</f>
        <v>0</v>
      </c>
      <c r="AH41" s="65">
        <f>+Assumptions!$I153*AH$12</f>
        <v>0</v>
      </c>
      <c r="AI41" s="65">
        <f>+Assumptions!$I153*AI$12</f>
        <v>0</v>
      </c>
      <c r="AJ41" s="65">
        <f>+Assumptions!$I153*AJ$12</f>
        <v>0</v>
      </c>
      <c r="AK41" s="65">
        <f>+Assumptions!$I153*AK$12</f>
        <v>0</v>
      </c>
      <c r="AL41" s="65">
        <f>+Assumptions!$I153*AL$12</f>
        <v>0</v>
      </c>
      <c r="AM41" s="65">
        <f>+Assumptions!$I153*AM$12</f>
        <v>0</v>
      </c>
      <c r="AN41" s="65">
        <f>+Assumptions!$I153*AN$12</f>
        <v>0</v>
      </c>
      <c r="AO41" s="65">
        <f>+Assumptions!$I153*AO$12</f>
        <v>0</v>
      </c>
      <c r="AP41" s="65">
        <f>+Assumptions!$I153*AP$12</f>
        <v>0</v>
      </c>
      <c r="AQ41" s="65">
        <f>+Assumptions!$I153*AQ$12</f>
        <v>0</v>
      </c>
      <c r="AR41" s="65">
        <f>+Assumptions!$I153*AR$12</f>
        <v>0</v>
      </c>
      <c r="AS41" s="65">
        <f>+Assumptions!$I153*AS$12</f>
        <v>0</v>
      </c>
      <c r="AT41" s="65">
        <f>+Assumptions!$I153*AT$12</f>
        <v>0</v>
      </c>
      <c r="AU41" s="65">
        <f>+Assumptions!$I153*AU$12</f>
        <v>0</v>
      </c>
      <c r="AV41" s="65">
        <f>+Assumptions!$I153*AV$12</f>
        <v>0</v>
      </c>
      <c r="AW41" s="65">
        <f>+Assumptions!$I153*AW$12</f>
        <v>0</v>
      </c>
      <c r="AX41" s="65">
        <f>+Assumptions!$I153*AX$12</f>
        <v>0</v>
      </c>
      <c r="AY41" s="65">
        <f>+Assumptions!$I153*AY$12</f>
        <v>0</v>
      </c>
      <c r="AZ41" s="65">
        <f>+Assumptions!$I153*AZ$12</f>
        <v>0</v>
      </c>
      <c r="BA41" s="65">
        <f>+Assumptions!$I153*BA$12</f>
        <v>0</v>
      </c>
      <c r="BB41" s="65">
        <f>+Assumptions!$I153*BB$12</f>
        <v>0</v>
      </c>
      <c r="BC41" s="65">
        <f>+Assumptions!$I153*BC$12</f>
        <v>0</v>
      </c>
      <c r="BD41" s="65">
        <f>+Assumptions!$I153*BD$12</f>
        <v>0</v>
      </c>
      <c r="BE41" s="65">
        <f>+Assumptions!$I153*BE$12</f>
        <v>0</v>
      </c>
      <c r="BF41" s="65">
        <f>+Assumptions!$I153*BF$12</f>
        <v>0</v>
      </c>
      <c r="BG41" s="65">
        <f>+Assumptions!$I153*BG$12</f>
        <v>0</v>
      </c>
      <c r="BH41" s="65">
        <f>+Assumptions!$I153*BH$12</f>
        <v>0</v>
      </c>
      <c r="BI41" s="65">
        <f>+Assumptions!$I153*BI$12</f>
        <v>0</v>
      </c>
      <c r="BJ41" s="65">
        <f>+Assumptions!$I153*BJ$12</f>
        <v>0</v>
      </c>
      <c r="BK41" s="65">
        <f>+Assumptions!$I153*BK$12</f>
        <v>0</v>
      </c>
      <c r="BL41" s="65">
        <f>+Assumptions!$I153*BL$12</f>
        <v>0</v>
      </c>
      <c r="BM41" s="65">
        <f>+Assumptions!$I153*BM$12</f>
        <v>0</v>
      </c>
      <c r="BN41" s="65">
        <f>+Assumptions!$I153*BN$12</f>
        <v>0</v>
      </c>
      <c r="BO41" s="65">
        <f>+Assumptions!$I153*BO$12</f>
        <v>0</v>
      </c>
      <c r="BP41" s="65">
        <f>+Assumptions!$I153*BP$12</f>
        <v>0</v>
      </c>
      <c r="BQ41" s="65">
        <f>+Assumptions!$I153*BQ$12</f>
        <v>0</v>
      </c>
      <c r="BR41" s="65">
        <f>+Assumptions!$I153*BR$12</f>
        <v>0</v>
      </c>
      <c r="BS41" s="65">
        <f>+Assumptions!$I153*BS$12</f>
        <v>0</v>
      </c>
      <c r="BT41" s="65">
        <f>+Assumptions!$I153*BT$12</f>
        <v>0</v>
      </c>
      <c r="BU41" s="65">
        <f>+Assumptions!$I153*BU$12</f>
        <v>0</v>
      </c>
      <c r="BV41" s="65">
        <f>+Assumptions!$I153*BV$12</f>
        <v>0</v>
      </c>
      <c r="BW41" s="65">
        <f>+Assumptions!$I153*BW$12</f>
        <v>0</v>
      </c>
      <c r="BX41" s="65">
        <f>+Assumptions!$I153*BX$12</f>
        <v>0</v>
      </c>
      <c r="BY41" s="65">
        <f>+Assumptions!$I153*BY$12</f>
        <v>0</v>
      </c>
      <c r="BZ41" s="65">
        <f>+Assumptions!$I153*BZ$12</f>
        <v>0</v>
      </c>
      <c r="CA41" s="65">
        <f>+Assumptions!$I153*CA$12</f>
        <v>0</v>
      </c>
      <c r="CB41" s="65">
        <f>+Assumptions!$I153*CB$12</f>
        <v>0</v>
      </c>
      <c r="CC41" s="65">
        <f>+Assumptions!$I153*CC$12</f>
        <v>0</v>
      </c>
      <c r="CD41" s="65">
        <f>+Assumptions!$I153*CD$12</f>
        <v>0</v>
      </c>
      <c r="CE41" s="65">
        <f>+Assumptions!$I153*CE$12</f>
        <v>0</v>
      </c>
      <c r="CF41" s="65">
        <f>+Assumptions!$I153*CF$12</f>
        <v>0</v>
      </c>
      <c r="CG41" s="65">
        <f>+Assumptions!$I153*CG$12</f>
        <v>0</v>
      </c>
      <c r="CH41" s="65">
        <f>+Assumptions!$I153*CH$12</f>
        <v>0</v>
      </c>
      <c r="CI41" s="65">
        <f>+Assumptions!$I153*CI$12</f>
        <v>0</v>
      </c>
      <c r="CJ41" s="65">
        <f>+Assumptions!$I153*CJ$12</f>
        <v>0</v>
      </c>
      <c r="CK41" s="65">
        <f>+Assumptions!$I153*CK$12</f>
        <v>0</v>
      </c>
      <c r="CL41" s="65">
        <f>+Assumptions!$I153*CL$12</f>
        <v>0</v>
      </c>
      <c r="CM41" s="65">
        <f>+Assumptions!$I153*CM$12</f>
        <v>0</v>
      </c>
      <c r="CN41" s="65">
        <f>+Assumptions!$I153*CN$12</f>
        <v>0</v>
      </c>
      <c r="CO41" s="65">
        <f>+Assumptions!$I153*CO$12</f>
        <v>0</v>
      </c>
      <c r="CP41" s="65">
        <f>+Assumptions!$I153*CP$12</f>
        <v>0</v>
      </c>
      <c r="CQ41" s="65">
        <f>+Assumptions!$I153*CQ$12</f>
        <v>0</v>
      </c>
      <c r="CR41" s="65">
        <f>+Assumptions!$I153*CR$12</f>
        <v>0</v>
      </c>
      <c r="CS41" s="65">
        <f>+Assumptions!$I153*CS$12</f>
        <v>0</v>
      </c>
      <c r="CT41" s="65">
        <f>+Assumptions!$I153*CT$12</f>
        <v>0</v>
      </c>
      <c r="CU41" s="65">
        <f>+Assumptions!$I153*CU$12</f>
        <v>0</v>
      </c>
      <c r="CV41" s="65">
        <f>+Assumptions!$I153*CV$12</f>
        <v>0</v>
      </c>
      <c r="CW41" s="65">
        <f>+Assumptions!$I153*CW$12</f>
        <v>0</v>
      </c>
      <c r="CX41" s="65">
        <f>+Assumptions!$I153*CX$12</f>
        <v>0</v>
      </c>
      <c r="CY41" s="65">
        <f>+Assumptions!$I153*CY$12</f>
        <v>0</v>
      </c>
      <c r="CZ41" s="65">
        <f>+Assumptions!$I153*CZ$12</f>
        <v>0</v>
      </c>
      <c r="DA41" s="65">
        <f>+Assumptions!$I153*DA$12</f>
        <v>0</v>
      </c>
      <c r="DB41" s="65">
        <f>+Assumptions!$I153*DB$12</f>
        <v>0</v>
      </c>
      <c r="DC41" s="65">
        <f>+Assumptions!$I153*DC$12</f>
        <v>0</v>
      </c>
      <c r="DD41" s="65">
        <f>+Assumptions!$I153*DD$12</f>
        <v>0</v>
      </c>
      <c r="DE41" s="65">
        <f>+Assumptions!$I153*DE$12</f>
        <v>0</v>
      </c>
      <c r="DF41" s="65">
        <f>+Assumptions!$I153*DF$12</f>
        <v>0</v>
      </c>
      <c r="DG41" s="65">
        <f>+Assumptions!$I153*DG$12</f>
        <v>0</v>
      </c>
      <c r="DH41" s="65">
        <f>+Assumptions!$I153*DH$12</f>
        <v>0</v>
      </c>
      <c r="DI41" s="65">
        <f>+Assumptions!$I153*DI$12</f>
        <v>0</v>
      </c>
      <c r="DJ41" s="65">
        <f>+Assumptions!$I153*DJ$12</f>
        <v>0</v>
      </c>
      <c r="DK41" s="65">
        <f>+Assumptions!$I153*DK$12</f>
        <v>0</v>
      </c>
      <c r="DL41" s="65">
        <f>+Assumptions!$I153*DL$12</f>
        <v>0</v>
      </c>
      <c r="DM41" s="65">
        <f>+Assumptions!$I153*DM$12</f>
        <v>0</v>
      </c>
      <c r="DN41" s="65">
        <f>+Assumptions!$I153*DN$12</f>
        <v>0</v>
      </c>
      <c r="DO41" s="65">
        <f>+Assumptions!$I153*DO$12</f>
        <v>0</v>
      </c>
      <c r="DP41" s="65">
        <f>+Assumptions!$I153*DP$12</f>
        <v>0</v>
      </c>
      <c r="DQ41" s="65">
        <f>+Assumptions!$I153*DQ$12</f>
        <v>0</v>
      </c>
      <c r="DR41" s="65">
        <f>+Assumptions!$I153*DR$12</f>
        <v>0</v>
      </c>
      <c r="DS41" s="65">
        <f>+Assumptions!$I153*DS$12</f>
        <v>0</v>
      </c>
      <c r="DT41" s="65">
        <f>+Assumptions!$I153*DT$12</f>
        <v>0</v>
      </c>
      <c r="DU41" s="65">
        <f>+Assumptions!$I153*DU$12</f>
        <v>0</v>
      </c>
      <c r="DV41" s="65">
        <f>+Assumptions!$I153*DV$12</f>
        <v>0</v>
      </c>
      <c r="DW41" s="65">
        <f>+Assumptions!$I153*DW$12</f>
        <v>0</v>
      </c>
      <c r="DX41" s="65">
        <f>+Assumptions!$I153*DX$12</f>
        <v>0</v>
      </c>
      <c r="DY41" s="65">
        <f>+Assumptions!$I153*DY$12</f>
        <v>0</v>
      </c>
      <c r="DZ41" s="65">
        <f>+Assumptions!$I153*DZ$12</f>
        <v>0</v>
      </c>
      <c r="EA41" s="65">
        <f>+Assumptions!$I153*EA$12</f>
        <v>0</v>
      </c>
      <c r="EB41" s="65">
        <f>+Assumptions!$I153*EB$12</f>
        <v>0</v>
      </c>
      <c r="EC41" s="65">
        <f>+Assumptions!$I153*EC$12</f>
        <v>0</v>
      </c>
      <c r="ED41" s="65">
        <f>+Assumptions!$I153*ED$12</f>
        <v>0</v>
      </c>
      <c r="EE41" s="65">
        <f>+Assumptions!$I153*EE$12</f>
        <v>0</v>
      </c>
      <c r="EF41" s="65">
        <f>+Assumptions!$I153*EF$12</f>
        <v>0</v>
      </c>
      <c r="EG41" s="65">
        <f>+Assumptions!$I153*EG$12</f>
        <v>0</v>
      </c>
      <c r="EH41" s="65">
        <f>+Assumptions!$I153*EH$12</f>
        <v>0</v>
      </c>
      <c r="EI41" s="65">
        <f>+Assumptions!$I153*EI$12</f>
        <v>0</v>
      </c>
    </row>
    <row r="42" spans="2:139" x14ac:dyDescent="0.45">
      <c r="B42" s="58" t="str">
        <f>Assumptions!B154</f>
        <v>Trash</v>
      </c>
      <c r="H42" s="65">
        <f>+Assumptions!$I154*H$12</f>
        <v>200.33333333333334</v>
      </c>
      <c r="I42" s="65">
        <f>+Assumptions!$I154*I$12</f>
        <v>200.66722222222225</v>
      </c>
      <c r="J42" s="65">
        <f>+Assumptions!$I154*J$12</f>
        <v>201.00166759259261</v>
      </c>
      <c r="K42" s="65">
        <f>+Assumptions!$I154*K$12</f>
        <v>201.33667037191364</v>
      </c>
      <c r="L42" s="65">
        <f>+Assumptions!$I154*L$12</f>
        <v>201.67223148920016</v>
      </c>
      <c r="M42" s="65">
        <f>+Assumptions!$I154*M$12</f>
        <v>202.00835187501548</v>
      </c>
      <c r="N42" s="65">
        <f>+Assumptions!$I154*N$12</f>
        <v>202.34503246147386</v>
      </c>
      <c r="O42" s="65">
        <f>+Assumptions!$I154*O$12</f>
        <v>202.68227418224302</v>
      </c>
      <c r="P42" s="65">
        <f>+Assumptions!$I154*P$12</f>
        <v>203.02007797254674</v>
      </c>
      <c r="Q42" s="65">
        <f>+Assumptions!$I154*Q$12</f>
        <v>203.3584447691677</v>
      </c>
      <c r="R42" s="65">
        <f>+Assumptions!$I154*R$12</f>
        <v>203.69737551044963</v>
      </c>
      <c r="S42" s="65">
        <f>+Assumptions!$I154*S$12</f>
        <v>204.03687113630039</v>
      </c>
      <c r="T42" s="65">
        <f>+Assumptions!$I154*T$12</f>
        <v>204.37693258819425</v>
      </c>
      <c r="U42" s="65">
        <f>+Assumptions!$I154*U$12</f>
        <v>204.71756080917461</v>
      </c>
      <c r="V42" s="65">
        <f>+Assumptions!$I154*V$12</f>
        <v>205.05875674385658</v>
      </c>
      <c r="W42" s="65">
        <f>+Assumptions!$I154*W$12</f>
        <v>205.40052133842971</v>
      </c>
      <c r="X42" s="65">
        <f>+Assumptions!$I154*X$12</f>
        <v>205.7428555406604</v>
      </c>
      <c r="Y42" s="65">
        <f>+Assumptions!$I154*Y$12</f>
        <v>206.08576029989484</v>
      </c>
      <c r="Z42" s="65">
        <f>+Assumptions!$I154*Z$12</f>
        <v>206.42923656706137</v>
      </c>
      <c r="AA42" s="65">
        <f>+Assumptions!$I154*AA$12</f>
        <v>206.77328529467314</v>
      </c>
      <c r="AB42" s="65">
        <f>+Assumptions!$I154*AB$12</f>
        <v>207.11790743683096</v>
      </c>
      <c r="AC42" s="65">
        <f>+Assumptions!$I154*AC$12</f>
        <v>207.46310394922568</v>
      </c>
      <c r="AD42" s="65">
        <f>+Assumptions!$I154*AD$12</f>
        <v>207.80887578914107</v>
      </c>
      <c r="AE42" s="65">
        <f>+Assumptions!$I154*AE$12</f>
        <v>208.15522391545636</v>
      </c>
      <c r="AF42" s="65">
        <f>+Assumptions!$I154*AF$12</f>
        <v>208.50214928864875</v>
      </c>
      <c r="AG42" s="65">
        <f>+Assumptions!$I154*AG$12</f>
        <v>208.84965287079652</v>
      </c>
      <c r="AH42" s="65">
        <f>+Assumptions!$I154*AH$12</f>
        <v>209.1977356255812</v>
      </c>
      <c r="AI42" s="65">
        <f>+Assumptions!$I154*AI$12</f>
        <v>209.54639851829052</v>
      </c>
      <c r="AJ42" s="65">
        <f>+Assumptions!$I154*AJ$12</f>
        <v>209.89564251582101</v>
      </c>
      <c r="AK42" s="65">
        <f>+Assumptions!$I154*AK$12</f>
        <v>210.24546858668072</v>
      </c>
      <c r="AL42" s="65">
        <f>+Assumptions!$I154*AL$12</f>
        <v>210.59587770099188</v>
      </c>
      <c r="AM42" s="65">
        <f>+Assumptions!$I154*AM$12</f>
        <v>210.94687083049357</v>
      </c>
      <c r="AN42" s="65">
        <f>+Assumptions!$I154*AN$12</f>
        <v>211.2984489485444</v>
      </c>
      <c r="AO42" s="65">
        <f>+Assumptions!$I154*AO$12</f>
        <v>211.6506130301253</v>
      </c>
      <c r="AP42" s="65">
        <f>+Assumptions!$I154*AP$12</f>
        <v>212.00336405184223</v>
      </c>
      <c r="AQ42" s="65">
        <f>+Assumptions!$I154*AQ$12</f>
        <v>212.35670299192861</v>
      </c>
      <c r="AR42" s="65">
        <f>+Assumptions!$I154*AR$12</f>
        <v>212.71063083024853</v>
      </c>
      <c r="AS42" s="65">
        <f>+Assumptions!$I154*AS$12</f>
        <v>213.06514854829891</v>
      </c>
      <c r="AT42" s="65">
        <f>+Assumptions!$I154*AT$12</f>
        <v>213.42025712921279</v>
      </c>
      <c r="AU42" s="65">
        <f>+Assumptions!$I154*AU$12</f>
        <v>213.77595755776153</v>
      </c>
      <c r="AV42" s="65">
        <f>+Assumptions!$I154*AV$12</f>
        <v>214.13225082035777</v>
      </c>
      <c r="AW42" s="65">
        <f>+Assumptions!$I154*AW$12</f>
        <v>214.48913790505836</v>
      </c>
      <c r="AX42" s="65">
        <f>+Assumptions!$I154*AX$12</f>
        <v>214.84661980156682</v>
      </c>
      <c r="AY42" s="65">
        <f>+Assumptions!$I154*AY$12</f>
        <v>215.2046975012361</v>
      </c>
      <c r="AZ42" s="65">
        <f>+Assumptions!$I154*AZ$12</f>
        <v>215.56337199707153</v>
      </c>
      <c r="BA42" s="65">
        <f>+Assumptions!$I154*BA$12</f>
        <v>215.92264428373335</v>
      </c>
      <c r="BB42" s="65">
        <f>+Assumptions!$I154*BB$12</f>
        <v>216.28251535753958</v>
      </c>
      <c r="BC42" s="65">
        <f>+Assumptions!$I154*BC$12</f>
        <v>216.64298621646884</v>
      </c>
      <c r="BD42" s="65">
        <f>+Assumptions!$I154*BD$12</f>
        <v>217.00405786016296</v>
      </c>
      <c r="BE42" s="65">
        <f>+Assumptions!$I154*BE$12</f>
        <v>217.3657312899299</v>
      </c>
      <c r="BF42" s="65">
        <f>+Assumptions!$I154*BF$12</f>
        <v>217.72800750874649</v>
      </c>
      <c r="BG42" s="65">
        <f>+Assumptions!$I154*BG$12</f>
        <v>218.09088752126104</v>
      </c>
      <c r="BH42" s="65">
        <f>+Assumptions!$I154*BH$12</f>
        <v>218.45437233379653</v>
      </c>
      <c r="BI42" s="65">
        <f>+Assumptions!$I154*BI$12</f>
        <v>218.81846295435287</v>
      </c>
      <c r="BJ42" s="65">
        <f>+Assumptions!$I154*BJ$12</f>
        <v>219.18316039261012</v>
      </c>
      <c r="BK42" s="65">
        <f>+Assumptions!$I154*BK$12</f>
        <v>219.54846565993117</v>
      </c>
      <c r="BL42" s="65">
        <f>+Assumptions!$I154*BL$12</f>
        <v>219.91437976936439</v>
      </c>
      <c r="BM42" s="65">
        <f>+Assumptions!$I154*BM$12</f>
        <v>220.28090373564666</v>
      </c>
      <c r="BN42" s="65">
        <f>+Assumptions!$I154*BN$12</f>
        <v>220.6480385752061</v>
      </c>
      <c r="BO42" s="65">
        <f>+Assumptions!$I154*BO$12</f>
        <v>221.01578530616476</v>
      </c>
      <c r="BP42" s="65">
        <f>+Assumptions!$I154*BP$12</f>
        <v>221.38414494834174</v>
      </c>
      <c r="BQ42" s="65">
        <f>+Assumptions!$I154*BQ$12</f>
        <v>221.75311852325567</v>
      </c>
      <c r="BR42" s="65">
        <f>+Assumptions!$I154*BR$12</f>
        <v>222.1227070541278</v>
      </c>
      <c r="BS42" s="65">
        <f>+Assumptions!$I154*BS$12</f>
        <v>222.4929115658847</v>
      </c>
      <c r="BT42" s="65">
        <f>+Assumptions!$I154*BT$12</f>
        <v>222.86373308516119</v>
      </c>
      <c r="BU42" s="65">
        <f>+Assumptions!$I154*BU$12</f>
        <v>223.23517264030309</v>
      </c>
      <c r="BV42" s="65">
        <f>+Assumptions!$I154*BV$12</f>
        <v>223.60723126137029</v>
      </c>
      <c r="BW42" s="65">
        <f>+Assumptions!$I154*BW$12</f>
        <v>223.97990998013927</v>
      </c>
      <c r="BX42" s="65">
        <f>+Assumptions!$I154*BX$12</f>
        <v>224.35320983010615</v>
      </c>
      <c r="BY42" s="65">
        <f>+Assumptions!$I154*BY$12</f>
        <v>224.72713184648967</v>
      </c>
      <c r="BZ42" s="65">
        <f>+Assumptions!$I154*BZ$12</f>
        <v>225.10167706623383</v>
      </c>
      <c r="CA42" s="65">
        <f>+Assumptions!$I154*CA$12</f>
        <v>225.47684652801095</v>
      </c>
      <c r="CB42" s="65">
        <f>+Assumptions!$I154*CB$12</f>
        <v>225.85264127222428</v>
      </c>
      <c r="CC42" s="65">
        <f>+Assumptions!$I154*CC$12</f>
        <v>226.22906234101134</v>
      </c>
      <c r="CD42" s="65">
        <f>+Assumptions!$I154*CD$12</f>
        <v>226.6061107782464</v>
      </c>
      <c r="CE42" s="65">
        <f>+Assumptions!$I154*CE$12</f>
        <v>226.98378762954349</v>
      </c>
      <c r="CF42" s="65">
        <f>+Assumptions!$I154*CF$12</f>
        <v>227.36209394225941</v>
      </c>
      <c r="CG42" s="65">
        <f>+Assumptions!$I154*CG$12</f>
        <v>227.74103076549653</v>
      </c>
      <c r="CH42" s="65">
        <f>+Assumptions!$I154*CH$12</f>
        <v>228.12059915010568</v>
      </c>
      <c r="CI42" s="65">
        <f>+Assumptions!$I154*CI$12</f>
        <v>228.50080014868922</v>
      </c>
      <c r="CJ42" s="65">
        <f>+Assumptions!$I154*CJ$12</f>
        <v>228.88163481560372</v>
      </c>
      <c r="CK42" s="65">
        <f>+Assumptions!$I154*CK$12</f>
        <v>229.26310420696305</v>
      </c>
      <c r="CL42" s="65">
        <f>+Assumptions!$I154*CL$12</f>
        <v>229.64520938064138</v>
      </c>
      <c r="CM42" s="65">
        <f>+Assumptions!$I154*CM$12</f>
        <v>230.0279513962758</v>
      </c>
      <c r="CN42" s="65">
        <f>+Assumptions!$I154*CN$12</f>
        <v>230.41133131526962</v>
      </c>
      <c r="CO42" s="65">
        <f>+Assumptions!$I154*CO$12</f>
        <v>230.79535020079501</v>
      </c>
      <c r="CP42" s="65">
        <f>+Assumptions!$I154*CP$12</f>
        <v>231.1800091177964</v>
      </c>
      <c r="CQ42" s="65">
        <f>+Assumptions!$I154*CQ$12</f>
        <v>231.56530913299278</v>
      </c>
      <c r="CR42" s="65">
        <f>+Assumptions!$I154*CR$12</f>
        <v>231.95125131488106</v>
      </c>
      <c r="CS42" s="65">
        <f>+Assumptions!$I154*CS$12</f>
        <v>232.33783673373921</v>
      </c>
      <c r="CT42" s="65">
        <f>+Assumptions!$I154*CT$12</f>
        <v>232.72506646162881</v>
      </c>
      <c r="CU42" s="65">
        <f>+Assumptions!$I154*CU$12</f>
        <v>233.1129415723982</v>
      </c>
      <c r="CV42" s="65">
        <f>+Assumptions!$I154*CV$12</f>
        <v>233.50146314168558</v>
      </c>
      <c r="CW42" s="65">
        <f>+Assumptions!$I154*CW$12</f>
        <v>233.89063224692168</v>
      </c>
      <c r="CX42" s="65">
        <f>+Assumptions!$I154*CX$12</f>
        <v>234.28044996733325</v>
      </c>
      <c r="CY42" s="65">
        <f>+Assumptions!$I154*CY$12</f>
        <v>234.67091738394555</v>
      </c>
      <c r="CZ42" s="65">
        <f>+Assumptions!$I154*CZ$12</f>
        <v>235.06203557958548</v>
      </c>
      <c r="DA42" s="65">
        <f>+Assumptions!$I154*DA$12</f>
        <v>235.45380563888477</v>
      </c>
      <c r="DB42" s="65">
        <f>+Assumptions!$I154*DB$12</f>
        <v>235.84622864828293</v>
      </c>
      <c r="DC42" s="65">
        <f>+Assumptions!$I154*DC$12</f>
        <v>236.2393056960301</v>
      </c>
      <c r="DD42" s="65">
        <f>+Assumptions!$I154*DD$12</f>
        <v>236.63303787219013</v>
      </c>
      <c r="DE42" s="65">
        <f>+Assumptions!$I154*DE$12</f>
        <v>237.02742626864378</v>
      </c>
      <c r="DF42" s="65">
        <f>+Assumptions!$I154*DF$12</f>
        <v>237.42247197909157</v>
      </c>
      <c r="DG42" s="65">
        <f>+Assumptions!$I154*DG$12</f>
        <v>237.81817609905676</v>
      </c>
      <c r="DH42" s="65">
        <f>+Assumptions!$I154*DH$12</f>
        <v>238.21453972588847</v>
      </c>
      <c r="DI42" s="65">
        <f>+Assumptions!$I154*DI$12</f>
        <v>238.61156395876498</v>
      </c>
      <c r="DJ42" s="65">
        <f>+Assumptions!$I154*DJ$12</f>
        <v>239.00924989869628</v>
      </c>
      <c r="DK42" s="65">
        <f>+Assumptions!$I154*DK$12</f>
        <v>239.40759864852743</v>
      </c>
      <c r="DL42" s="65">
        <f>+Assumptions!$I154*DL$12</f>
        <v>239.8066113129417</v>
      </c>
      <c r="DM42" s="65">
        <f>+Assumptions!$I154*DM$12</f>
        <v>240.20628899846329</v>
      </c>
      <c r="DN42" s="65">
        <f>+Assumptions!$I154*DN$12</f>
        <v>240.60663281346075</v>
      </c>
      <c r="DO42" s="65">
        <f>+Assumptions!$I154*DO$12</f>
        <v>241.00764386814987</v>
      </c>
      <c r="DP42" s="65">
        <f>+Assumptions!$I154*DP$12</f>
        <v>241.4093232745968</v>
      </c>
      <c r="DQ42" s="65">
        <f>+Assumptions!$I154*DQ$12</f>
        <v>241.81167214672112</v>
      </c>
      <c r="DR42" s="65">
        <f>+Assumptions!$I154*DR$12</f>
        <v>242.21469160029903</v>
      </c>
      <c r="DS42" s="65">
        <f>+Assumptions!$I154*DS$12</f>
        <v>242.6183827529662</v>
      </c>
      <c r="DT42" s="65">
        <f>+Assumptions!$I154*DT$12</f>
        <v>243.02274672422121</v>
      </c>
      <c r="DU42" s="65">
        <f>+Assumptions!$I154*DU$12</f>
        <v>243.4277846354282</v>
      </c>
      <c r="DV42" s="65">
        <f>+Assumptions!$I154*DV$12</f>
        <v>243.8334976098206</v>
      </c>
      <c r="DW42" s="65">
        <f>+Assumptions!$I154*DW$12</f>
        <v>244.2398867725037</v>
      </c>
      <c r="DX42" s="65">
        <f>+Assumptions!$I154*DX$12</f>
        <v>244.64695325045787</v>
      </c>
      <c r="DY42" s="65">
        <f>+Assumptions!$I154*DY$12</f>
        <v>245.05469817254198</v>
      </c>
      <c r="DZ42" s="65">
        <f>+Assumptions!$I154*DZ$12</f>
        <v>245.46312266949624</v>
      </c>
      <c r="EA42" s="65">
        <f>+Assumptions!$I154*EA$12</f>
        <v>245.87222787394535</v>
      </c>
      <c r="EB42" s="65">
        <f>+Assumptions!$I154*EB$12</f>
        <v>246.28201492040199</v>
      </c>
      <c r="EC42" s="65">
        <f>+Assumptions!$I154*EC$12</f>
        <v>246.69248494526931</v>
      </c>
      <c r="ED42" s="65">
        <f>+Assumptions!$I154*ED$12</f>
        <v>247.10363908684485</v>
      </c>
      <c r="EE42" s="65">
        <f>+Assumptions!$I154*EE$12</f>
        <v>247.51547848532294</v>
      </c>
      <c r="EF42" s="65">
        <f>+Assumptions!$I154*EF$12</f>
        <v>247.9280042827985</v>
      </c>
      <c r="EG42" s="65">
        <f>+Assumptions!$I154*EG$12</f>
        <v>248.34121762326981</v>
      </c>
      <c r="EH42" s="65">
        <f>+Assumptions!$I154*EH$12</f>
        <v>248.75511965264195</v>
      </c>
      <c r="EI42" s="65">
        <f>+Assumptions!$I154*EI$12</f>
        <v>249.16971151872974</v>
      </c>
    </row>
    <row r="43" spans="2:139" x14ac:dyDescent="0.45">
      <c r="B43" s="58" t="str">
        <f>Assumptions!B155</f>
        <v>Cleaning</v>
      </c>
      <c r="H43" s="65">
        <f>+Assumptions!$I155*H$12</f>
        <v>976.625</v>
      </c>
      <c r="I43" s="65">
        <f>+Assumptions!$I155*I$12</f>
        <v>978.25270833333343</v>
      </c>
      <c r="J43" s="65">
        <f>+Assumptions!$I155*J$12</f>
        <v>979.883129513889</v>
      </c>
      <c r="K43" s="65">
        <f>+Assumptions!$I155*K$12</f>
        <v>981.51626806307888</v>
      </c>
      <c r="L43" s="65">
        <f>+Assumptions!$I155*L$12</f>
        <v>983.15212850985074</v>
      </c>
      <c r="M43" s="65">
        <f>+Assumptions!$I155*M$12</f>
        <v>984.79071539070048</v>
      </c>
      <c r="N43" s="65">
        <f>+Assumptions!$I155*N$12</f>
        <v>986.43203324968511</v>
      </c>
      <c r="O43" s="65">
        <f>+Assumptions!$I155*O$12</f>
        <v>988.07608663843473</v>
      </c>
      <c r="P43" s="65">
        <f>+Assumptions!$I155*P$12</f>
        <v>989.72288011616547</v>
      </c>
      <c r="Q43" s="65">
        <f>+Assumptions!$I155*Q$12</f>
        <v>991.37241824969249</v>
      </c>
      <c r="R43" s="65">
        <f>+Assumptions!$I155*R$12</f>
        <v>993.02470561344205</v>
      </c>
      <c r="S43" s="65">
        <f>+Assumptions!$I155*S$12</f>
        <v>994.6797467894645</v>
      </c>
      <c r="T43" s="65">
        <f>+Assumptions!$I155*T$12</f>
        <v>996.33754636744698</v>
      </c>
      <c r="U43" s="65">
        <f>+Assumptions!$I155*U$12</f>
        <v>997.99810894472614</v>
      </c>
      <c r="V43" s="65">
        <f>+Assumptions!$I155*V$12</f>
        <v>999.66143912630071</v>
      </c>
      <c r="W43" s="65">
        <f>+Assumptions!$I155*W$12</f>
        <v>1001.3275415248448</v>
      </c>
      <c r="X43" s="65">
        <f>+Assumptions!$I155*X$12</f>
        <v>1002.9964207607195</v>
      </c>
      <c r="Y43" s="65">
        <f>+Assumptions!$I155*Y$12</f>
        <v>1004.6680814619874</v>
      </c>
      <c r="Z43" s="65">
        <f>+Assumptions!$I155*Z$12</f>
        <v>1006.3425282644242</v>
      </c>
      <c r="AA43" s="65">
        <f>+Assumptions!$I155*AA$12</f>
        <v>1008.0197658115316</v>
      </c>
      <c r="AB43" s="65">
        <f>+Assumptions!$I155*AB$12</f>
        <v>1009.6997987545509</v>
      </c>
      <c r="AC43" s="65">
        <f>+Assumptions!$I155*AC$12</f>
        <v>1011.3826317524752</v>
      </c>
      <c r="AD43" s="65">
        <f>+Assumptions!$I155*AD$12</f>
        <v>1013.0682694720628</v>
      </c>
      <c r="AE43" s="65">
        <f>+Assumptions!$I155*AE$12</f>
        <v>1014.7567165878497</v>
      </c>
      <c r="AF43" s="65">
        <f>+Assumptions!$I155*AF$12</f>
        <v>1016.4479777821626</v>
      </c>
      <c r="AG43" s="65">
        <f>+Assumptions!$I155*AG$12</f>
        <v>1018.142057745133</v>
      </c>
      <c r="AH43" s="65">
        <f>+Assumptions!$I155*AH$12</f>
        <v>1019.8389611747083</v>
      </c>
      <c r="AI43" s="65">
        <f>+Assumptions!$I155*AI$12</f>
        <v>1021.5386927766663</v>
      </c>
      <c r="AJ43" s="65">
        <f>+Assumptions!$I155*AJ$12</f>
        <v>1023.2412572646275</v>
      </c>
      <c r="AK43" s="65">
        <f>+Assumptions!$I155*AK$12</f>
        <v>1024.9466593600685</v>
      </c>
      <c r="AL43" s="65">
        <f>+Assumptions!$I155*AL$12</f>
        <v>1026.6549037923355</v>
      </c>
      <c r="AM43" s="65">
        <f>+Assumptions!$I155*AM$12</f>
        <v>1028.3659952986561</v>
      </c>
      <c r="AN43" s="65">
        <f>+Assumptions!$I155*AN$12</f>
        <v>1030.079938624154</v>
      </c>
      <c r="AO43" s="65">
        <f>+Assumptions!$I155*AO$12</f>
        <v>1031.7967385218608</v>
      </c>
      <c r="AP43" s="65">
        <f>+Assumptions!$I155*AP$12</f>
        <v>1033.5163997527309</v>
      </c>
      <c r="AQ43" s="65">
        <f>+Assumptions!$I155*AQ$12</f>
        <v>1035.238927085652</v>
      </c>
      <c r="AR43" s="65">
        <f>+Assumptions!$I155*AR$12</f>
        <v>1036.9643252974615</v>
      </c>
      <c r="AS43" s="65">
        <f>+Assumptions!$I155*AS$12</f>
        <v>1038.6925991729572</v>
      </c>
      <c r="AT43" s="65">
        <f>+Assumptions!$I155*AT$12</f>
        <v>1040.4237535049124</v>
      </c>
      <c r="AU43" s="65">
        <f>+Assumptions!$I155*AU$12</f>
        <v>1042.1577930940875</v>
      </c>
      <c r="AV43" s="65">
        <f>+Assumptions!$I155*AV$12</f>
        <v>1043.894722749244</v>
      </c>
      <c r="AW43" s="65">
        <f>+Assumptions!$I155*AW$12</f>
        <v>1045.6345472871596</v>
      </c>
      <c r="AX43" s="65">
        <f>+Assumptions!$I155*AX$12</f>
        <v>1047.3772715326384</v>
      </c>
      <c r="AY43" s="65">
        <f>+Assumptions!$I155*AY$12</f>
        <v>1049.122900318526</v>
      </c>
      <c r="AZ43" s="65">
        <f>+Assumptions!$I155*AZ$12</f>
        <v>1050.8714384857237</v>
      </c>
      <c r="BA43" s="65">
        <f>+Assumptions!$I155*BA$12</f>
        <v>1052.6228908831999</v>
      </c>
      <c r="BB43" s="65">
        <f>+Assumptions!$I155*BB$12</f>
        <v>1054.3772623680054</v>
      </c>
      <c r="BC43" s="65">
        <f>+Assumptions!$I155*BC$12</f>
        <v>1056.1345578052856</v>
      </c>
      <c r="BD43" s="65">
        <f>+Assumptions!$I155*BD$12</f>
        <v>1057.8947820682943</v>
      </c>
      <c r="BE43" s="65">
        <f>+Assumptions!$I155*BE$12</f>
        <v>1059.6579400384082</v>
      </c>
      <c r="BF43" s="65">
        <f>+Assumptions!$I155*BF$12</f>
        <v>1061.424036605139</v>
      </c>
      <c r="BG43" s="65">
        <f>+Assumptions!$I155*BG$12</f>
        <v>1063.1930766661476</v>
      </c>
      <c r="BH43" s="65">
        <f>+Assumptions!$I155*BH$12</f>
        <v>1064.965065127258</v>
      </c>
      <c r="BI43" s="65">
        <f>+Assumptions!$I155*BI$12</f>
        <v>1066.7400069024702</v>
      </c>
      <c r="BJ43" s="65">
        <f>+Assumptions!$I155*BJ$12</f>
        <v>1068.5179069139742</v>
      </c>
      <c r="BK43" s="65">
        <f>+Assumptions!$I155*BK$12</f>
        <v>1070.2987700921644</v>
      </c>
      <c r="BL43" s="65">
        <f>+Assumptions!$I155*BL$12</f>
        <v>1072.0826013756514</v>
      </c>
      <c r="BM43" s="65">
        <f>+Assumptions!$I155*BM$12</f>
        <v>1073.8694057112775</v>
      </c>
      <c r="BN43" s="65">
        <f>+Assumptions!$I155*BN$12</f>
        <v>1075.6591880541298</v>
      </c>
      <c r="BO43" s="65">
        <f>+Assumptions!$I155*BO$12</f>
        <v>1077.4519533675532</v>
      </c>
      <c r="BP43" s="65">
        <f>+Assumptions!$I155*BP$12</f>
        <v>1079.2477066231661</v>
      </c>
      <c r="BQ43" s="65">
        <f>+Assumptions!$I155*BQ$12</f>
        <v>1081.0464528008713</v>
      </c>
      <c r="BR43" s="65">
        <f>+Assumptions!$I155*BR$12</f>
        <v>1082.848196888873</v>
      </c>
      <c r="BS43" s="65">
        <f>+Assumptions!$I155*BS$12</f>
        <v>1084.6529438836878</v>
      </c>
      <c r="BT43" s="65">
        <f>+Assumptions!$I155*BT$12</f>
        <v>1086.4606987901607</v>
      </c>
      <c r="BU43" s="65">
        <f>+Assumptions!$I155*BU$12</f>
        <v>1088.2714666214777</v>
      </c>
      <c r="BV43" s="65">
        <f>+Assumptions!$I155*BV$12</f>
        <v>1090.0852523991803</v>
      </c>
      <c r="BW43" s="65">
        <f>+Assumptions!$I155*BW$12</f>
        <v>1091.9020611531789</v>
      </c>
      <c r="BX43" s="65">
        <f>+Assumptions!$I155*BX$12</f>
        <v>1093.7218979217675</v>
      </c>
      <c r="BY43" s="65">
        <f>+Assumptions!$I155*BY$12</f>
        <v>1095.5447677516372</v>
      </c>
      <c r="BZ43" s="65">
        <f>+Assumptions!$I155*BZ$12</f>
        <v>1097.37067569789</v>
      </c>
      <c r="CA43" s="65">
        <f>+Assumptions!$I155*CA$12</f>
        <v>1099.1996268240534</v>
      </c>
      <c r="CB43" s="65">
        <f>+Assumptions!$I155*CB$12</f>
        <v>1101.0316262020933</v>
      </c>
      <c r="CC43" s="65">
        <f>+Assumptions!$I155*CC$12</f>
        <v>1102.8666789124304</v>
      </c>
      <c r="CD43" s="65">
        <f>+Assumptions!$I155*CD$12</f>
        <v>1104.7047900439511</v>
      </c>
      <c r="CE43" s="65">
        <f>+Assumptions!$I155*CE$12</f>
        <v>1106.5459646940244</v>
      </c>
      <c r="CF43" s="65">
        <f>+Assumptions!$I155*CF$12</f>
        <v>1108.3902079685147</v>
      </c>
      <c r="CG43" s="65">
        <f>+Assumptions!$I155*CG$12</f>
        <v>1110.2375249817956</v>
      </c>
      <c r="CH43" s="65">
        <f>+Assumptions!$I155*CH$12</f>
        <v>1112.0879208567651</v>
      </c>
      <c r="CI43" s="65">
        <f>+Assumptions!$I155*CI$12</f>
        <v>1113.9414007248599</v>
      </c>
      <c r="CJ43" s="65">
        <f>+Assumptions!$I155*CJ$12</f>
        <v>1115.797969726068</v>
      </c>
      <c r="CK43" s="65">
        <f>+Assumptions!$I155*CK$12</f>
        <v>1117.6576330089449</v>
      </c>
      <c r="CL43" s="65">
        <f>+Assumptions!$I155*CL$12</f>
        <v>1119.5203957306267</v>
      </c>
      <c r="CM43" s="65">
        <f>+Assumptions!$I155*CM$12</f>
        <v>1121.3862630568444</v>
      </c>
      <c r="CN43" s="65">
        <f>+Assumptions!$I155*CN$12</f>
        <v>1123.2552401619394</v>
      </c>
      <c r="CO43" s="65">
        <f>+Assumptions!$I155*CO$12</f>
        <v>1125.1273322288757</v>
      </c>
      <c r="CP43" s="65">
        <f>+Assumptions!$I155*CP$12</f>
        <v>1127.0025444492576</v>
      </c>
      <c r="CQ43" s="65">
        <f>+Assumptions!$I155*CQ$12</f>
        <v>1128.8808820233398</v>
      </c>
      <c r="CR43" s="65">
        <f>+Assumptions!$I155*CR$12</f>
        <v>1130.7623501600451</v>
      </c>
      <c r="CS43" s="65">
        <f>+Assumptions!$I155*CS$12</f>
        <v>1132.6469540769785</v>
      </c>
      <c r="CT43" s="65">
        <f>+Assumptions!$I155*CT$12</f>
        <v>1134.5346990004405</v>
      </c>
      <c r="CU43" s="65">
        <f>+Assumptions!$I155*CU$12</f>
        <v>1136.4255901654412</v>
      </c>
      <c r="CV43" s="65">
        <f>+Assumptions!$I155*CV$12</f>
        <v>1138.3196328157171</v>
      </c>
      <c r="CW43" s="65">
        <f>+Assumptions!$I155*CW$12</f>
        <v>1140.2168322037433</v>
      </c>
      <c r="CX43" s="65">
        <f>+Assumptions!$I155*CX$12</f>
        <v>1142.1171935907496</v>
      </c>
      <c r="CY43" s="65">
        <f>+Assumptions!$I155*CY$12</f>
        <v>1144.0207222467345</v>
      </c>
      <c r="CZ43" s="65">
        <f>+Assumptions!$I155*CZ$12</f>
        <v>1145.9274234504792</v>
      </c>
      <c r="DA43" s="65">
        <f>+Assumptions!$I155*DA$12</f>
        <v>1147.8373024895632</v>
      </c>
      <c r="DB43" s="65">
        <f>+Assumptions!$I155*DB$12</f>
        <v>1149.7503646603793</v>
      </c>
      <c r="DC43" s="65">
        <f>+Assumptions!$I155*DC$12</f>
        <v>1151.6666152681466</v>
      </c>
      <c r="DD43" s="65">
        <f>+Assumptions!$I155*DD$12</f>
        <v>1153.586059626927</v>
      </c>
      <c r="DE43" s="65">
        <f>+Assumptions!$I155*DE$12</f>
        <v>1155.5087030596385</v>
      </c>
      <c r="DF43" s="65">
        <f>+Assumptions!$I155*DF$12</f>
        <v>1157.4345508980714</v>
      </c>
      <c r="DG43" s="65">
        <f>+Assumptions!$I155*DG$12</f>
        <v>1159.3636084829018</v>
      </c>
      <c r="DH43" s="65">
        <f>+Assumptions!$I155*DH$12</f>
        <v>1161.2958811637063</v>
      </c>
      <c r="DI43" s="65">
        <f>+Assumptions!$I155*DI$12</f>
        <v>1163.2313742989793</v>
      </c>
      <c r="DJ43" s="65">
        <f>+Assumptions!$I155*DJ$12</f>
        <v>1165.1700932561444</v>
      </c>
      <c r="DK43" s="65">
        <f>+Assumptions!$I155*DK$12</f>
        <v>1167.1120434115712</v>
      </c>
      <c r="DL43" s="65">
        <f>+Assumptions!$I155*DL$12</f>
        <v>1169.0572301505908</v>
      </c>
      <c r="DM43" s="65">
        <f>+Assumptions!$I155*DM$12</f>
        <v>1171.0056588675086</v>
      </c>
      <c r="DN43" s="65">
        <f>+Assumptions!$I155*DN$12</f>
        <v>1172.9573349656212</v>
      </c>
      <c r="DO43" s="65">
        <f>+Assumptions!$I155*DO$12</f>
        <v>1174.9122638572308</v>
      </c>
      <c r="DP43" s="65">
        <f>+Assumptions!$I155*DP$12</f>
        <v>1176.8704509636596</v>
      </c>
      <c r="DQ43" s="65">
        <f>+Assumptions!$I155*DQ$12</f>
        <v>1178.8319017152655</v>
      </c>
      <c r="DR43" s="65">
        <f>+Assumptions!$I155*DR$12</f>
        <v>1180.7966215514577</v>
      </c>
      <c r="DS43" s="65">
        <f>+Assumptions!$I155*DS$12</f>
        <v>1182.7646159207102</v>
      </c>
      <c r="DT43" s="65">
        <f>+Assumptions!$I155*DT$12</f>
        <v>1184.7358902805784</v>
      </c>
      <c r="DU43" s="65">
        <f>+Assumptions!$I155*DU$12</f>
        <v>1186.7104500977125</v>
      </c>
      <c r="DV43" s="65">
        <f>+Assumptions!$I155*DV$12</f>
        <v>1188.6883008478756</v>
      </c>
      <c r="DW43" s="65">
        <f>+Assumptions!$I155*DW$12</f>
        <v>1190.6694480159556</v>
      </c>
      <c r="DX43" s="65">
        <f>+Assumptions!$I155*DX$12</f>
        <v>1192.6538970959821</v>
      </c>
      <c r="DY43" s="65">
        <f>+Assumptions!$I155*DY$12</f>
        <v>1194.6416535911421</v>
      </c>
      <c r="DZ43" s="65">
        <f>+Assumptions!$I155*DZ$12</f>
        <v>1196.6327230137942</v>
      </c>
      <c r="EA43" s="65">
        <f>+Assumptions!$I155*EA$12</f>
        <v>1198.6271108854837</v>
      </c>
      <c r="EB43" s="65">
        <f>+Assumptions!$I155*EB$12</f>
        <v>1200.6248227369597</v>
      </c>
      <c r="EC43" s="65">
        <f>+Assumptions!$I155*EC$12</f>
        <v>1202.6258641081879</v>
      </c>
      <c r="ED43" s="65">
        <f>+Assumptions!$I155*ED$12</f>
        <v>1204.6302405483686</v>
      </c>
      <c r="EE43" s="65">
        <f>+Assumptions!$I155*EE$12</f>
        <v>1206.6379576159493</v>
      </c>
      <c r="EF43" s="65">
        <f>+Assumptions!$I155*EF$12</f>
        <v>1208.6490208786427</v>
      </c>
      <c r="EG43" s="65">
        <f>+Assumptions!$I155*EG$12</f>
        <v>1210.6634359134403</v>
      </c>
      <c r="EH43" s="65">
        <f>+Assumptions!$I155*EH$12</f>
        <v>1212.6812083066295</v>
      </c>
      <c r="EI43" s="65">
        <f>+Assumptions!$I155*EI$12</f>
        <v>1214.7023436538075</v>
      </c>
    </row>
    <row r="44" spans="2:139" x14ac:dyDescent="0.45">
      <c r="B44" s="58" t="str">
        <f>Assumptions!B156</f>
        <v>Security, Internet</v>
      </c>
      <c r="H44" s="65">
        <f>+Assumptions!$I156*H$12</f>
        <v>200.33333333333334</v>
      </c>
      <c r="I44" s="65">
        <f>+Assumptions!$I156*I$12</f>
        <v>200.66722222222225</v>
      </c>
      <c r="J44" s="65">
        <f>+Assumptions!$I156*J$12</f>
        <v>201.00166759259261</v>
      </c>
      <c r="K44" s="65">
        <f>+Assumptions!$I156*K$12</f>
        <v>201.33667037191364</v>
      </c>
      <c r="L44" s="65">
        <f>+Assumptions!$I156*L$12</f>
        <v>201.67223148920016</v>
      </c>
      <c r="M44" s="65">
        <f>+Assumptions!$I156*M$12</f>
        <v>202.00835187501548</v>
      </c>
      <c r="N44" s="65">
        <f>+Assumptions!$I156*N$12</f>
        <v>202.34503246147386</v>
      </c>
      <c r="O44" s="65">
        <f>+Assumptions!$I156*O$12</f>
        <v>202.68227418224302</v>
      </c>
      <c r="P44" s="65">
        <f>+Assumptions!$I156*P$12</f>
        <v>203.02007797254674</v>
      </c>
      <c r="Q44" s="65">
        <f>+Assumptions!$I156*Q$12</f>
        <v>203.3584447691677</v>
      </c>
      <c r="R44" s="65">
        <f>+Assumptions!$I156*R$12</f>
        <v>203.69737551044963</v>
      </c>
      <c r="S44" s="65">
        <f>+Assumptions!$I156*S$12</f>
        <v>204.03687113630039</v>
      </c>
      <c r="T44" s="65">
        <f>+Assumptions!$I156*T$12</f>
        <v>204.37693258819425</v>
      </c>
      <c r="U44" s="65">
        <f>+Assumptions!$I156*U$12</f>
        <v>204.71756080917461</v>
      </c>
      <c r="V44" s="65">
        <f>+Assumptions!$I156*V$12</f>
        <v>205.05875674385658</v>
      </c>
      <c r="W44" s="65">
        <f>+Assumptions!$I156*W$12</f>
        <v>205.40052133842971</v>
      </c>
      <c r="X44" s="65">
        <f>+Assumptions!$I156*X$12</f>
        <v>205.7428555406604</v>
      </c>
      <c r="Y44" s="65">
        <f>+Assumptions!$I156*Y$12</f>
        <v>206.08576029989484</v>
      </c>
      <c r="Z44" s="65">
        <f>+Assumptions!$I156*Z$12</f>
        <v>206.42923656706137</v>
      </c>
      <c r="AA44" s="65">
        <f>+Assumptions!$I156*AA$12</f>
        <v>206.77328529467314</v>
      </c>
      <c r="AB44" s="65">
        <f>+Assumptions!$I156*AB$12</f>
        <v>207.11790743683096</v>
      </c>
      <c r="AC44" s="65">
        <f>+Assumptions!$I156*AC$12</f>
        <v>207.46310394922568</v>
      </c>
      <c r="AD44" s="65">
        <f>+Assumptions!$I156*AD$12</f>
        <v>207.80887578914107</v>
      </c>
      <c r="AE44" s="65">
        <f>+Assumptions!$I156*AE$12</f>
        <v>208.15522391545636</v>
      </c>
      <c r="AF44" s="65">
        <f>+Assumptions!$I156*AF$12</f>
        <v>208.50214928864875</v>
      </c>
      <c r="AG44" s="65">
        <f>+Assumptions!$I156*AG$12</f>
        <v>208.84965287079652</v>
      </c>
      <c r="AH44" s="65">
        <f>+Assumptions!$I156*AH$12</f>
        <v>209.1977356255812</v>
      </c>
      <c r="AI44" s="65">
        <f>+Assumptions!$I156*AI$12</f>
        <v>209.54639851829052</v>
      </c>
      <c r="AJ44" s="65">
        <f>+Assumptions!$I156*AJ$12</f>
        <v>209.89564251582101</v>
      </c>
      <c r="AK44" s="65">
        <f>+Assumptions!$I156*AK$12</f>
        <v>210.24546858668072</v>
      </c>
      <c r="AL44" s="65">
        <f>+Assumptions!$I156*AL$12</f>
        <v>210.59587770099188</v>
      </c>
      <c r="AM44" s="65">
        <f>+Assumptions!$I156*AM$12</f>
        <v>210.94687083049357</v>
      </c>
      <c r="AN44" s="65">
        <f>+Assumptions!$I156*AN$12</f>
        <v>211.2984489485444</v>
      </c>
      <c r="AO44" s="65">
        <f>+Assumptions!$I156*AO$12</f>
        <v>211.6506130301253</v>
      </c>
      <c r="AP44" s="65">
        <f>+Assumptions!$I156*AP$12</f>
        <v>212.00336405184223</v>
      </c>
      <c r="AQ44" s="65">
        <f>+Assumptions!$I156*AQ$12</f>
        <v>212.35670299192861</v>
      </c>
      <c r="AR44" s="65">
        <f>+Assumptions!$I156*AR$12</f>
        <v>212.71063083024853</v>
      </c>
      <c r="AS44" s="65">
        <f>+Assumptions!$I156*AS$12</f>
        <v>213.06514854829891</v>
      </c>
      <c r="AT44" s="65">
        <f>+Assumptions!$I156*AT$12</f>
        <v>213.42025712921279</v>
      </c>
      <c r="AU44" s="65">
        <f>+Assumptions!$I156*AU$12</f>
        <v>213.77595755776153</v>
      </c>
      <c r="AV44" s="65">
        <f>+Assumptions!$I156*AV$12</f>
        <v>214.13225082035777</v>
      </c>
      <c r="AW44" s="65">
        <f>+Assumptions!$I156*AW$12</f>
        <v>214.48913790505836</v>
      </c>
      <c r="AX44" s="65">
        <f>+Assumptions!$I156*AX$12</f>
        <v>214.84661980156682</v>
      </c>
      <c r="AY44" s="65">
        <f>+Assumptions!$I156*AY$12</f>
        <v>215.2046975012361</v>
      </c>
      <c r="AZ44" s="65">
        <f>+Assumptions!$I156*AZ$12</f>
        <v>215.56337199707153</v>
      </c>
      <c r="BA44" s="65">
        <f>+Assumptions!$I156*BA$12</f>
        <v>215.92264428373335</v>
      </c>
      <c r="BB44" s="65">
        <f>+Assumptions!$I156*BB$12</f>
        <v>216.28251535753958</v>
      </c>
      <c r="BC44" s="65">
        <f>+Assumptions!$I156*BC$12</f>
        <v>216.64298621646884</v>
      </c>
      <c r="BD44" s="65">
        <f>+Assumptions!$I156*BD$12</f>
        <v>217.00405786016296</v>
      </c>
      <c r="BE44" s="65">
        <f>+Assumptions!$I156*BE$12</f>
        <v>217.3657312899299</v>
      </c>
      <c r="BF44" s="65">
        <f>+Assumptions!$I156*BF$12</f>
        <v>217.72800750874649</v>
      </c>
      <c r="BG44" s="65">
        <f>+Assumptions!$I156*BG$12</f>
        <v>218.09088752126104</v>
      </c>
      <c r="BH44" s="65">
        <f>+Assumptions!$I156*BH$12</f>
        <v>218.45437233379653</v>
      </c>
      <c r="BI44" s="65">
        <f>+Assumptions!$I156*BI$12</f>
        <v>218.81846295435287</v>
      </c>
      <c r="BJ44" s="65">
        <f>+Assumptions!$I156*BJ$12</f>
        <v>219.18316039261012</v>
      </c>
      <c r="BK44" s="65">
        <f>+Assumptions!$I156*BK$12</f>
        <v>219.54846565993117</v>
      </c>
      <c r="BL44" s="65">
        <f>+Assumptions!$I156*BL$12</f>
        <v>219.91437976936439</v>
      </c>
      <c r="BM44" s="65">
        <f>+Assumptions!$I156*BM$12</f>
        <v>220.28090373564666</v>
      </c>
      <c r="BN44" s="65">
        <f>+Assumptions!$I156*BN$12</f>
        <v>220.6480385752061</v>
      </c>
      <c r="BO44" s="65">
        <f>+Assumptions!$I156*BO$12</f>
        <v>221.01578530616476</v>
      </c>
      <c r="BP44" s="65">
        <f>+Assumptions!$I156*BP$12</f>
        <v>221.38414494834174</v>
      </c>
      <c r="BQ44" s="65">
        <f>+Assumptions!$I156*BQ$12</f>
        <v>221.75311852325567</v>
      </c>
      <c r="BR44" s="65">
        <f>+Assumptions!$I156*BR$12</f>
        <v>222.1227070541278</v>
      </c>
      <c r="BS44" s="65">
        <f>+Assumptions!$I156*BS$12</f>
        <v>222.4929115658847</v>
      </c>
      <c r="BT44" s="65">
        <f>+Assumptions!$I156*BT$12</f>
        <v>222.86373308516119</v>
      </c>
      <c r="BU44" s="65">
        <f>+Assumptions!$I156*BU$12</f>
        <v>223.23517264030309</v>
      </c>
      <c r="BV44" s="65">
        <f>+Assumptions!$I156*BV$12</f>
        <v>223.60723126137029</v>
      </c>
      <c r="BW44" s="65">
        <f>+Assumptions!$I156*BW$12</f>
        <v>223.97990998013927</v>
      </c>
      <c r="BX44" s="65">
        <f>+Assumptions!$I156*BX$12</f>
        <v>224.35320983010615</v>
      </c>
      <c r="BY44" s="65">
        <f>+Assumptions!$I156*BY$12</f>
        <v>224.72713184648967</v>
      </c>
      <c r="BZ44" s="65">
        <f>+Assumptions!$I156*BZ$12</f>
        <v>225.10167706623383</v>
      </c>
      <c r="CA44" s="65">
        <f>+Assumptions!$I156*CA$12</f>
        <v>225.47684652801095</v>
      </c>
      <c r="CB44" s="65">
        <f>+Assumptions!$I156*CB$12</f>
        <v>225.85264127222428</v>
      </c>
      <c r="CC44" s="65">
        <f>+Assumptions!$I156*CC$12</f>
        <v>226.22906234101134</v>
      </c>
      <c r="CD44" s="65">
        <f>+Assumptions!$I156*CD$12</f>
        <v>226.6061107782464</v>
      </c>
      <c r="CE44" s="65">
        <f>+Assumptions!$I156*CE$12</f>
        <v>226.98378762954349</v>
      </c>
      <c r="CF44" s="65">
        <f>+Assumptions!$I156*CF$12</f>
        <v>227.36209394225941</v>
      </c>
      <c r="CG44" s="65">
        <f>+Assumptions!$I156*CG$12</f>
        <v>227.74103076549653</v>
      </c>
      <c r="CH44" s="65">
        <f>+Assumptions!$I156*CH$12</f>
        <v>228.12059915010568</v>
      </c>
      <c r="CI44" s="65">
        <f>+Assumptions!$I156*CI$12</f>
        <v>228.50080014868922</v>
      </c>
      <c r="CJ44" s="65">
        <f>+Assumptions!$I156*CJ$12</f>
        <v>228.88163481560372</v>
      </c>
      <c r="CK44" s="65">
        <f>+Assumptions!$I156*CK$12</f>
        <v>229.26310420696305</v>
      </c>
      <c r="CL44" s="65">
        <f>+Assumptions!$I156*CL$12</f>
        <v>229.64520938064138</v>
      </c>
      <c r="CM44" s="65">
        <f>+Assumptions!$I156*CM$12</f>
        <v>230.0279513962758</v>
      </c>
      <c r="CN44" s="65">
        <f>+Assumptions!$I156*CN$12</f>
        <v>230.41133131526962</v>
      </c>
      <c r="CO44" s="65">
        <f>+Assumptions!$I156*CO$12</f>
        <v>230.79535020079501</v>
      </c>
      <c r="CP44" s="65">
        <f>+Assumptions!$I156*CP$12</f>
        <v>231.1800091177964</v>
      </c>
      <c r="CQ44" s="65">
        <f>+Assumptions!$I156*CQ$12</f>
        <v>231.56530913299278</v>
      </c>
      <c r="CR44" s="65">
        <f>+Assumptions!$I156*CR$12</f>
        <v>231.95125131488106</v>
      </c>
      <c r="CS44" s="65">
        <f>+Assumptions!$I156*CS$12</f>
        <v>232.33783673373921</v>
      </c>
      <c r="CT44" s="65">
        <f>+Assumptions!$I156*CT$12</f>
        <v>232.72506646162881</v>
      </c>
      <c r="CU44" s="65">
        <f>+Assumptions!$I156*CU$12</f>
        <v>233.1129415723982</v>
      </c>
      <c r="CV44" s="65">
        <f>+Assumptions!$I156*CV$12</f>
        <v>233.50146314168558</v>
      </c>
      <c r="CW44" s="65">
        <f>+Assumptions!$I156*CW$12</f>
        <v>233.89063224692168</v>
      </c>
      <c r="CX44" s="65">
        <f>+Assumptions!$I156*CX$12</f>
        <v>234.28044996733325</v>
      </c>
      <c r="CY44" s="65">
        <f>+Assumptions!$I156*CY$12</f>
        <v>234.67091738394555</v>
      </c>
      <c r="CZ44" s="65">
        <f>+Assumptions!$I156*CZ$12</f>
        <v>235.06203557958548</v>
      </c>
      <c r="DA44" s="65">
        <f>+Assumptions!$I156*DA$12</f>
        <v>235.45380563888477</v>
      </c>
      <c r="DB44" s="65">
        <f>+Assumptions!$I156*DB$12</f>
        <v>235.84622864828293</v>
      </c>
      <c r="DC44" s="65">
        <f>+Assumptions!$I156*DC$12</f>
        <v>236.2393056960301</v>
      </c>
      <c r="DD44" s="65">
        <f>+Assumptions!$I156*DD$12</f>
        <v>236.63303787219013</v>
      </c>
      <c r="DE44" s="65">
        <f>+Assumptions!$I156*DE$12</f>
        <v>237.02742626864378</v>
      </c>
      <c r="DF44" s="65">
        <f>+Assumptions!$I156*DF$12</f>
        <v>237.42247197909157</v>
      </c>
      <c r="DG44" s="65">
        <f>+Assumptions!$I156*DG$12</f>
        <v>237.81817609905676</v>
      </c>
      <c r="DH44" s="65">
        <f>+Assumptions!$I156*DH$12</f>
        <v>238.21453972588847</v>
      </c>
      <c r="DI44" s="65">
        <f>+Assumptions!$I156*DI$12</f>
        <v>238.61156395876498</v>
      </c>
      <c r="DJ44" s="65">
        <f>+Assumptions!$I156*DJ$12</f>
        <v>239.00924989869628</v>
      </c>
      <c r="DK44" s="65">
        <f>+Assumptions!$I156*DK$12</f>
        <v>239.40759864852743</v>
      </c>
      <c r="DL44" s="65">
        <f>+Assumptions!$I156*DL$12</f>
        <v>239.8066113129417</v>
      </c>
      <c r="DM44" s="65">
        <f>+Assumptions!$I156*DM$12</f>
        <v>240.20628899846329</v>
      </c>
      <c r="DN44" s="65">
        <f>+Assumptions!$I156*DN$12</f>
        <v>240.60663281346075</v>
      </c>
      <c r="DO44" s="65">
        <f>+Assumptions!$I156*DO$12</f>
        <v>241.00764386814987</v>
      </c>
      <c r="DP44" s="65">
        <f>+Assumptions!$I156*DP$12</f>
        <v>241.4093232745968</v>
      </c>
      <c r="DQ44" s="65">
        <f>+Assumptions!$I156*DQ$12</f>
        <v>241.81167214672112</v>
      </c>
      <c r="DR44" s="65">
        <f>+Assumptions!$I156*DR$12</f>
        <v>242.21469160029903</v>
      </c>
      <c r="DS44" s="65">
        <f>+Assumptions!$I156*DS$12</f>
        <v>242.6183827529662</v>
      </c>
      <c r="DT44" s="65">
        <f>+Assumptions!$I156*DT$12</f>
        <v>243.02274672422121</v>
      </c>
      <c r="DU44" s="65">
        <f>+Assumptions!$I156*DU$12</f>
        <v>243.4277846354282</v>
      </c>
      <c r="DV44" s="65">
        <f>+Assumptions!$I156*DV$12</f>
        <v>243.8334976098206</v>
      </c>
      <c r="DW44" s="65">
        <f>+Assumptions!$I156*DW$12</f>
        <v>244.2398867725037</v>
      </c>
      <c r="DX44" s="65">
        <f>+Assumptions!$I156*DX$12</f>
        <v>244.64695325045787</v>
      </c>
      <c r="DY44" s="65">
        <f>+Assumptions!$I156*DY$12</f>
        <v>245.05469817254198</v>
      </c>
      <c r="DZ44" s="65">
        <f>+Assumptions!$I156*DZ$12</f>
        <v>245.46312266949624</v>
      </c>
      <c r="EA44" s="65">
        <f>+Assumptions!$I156*EA$12</f>
        <v>245.87222787394535</v>
      </c>
      <c r="EB44" s="65">
        <f>+Assumptions!$I156*EB$12</f>
        <v>246.28201492040199</v>
      </c>
      <c r="EC44" s="65">
        <f>+Assumptions!$I156*EC$12</f>
        <v>246.69248494526931</v>
      </c>
      <c r="ED44" s="65">
        <f>+Assumptions!$I156*ED$12</f>
        <v>247.10363908684485</v>
      </c>
      <c r="EE44" s="65">
        <f>+Assumptions!$I156*EE$12</f>
        <v>247.51547848532294</v>
      </c>
      <c r="EF44" s="65">
        <f>+Assumptions!$I156*EF$12</f>
        <v>247.9280042827985</v>
      </c>
      <c r="EG44" s="65">
        <f>+Assumptions!$I156*EG$12</f>
        <v>248.34121762326981</v>
      </c>
      <c r="EH44" s="65">
        <f>+Assumptions!$I156*EH$12</f>
        <v>248.75511965264195</v>
      </c>
      <c r="EI44" s="65">
        <f>+Assumptions!$I156*EI$12</f>
        <v>249.16971151872974</v>
      </c>
    </row>
    <row r="45" spans="2:139" x14ac:dyDescent="0.45">
      <c r="B45" s="58" t="str">
        <f>Assumptions!B157</f>
        <v>Pest Control</v>
      </c>
      <c r="H45" s="65">
        <f>+Assumptions!$I157*H$12</f>
        <v>325.54166666666669</v>
      </c>
      <c r="I45" s="65">
        <f>+Assumptions!$I157*I$12</f>
        <v>326.08423611111112</v>
      </c>
      <c r="J45" s="65">
        <f>+Assumptions!$I157*J$12</f>
        <v>326.62770983796298</v>
      </c>
      <c r="K45" s="65">
        <f>+Assumptions!$I157*K$12</f>
        <v>327.17208935435963</v>
      </c>
      <c r="L45" s="65">
        <f>+Assumptions!$I157*L$12</f>
        <v>327.71737616995023</v>
      </c>
      <c r="M45" s="65">
        <f>+Assumptions!$I157*M$12</f>
        <v>328.26357179690018</v>
      </c>
      <c r="N45" s="65">
        <f>+Assumptions!$I157*N$12</f>
        <v>328.81067774989504</v>
      </c>
      <c r="O45" s="65">
        <f>+Assumptions!$I157*O$12</f>
        <v>329.35869554614493</v>
      </c>
      <c r="P45" s="65">
        <f>+Assumptions!$I157*P$12</f>
        <v>329.90762670538845</v>
      </c>
      <c r="Q45" s="65">
        <f>+Assumptions!$I157*Q$12</f>
        <v>330.45747274989748</v>
      </c>
      <c r="R45" s="65">
        <f>+Assumptions!$I157*R$12</f>
        <v>331.00823520448068</v>
      </c>
      <c r="S45" s="65">
        <f>+Assumptions!$I157*S$12</f>
        <v>331.55991559648817</v>
      </c>
      <c r="T45" s="65">
        <f>+Assumptions!$I157*T$12</f>
        <v>332.11251545581564</v>
      </c>
      <c r="U45" s="65">
        <f>+Assumptions!$I157*U$12</f>
        <v>332.66603631490875</v>
      </c>
      <c r="V45" s="65">
        <f>+Assumptions!$I157*V$12</f>
        <v>333.2204797087669</v>
      </c>
      <c r="W45" s="65">
        <f>+Assumptions!$I157*W$12</f>
        <v>333.77584717494824</v>
      </c>
      <c r="X45" s="65">
        <f>+Assumptions!$I157*X$12</f>
        <v>334.33214025357319</v>
      </c>
      <c r="Y45" s="65">
        <f>+Assumptions!$I157*Y$12</f>
        <v>334.88936048732916</v>
      </c>
      <c r="Z45" s="65">
        <f>+Assumptions!$I157*Z$12</f>
        <v>335.44750942147476</v>
      </c>
      <c r="AA45" s="65">
        <f>+Assumptions!$I157*AA$12</f>
        <v>336.00658860384385</v>
      </c>
      <c r="AB45" s="65">
        <f>+Assumptions!$I157*AB$12</f>
        <v>336.56659958485034</v>
      </c>
      <c r="AC45" s="65">
        <f>+Assumptions!$I157*AC$12</f>
        <v>337.12754391749172</v>
      </c>
      <c r="AD45" s="65">
        <f>+Assumptions!$I157*AD$12</f>
        <v>337.68942315735421</v>
      </c>
      <c r="AE45" s="65">
        <f>+Assumptions!$I157*AE$12</f>
        <v>338.25223886261659</v>
      </c>
      <c r="AF45" s="65">
        <f>+Assumptions!$I157*AF$12</f>
        <v>338.81599259405419</v>
      </c>
      <c r="AG45" s="65">
        <f>+Assumptions!$I157*AG$12</f>
        <v>339.38068591504435</v>
      </c>
      <c r="AH45" s="65">
        <f>+Assumptions!$I157*AH$12</f>
        <v>339.94632039156943</v>
      </c>
      <c r="AI45" s="65">
        <f>+Assumptions!$I157*AI$12</f>
        <v>340.51289759222209</v>
      </c>
      <c r="AJ45" s="65">
        <f>+Assumptions!$I157*AJ$12</f>
        <v>341.08041908820917</v>
      </c>
      <c r="AK45" s="65">
        <f>+Assumptions!$I157*AK$12</f>
        <v>341.64888645335617</v>
      </c>
      <c r="AL45" s="65">
        <f>+Assumptions!$I157*AL$12</f>
        <v>342.2183012641118</v>
      </c>
      <c r="AM45" s="65">
        <f>+Assumptions!$I157*AM$12</f>
        <v>342.78866509955208</v>
      </c>
      <c r="AN45" s="65">
        <f>+Assumptions!$I157*AN$12</f>
        <v>343.35997954138469</v>
      </c>
      <c r="AO45" s="65">
        <f>+Assumptions!$I157*AO$12</f>
        <v>343.93224617395362</v>
      </c>
      <c r="AP45" s="65">
        <f>+Assumptions!$I157*AP$12</f>
        <v>344.50546658424361</v>
      </c>
      <c r="AQ45" s="65">
        <f>+Assumptions!$I157*AQ$12</f>
        <v>345.079642361884</v>
      </c>
      <c r="AR45" s="65">
        <f>+Assumptions!$I157*AR$12</f>
        <v>345.65477509915388</v>
      </c>
      <c r="AS45" s="65">
        <f>+Assumptions!$I157*AS$12</f>
        <v>346.23086639098574</v>
      </c>
      <c r="AT45" s="65">
        <f>+Assumptions!$I157*AT$12</f>
        <v>346.80791783497079</v>
      </c>
      <c r="AU45" s="65">
        <f>+Assumptions!$I157*AU$12</f>
        <v>347.38593103136247</v>
      </c>
      <c r="AV45" s="65">
        <f>+Assumptions!$I157*AV$12</f>
        <v>347.96490758308136</v>
      </c>
      <c r="AW45" s="65">
        <f>+Assumptions!$I157*AW$12</f>
        <v>348.54484909571983</v>
      </c>
      <c r="AX45" s="65">
        <f>+Assumptions!$I157*AX$12</f>
        <v>349.12575717754612</v>
      </c>
      <c r="AY45" s="65">
        <f>+Assumptions!$I157*AY$12</f>
        <v>349.70763343950864</v>
      </c>
      <c r="AZ45" s="65">
        <f>+Assumptions!$I157*AZ$12</f>
        <v>350.29047949524124</v>
      </c>
      <c r="BA45" s="65">
        <f>+Assumptions!$I157*BA$12</f>
        <v>350.87429696106665</v>
      </c>
      <c r="BB45" s="65">
        <f>+Assumptions!$I157*BB$12</f>
        <v>351.45908745600178</v>
      </c>
      <c r="BC45" s="65">
        <f>+Assumptions!$I157*BC$12</f>
        <v>352.04485260176187</v>
      </c>
      <c r="BD45" s="65">
        <f>+Assumptions!$I157*BD$12</f>
        <v>352.63159402276477</v>
      </c>
      <c r="BE45" s="65">
        <f>+Assumptions!$I157*BE$12</f>
        <v>353.21931334613606</v>
      </c>
      <c r="BF45" s="65">
        <f>+Assumptions!$I157*BF$12</f>
        <v>353.80801220171304</v>
      </c>
      <c r="BG45" s="65">
        <f>+Assumptions!$I157*BG$12</f>
        <v>354.39769222204922</v>
      </c>
      <c r="BH45" s="65">
        <f>+Assumptions!$I157*BH$12</f>
        <v>354.98835504241936</v>
      </c>
      <c r="BI45" s="65">
        <f>+Assumptions!$I157*BI$12</f>
        <v>355.58000230082337</v>
      </c>
      <c r="BJ45" s="65">
        <f>+Assumptions!$I157*BJ$12</f>
        <v>356.17263563799145</v>
      </c>
      <c r="BK45" s="65">
        <f>+Assumptions!$I157*BK$12</f>
        <v>356.76625669738814</v>
      </c>
      <c r="BL45" s="65">
        <f>+Assumptions!$I157*BL$12</f>
        <v>357.36086712521711</v>
      </c>
      <c r="BM45" s="65">
        <f>+Assumptions!$I157*BM$12</f>
        <v>357.95646857042584</v>
      </c>
      <c r="BN45" s="65">
        <f>+Assumptions!$I157*BN$12</f>
        <v>358.55306268470991</v>
      </c>
      <c r="BO45" s="65">
        <f>+Assumptions!$I157*BO$12</f>
        <v>359.15065112251773</v>
      </c>
      <c r="BP45" s="65">
        <f>+Assumptions!$I157*BP$12</f>
        <v>359.74923554105533</v>
      </c>
      <c r="BQ45" s="65">
        <f>+Assumptions!$I157*BQ$12</f>
        <v>360.34881760029043</v>
      </c>
      <c r="BR45" s="65">
        <f>+Assumptions!$I157*BR$12</f>
        <v>360.94939896295767</v>
      </c>
      <c r="BS45" s="65">
        <f>+Assumptions!$I157*BS$12</f>
        <v>361.55098129456263</v>
      </c>
      <c r="BT45" s="65">
        <f>+Assumptions!$I157*BT$12</f>
        <v>362.15356626338695</v>
      </c>
      <c r="BU45" s="65">
        <f>+Assumptions!$I157*BU$12</f>
        <v>362.75715554049253</v>
      </c>
      <c r="BV45" s="65">
        <f>+Assumptions!$I157*BV$12</f>
        <v>363.36175079972674</v>
      </c>
      <c r="BW45" s="65">
        <f>+Assumptions!$I157*BW$12</f>
        <v>363.96735371772627</v>
      </c>
      <c r="BX45" s="65">
        <f>+Assumptions!$I157*BX$12</f>
        <v>364.5739659739225</v>
      </c>
      <c r="BY45" s="65">
        <f>+Assumptions!$I157*BY$12</f>
        <v>365.1815892505457</v>
      </c>
      <c r="BZ45" s="65">
        <f>+Assumptions!$I157*BZ$12</f>
        <v>365.79022523262995</v>
      </c>
      <c r="CA45" s="65">
        <f>+Assumptions!$I157*CA$12</f>
        <v>366.39987560801779</v>
      </c>
      <c r="CB45" s="65">
        <f>+Assumptions!$I157*CB$12</f>
        <v>367.01054206736444</v>
      </c>
      <c r="CC45" s="65">
        <f>+Assumptions!$I157*CC$12</f>
        <v>367.62222630414345</v>
      </c>
      <c r="CD45" s="65">
        <f>+Assumptions!$I157*CD$12</f>
        <v>368.23493001465039</v>
      </c>
      <c r="CE45" s="65">
        <f>+Assumptions!$I157*CE$12</f>
        <v>368.84865489800814</v>
      </c>
      <c r="CF45" s="65">
        <f>+Assumptions!$I157*CF$12</f>
        <v>369.46340265617152</v>
      </c>
      <c r="CG45" s="65">
        <f>+Assumptions!$I157*CG$12</f>
        <v>370.07917499393187</v>
      </c>
      <c r="CH45" s="65">
        <f>+Assumptions!$I157*CH$12</f>
        <v>370.6959736189217</v>
      </c>
      <c r="CI45" s="65">
        <f>+Assumptions!$I157*CI$12</f>
        <v>371.31380024162002</v>
      </c>
      <c r="CJ45" s="65">
        <f>+Assumptions!$I157*CJ$12</f>
        <v>371.93265657535602</v>
      </c>
      <c r="CK45" s="65">
        <f>+Assumptions!$I157*CK$12</f>
        <v>372.55254433631495</v>
      </c>
      <c r="CL45" s="65">
        <f>+Assumptions!$I157*CL$12</f>
        <v>373.17346524354224</v>
      </c>
      <c r="CM45" s="65">
        <f>+Assumptions!$I157*CM$12</f>
        <v>373.79542101894816</v>
      </c>
      <c r="CN45" s="65">
        <f>+Assumptions!$I157*CN$12</f>
        <v>374.41841338731314</v>
      </c>
      <c r="CO45" s="65">
        <f>+Assumptions!$I157*CO$12</f>
        <v>375.04244407629193</v>
      </c>
      <c r="CP45" s="65">
        <f>+Assumptions!$I157*CP$12</f>
        <v>375.66751481641916</v>
      </c>
      <c r="CQ45" s="65">
        <f>+Assumptions!$I157*CQ$12</f>
        <v>376.29362734111328</v>
      </c>
      <c r="CR45" s="65">
        <f>+Assumptions!$I157*CR$12</f>
        <v>376.92078338668171</v>
      </c>
      <c r="CS45" s="65">
        <f>+Assumptions!$I157*CS$12</f>
        <v>377.5489846923262</v>
      </c>
      <c r="CT45" s="65">
        <f>+Assumptions!$I157*CT$12</f>
        <v>378.1782330001468</v>
      </c>
      <c r="CU45" s="65">
        <f>+Assumptions!$I157*CU$12</f>
        <v>378.80853005514712</v>
      </c>
      <c r="CV45" s="65">
        <f>+Assumptions!$I157*CV$12</f>
        <v>379.43987760523908</v>
      </c>
      <c r="CW45" s="65">
        <f>+Assumptions!$I157*CW$12</f>
        <v>380.07227740124773</v>
      </c>
      <c r="CX45" s="65">
        <f>+Assumptions!$I157*CX$12</f>
        <v>380.70573119691653</v>
      </c>
      <c r="CY45" s="65">
        <f>+Assumptions!$I157*CY$12</f>
        <v>381.34024074891153</v>
      </c>
      <c r="CZ45" s="65">
        <f>+Assumptions!$I157*CZ$12</f>
        <v>381.97580781682638</v>
      </c>
      <c r="DA45" s="65">
        <f>+Assumptions!$I157*DA$12</f>
        <v>382.61243416318774</v>
      </c>
      <c r="DB45" s="65">
        <f>+Assumptions!$I157*DB$12</f>
        <v>383.25012155345973</v>
      </c>
      <c r="DC45" s="65">
        <f>+Assumptions!$I157*DC$12</f>
        <v>383.8888717560489</v>
      </c>
      <c r="DD45" s="65">
        <f>+Assumptions!$I157*DD$12</f>
        <v>384.528686542309</v>
      </c>
      <c r="DE45" s="65">
        <f>+Assumptions!$I157*DE$12</f>
        <v>385.16956768654615</v>
      </c>
      <c r="DF45" s="65">
        <f>+Assumptions!$I157*DF$12</f>
        <v>385.81151696602382</v>
      </c>
      <c r="DG45" s="65">
        <f>+Assumptions!$I157*DG$12</f>
        <v>386.45453616096722</v>
      </c>
      <c r="DH45" s="65">
        <f>+Assumptions!$I157*DH$12</f>
        <v>387.09862705456879</v>
      </c>
      <c r="DI45" s="65">
        <f>+Assumptions!$I157*DI$12</f>
        <v>387.74379143299308</v>
      </c>
      <c r="DJ45" s="65">
        <f>+Assumptions!$I157*DJ$12</f>
        <v>388.39003108538151</v>
      </c>
      <c r="DK45" s="65">
        <f>+Assumptions!$I157*DK$12</f>
        <v>389.03734780385707</v>
      </c>
      <c r="DL45" s="65">
        <f>+Assumptions!$I157*DL$12</f>
        <v>389.68574338353028</v>
      </c>
      <c r="DM45" s="65">
        <f>+Assumptions!$I157*DM$12</f>
        <v>390.33521962250285</v>
      </c>
      <c r="DN45" s="65">
        <f>+Assumptions!$I157*DN$12</f>
        <v>390.98577832187374</v>
      </c>
      <c r="DO45" s="65">
        <f>+Assumptions!$I157*DO$12</f>
        <v>391.63742128574353</v>
      </c>
      <c r="DP45" s="65">
        <f>+Assumptions!$I157*DP$12</f>
        <v>392.29015032121981</v>
      </c>
      <c r="DQ45" s="65">
        <f>+Assumptions!$I157*DQ$12</f>
        <v>392.94396723842181</v>
      </c>
      <c r="DR45" s="65">
        <f>+Assumptions!$I157*DR$12</f>
        <v>393.59887385048597</v>
      </c>
      <c r="DS45" s="65">
        <f>+Assumptions!$I157*DS$12</f>
        <v>394.25487197357012</v>
      </c>
      <c r="DT45" s="65">
        <f>+Assumptions!$I157*DT$12</f>
        <v>394.91196342685942</v>
      </c>
      <c r="DU45" s="65">
        <f>+Assumptions!$I157*DU$12</f>
        <v>395.57015003257084</v>
      </c>
      <c r="DV45" s="65">
        <f>+Assumptions!$I157*DV$12</f>
        <v>396.2294336159585</v>
      </c>
      <c r="DW45" s="65">
        <f>+Assumptions!$I157*DW$12</f>
        <v>396.88981600531849</v>
      </c>
      <c r="DX45" s="65">
        <f>+Assumptions!$I157*DX$12</f>
        <v>397.55129903199401</v>
      </c>
      <c r="DY45" s="65">
        <f>+Assumptions!$I157*DY$12</f>
        <v>398.21388453038071</v>
      </c>
      <c r="DZ45" s="65">
        <f>+Assumptions!$I157*DZ$12</f>
        <v>398.87757433793138</v>
      </c>
      <c r="EA45" s="65">
        <f>+Assumptions!$I157*EA$12</f>
        <v>399.54237029516122</v>
      </c>
      <c r="EB45" s="65">
        <f>+Assumptions!$I157*EB$12</f>
        <v>400.20827424565323</v>
      </c>
      <c r="EC45" s="65">
        <f>+Assumptions!$I157*EC$12</f>
        <v>400.87528803606267</v>
      </c>
      <c r="ED45" s="65">
        <f>+Assumptions!$I157*ED$12</f>
        <v>401.54341351612288</v>
      </c>
      <c r="EE45" s="65">
        <f>+Assumptions!$I157*EE$12</f>
        <v>402.21265253864976</v>
      </c>
      <c r="EF45" s="65">
        <f>+Assumptions!$I157*EF$12</f>
        <v>402.88300695954752</v>
      </c>
      <c r="EG45" s="65">
        <f>+Assumptions!$I157*EG$12</f>
        <v>403.55447863781347</v>
      </c>
      <c r="EH45" s="65">
        <f>+Assumptions!$I157*EH$12</f>
        <v>404.22706943554317</v>
      </c>
      <c r="EI45" s="65">
        <f>+Assumptions!$I157*EI$12</f>
        <v>404.90078121793579</v>
      </c>
    </row>
    <row r="46" spans="2:139" x14ac:dyDescent="0.45">
      <c r="B46" s="58" t="str">
        <f>Assumptions!B158</f>
        <v>Super (Payroll)</v>
      </c>
      <c r="H46" s="65">
        <f>+Assumptions!$I158*H$12</f>
        <v>3255.416666666667</v>
      </c>
      <c r="I46" s="65">
        <f>+Assumptions!$I158*I$12</f>
        <v>3260.8423611111116</v>
      </c>
      <c r="J46" s="65">
        <f>+Assumptions!$I158*J$12</f>
        <v>3266.2770983796299</v>
      </c>
      <c r="K46" s="65">
        <f>+Assumptions!$I158*K$12</f>
        <v>3271.7208935435965</v>
      </c>
      <c r="L46" s="65">
        <f>+Assumptions!$I158*L$12</f>
        <v>3277.1737616995024</v>
      </c>
      <c r="M46" s="65">
        <f>+Assumptions!$I158*M$12</f>
        <v>3282.6357179690017</v>
      </c>
      <c r="N46" s="65">
        <f>+Assumptions!$I158*N$12</f>
        <v>3288.1067774989501</v>
      </c>
      <c r="O46" s="65">
        <f>+Assumptions!$I158*O$12</f>
        <v>3293.5869554614492</v>
      </c>
      <c r="P46" s="65">
        <f>+Assumptions!$I158*P$12</f>
        <v>3299.0762670538847</v>
      </c>
      <c r="Q46" s="65">
        <f>+Assumptions!$I158*Q$12</f>
        <v>3304.5747274989749</v>
      </c>
      <c r="R46" s="65">
        <f>+Assumptions!$I158*R$12</f>
        <v>3310.0823520448066</v>
      </c>
      <c r="S46" s="65">
        <f>+Assumptions!$I158*S$12</f>
        <v>3315.5991559648814</v>
      </c>
      <c r="T46" s="65">
        <f>+Assumptions!$I158*T$12</f>
        <v>3321.1251545581567</v>
      </c>
      <c r="U46" s="65">
        <f>+Assumptions!$I158*U$12</f>
        <v>3326.6603631490875</v>
      </c>
      <c r="V46" s="65">
        <f>+Assumptions!$I158*V$12</f>
        <v>3332.2047970876692</v>
      </c>
      <c r="W46" s="65">
        <f>+Assumptions!$I158*W$12</f>
        <v>3337.7584717494824</v>
      </c>
      <c r="X46" s="65">
        <f>+Assumptions!$I158*X$12</f>
        <v>3343.3214025357315</v>
      </c>
      <c r="Y46" s="65">
        <f>+Assumptions!$I158*Y$12</f>
        <v>3348.8936048732912</v>
      </c>
      <c r="Z46" s="65">
        <f>+Assumptions!$I158*Z$12</f>
        <v>3354.4750942147475</v>
      </c>
      <c r="AA46" s="65">
        <f>+Assumptions!$I158*AA$12</f>
        <v>3360.0658860384383</v>
      </c>
      <c r="AB46" s="65">
        <f>+Assumptions!$I158*AB$12</f>
        <v>3365.6659958485029</v>
      </c>
      <c r="AC46" s="65">
        <f>+Assumptions!$I158*AC$12</f>
        <v>3371.2754391749172</v>
      </c>
      <c r="AD46" s="65">
        <f>+Assumptions!$I158*AD$12</f>
        <v>3376.8942315735421</v>
      </c>
      <c r="AE46" s="65">
        <f>+Assumptions!$I158*AE$12</f>
        <v>3382.5223886261656</v>
      </c>
      <c r="AF46" s="65">
        <f>+Assumptions!$I158*AF$12</f>
        <v>3388.1599259405421</v>
      </c>
      <c r="AG46" s="65">
        <f>+Assumptions!$I158*AG$12</f>
        <v>3393.8068591504434</v>
      </c>
      <c r="AH46" s="65">
        <f>+Assumptions!$I158*AH$12</f>
        <v>3399.4632039156945</v>
      </c>
      <c r="AI46" s="65">
        <f>+Assumptions!$I158*AI$12</f>
        <v>3405.1289759222209</v>
      </c>
      <c r="AJ46" s="65">
        <f>+Assumptions!$I158*AJ$12</f>
        <v>3410.8041908820915</v>
      </c>
      <c r="AK46" s="65">
        <f>+Assumptions!$I158*AK$12</f>
        <v>3416.4888645335618</v>
      </c>
      <c r="AL46" s="65">
        <f>+Assumptions!$I158*AL$12</f>
        <v>3422.1830126411182</v>
      </c>
      <c r="AM46" s="65">
        <f>+Assumptions!$I158*AM$12</f>
        <v>3427.8866509955205</v>
      </c>
      <c r="AN46" s="65">
        <f>+Assumptions!$I158*AN$12</f>
        <v>3433.5997954138466</v>
      </c>
      <c r="AO46" s="65">
        <f>+Assumptions!$I158*AO$12</f>
        <v>3439.3224617395363</v>
      </c>
      <c r="AP46" s="65">
        <f>+Assumptions!$I158*AP$12</f>
        <v>3445.054665842436</v>
      </c>
      <c r="AQ46" s="65">
        <f>+Assumptions!$I158*AQ$12</f>
        <v>3450.79642361884</v>
      </c>
      <c r="AR46" s="65">
        <f>+Assumptions!$I158*AR$12</f>
        <v>3456.5477509915386</v>
      </c>
      <c r="AS46" s="65">
        <f>+Assumptions!$I158*AS$12</f>
        <v>3462.3086639098574</v>
      </c>
      <c r="AT46" s="65">
        <f>+Assumptions!$I158*AT$12</f>
        <v>3468.0791783497079</v>
      </c>
      <c r="AU46" s="65">
        <f>+Assumptions!$I158*AU$12</f>
        <v>3473.859310313625</v>
      </c>
      <c r="AV46" s="65">
        <f>+Assumptions!$I158*AV$12</f>
        <v>3479.6490758308137</v>
      </c>
      <c r="AW46" s="65">
        <f>+Assumptions!$I158*AW$12</f>
        <v>3485.4484909571984</v>
      </c>
      <c r="AX46" s="65">
        <f>+Assumptions!$I158*AX$12</f>
        <v>3491.2575717754612</v>
      </c>
      <c r="AY46" s="65">
        <f>+Assumptions!$I158*AY$12</f>
        <v>3497.0763343950866</v>
      </c>
      <c r="AZ46" s="65">
        <f>+Assumptions!$I158*AZ$12</f>
        <v>3502.9047949524124</v>
      </c>
      <c r="BA46" s="65">
        <f>+Assumptions!$I158*BA$12</f>
        <v>3508.7429696106665</v>
      </c>
      <c r="BB46" s="65">
        <f>+Assumptions!$I158*BB$12</f>
        <v>3514.5908745600182</v>
      </c>
      <c r="BC46" s="65">
        <f>+Assumptions!$I158*BC$12</f>
        <v>3520.4485260176189</v>
      </c>
      <c r="BD46" s="65">
        <f>+Assumptions!$I158*BD$12</f>
        <v>3526.3159402276478</v>
      </c>
      <c r="BE46" s="65">
        <f>+Assumptions!$I158*BE$12</f>
        <v>3532.1931334613605</v>
      </c>
      <c r="BF46" s="65">
        <f>+Assumptions!$I158*BF$12</f>
        <v>3538.0801220171302</v>
      </c>
      <c r="BG46" s="65">
        <f>+Assumptions!$I158*BG$12</f>
        <v>3543.9769222204918</v>
      </c>
      <c r="BH46" s="65">
        <f>+Assumptions!$I158*BH$12</f>
        <v>3549.8835504241933</v>
      </c>
      <c r="BI46" s="65">
        <f>+Assumptions!$I158*BI$12</f>
        <v>3555.8000230082339</v>
      </c>
      <c r="BJ46" s="65">
        <f>+Assumptions!$I158*BJ$12</f>
        <v>3561.7263563799143</v>
      </c>
      <c r="BK46" s="65">
        <f>+Assumptions!$I158*BK$12</f>
        <v>3567.6625669738819</v>
      </c>
      <c r="BL46" s="65">
        <f>+Assumptions!$I158*BL$12</f>
        <v>3573.6086712521715</v>
      </c>
      <c r="BM46" s="65">
        <f>+Assumptions!$I158*BM$12</f>
        <v>3579.5646857042584</v>
      </c>
      <c r="BN46" s="65">
        <f>+Assumptions!$I158*BN$12</f>
        <v>3585.530626847099</v>
      </c>
      <c r="BO46" s="65">
        <f>+Assumptions!$I158*BO$12</f>
        <v>3591.5065112251773</v>
      </c>
      <c r="BP46" s="65">
        <f>+Assumptions!$I158*BP$12</f>
        <v>3597.4923554105535</v>
      </c>
      <c r="BQ46" s="65">
        <f>+Assumptions!$I158*BQ$12</f>
        <v>3603.4881760029043</v>
      </c>
      <c r="BR46" s="65">
        <f>+Assumptions!$I158*BR$12</f>
        <v>3609.4939896295768</v>
      </c>
      <c r="BS46" s="65">
        <f>+Assumptions!$I158*BS$12</f>
        <v>3615.509812945626</v>
      </c>
      <c r="BT46" s="65">
        <f>+Assumptions!$I158*BT$12</f>
        <v>3621.5356626338694</v>
      </c>
      <c r="BU46" s="65">
        <f>+Assumptions!$I158*BU$12</f>
        <v>3627.5715554049252</v>
      </c>
      <c r="BV46" s="65">
        <f>+Assumptions!$I158*BV$12</f>
        <v>3633.6175079972672</v>
      </c>
      <c r="BW46" s="65">
        <f>+Assumptions!$I158*BW$12</f>
        <v>3639.6735371772629</v>
      </c>
      <c r="BX46" s="65">
        <f>+Assumptions!$I158*BX$12</f>
        <v>3645.7396597392253</v>
      </c>
      <c r="BY46" s="65">
        <f>+Assumptions!$I158*BY$12</f>
        <v>3651.8158925054572</v>
      </c>
      <c r="BZ46" s="65">
        <f>+Assumptions!$I158*BZ$12</f>
        <v>3657.9022523262997</v>
      </c>
      <c r="CA46" s="65">
        <f>+Assumptions!$I158*CA$12</f>
        <v>3663.9987560801778</v>
      </c>
      <c r="CB46" s="65">
        <f>+Assumptions!$I158*CB$12</f>
        <v>3670.1054206736449</v>
      </c>
      <c r="CC46" s="65">
        <f>+Assumptions!$I158*CC$12</f>
        <v>3676.2222630414344</v>
      </c>
      <c r="CD46" s="65">
        <f>+Assumptions!$I158*CD$12</f>
        <v>3682.349300146504</v>
      </c>
      <c r="CE46" s="65">
        <f>+Assumptions!$I158*CE$12</f>
        <v>3688.4865489800814</v>
      </c>
      <c r="CF46" s="65">
        <f>+Assumptions!$I158*CF$12</f>
        <v>3694.6340265617155</v>
      </c>
      <c r="CG46" s="65">
        <f>+Assumptions!$I158*CG$12</f>
        <v>3700.7917499393184</v>
      </c>
      <c r="CH46" s="65">
        <f>+Assumptions!$I158*CH$12</f>
        <v>3706.959736189217</v>
      </c>
      <c r="CI46" s="65">
        <f>+Assumptions!$I158*CI$12</f>
        <v>3713.1380024161999</v>
      </c>
      <c r="CJ46" s="65">
        <f>+Assumptions!$I158*CJ$12</f>
        <v>3719.3265657535603</v>
      </c>
      <c r="CK46" s="65">
        <f>+Assumptions!$I158*CK$12</f>
        <v>3725.5254433631494</v>
      </c>
      <c r="CL46" s="65">
        <f>+Assumptions!$I158*CL$12</f>
        <v>3731.734652435422</v>
      </c>
      <c r="CM46" s="65">
        <f>+Assumptions!$I158*CM$12</f>
        <v>3737.9542101894817</v>
      </c>
      <c r="CN46" s="65">
        <f>+Assumptions!$I158*CN$12</f>
        <v>3744.1841338731315</v>
      </c>
      <c r="CO46" s="65">
        <f>+Assumptions!$I158*CO$12</f>
        <v>3750.4244407629189</v>
      </c>
      <c r="CP46" s="65">
        <f>+Assumptions!$I158*CP$12</f>
        <v>3756.6751481641918</v>
      </c>
      <c r="CQ46" s="65">
        <f>+Assumptions!$I158*CQ$12</f>
        <v>3762.9362734111328</v>
      </c>
      <c r="CR46" s="65">
        <f>+Assumptions!$I158*CR$12</f>
        <v>3769.2078338668171</v>
      </c>
      <c r="CS46" s="65">
        <f>+Assumptions!$I158*CS$12</f>
        <v>3775.4898469232621</v>
      </c>
      <c r="CT46" s="65">
        <f>+Assumptions!$I158*CT$12</f>
        <v>3781.7823300014679</v>
      </c>
      <c r="CU46" s="65">
        <f>+Assumptions!$I158*CU$12</f>
        <v>3788.0853005514709</v>
      </c>
      <c r="CV46" s="65">
        <f>+Assumptions!$I158*CV$12</f>
        <v>3794.3987760523905</v>
      </c>
      <c r="CW46" s="65">
        <f>+Assumptions!$I158*CW$12</f>
        <v>3800.7227740124772</v>
      </c>
      <c r="CX46" s="65">
        <f>+Assumptions!$I158*CX$12</f>
        <v>3807.0573119691653</v>
      </c>
      <c r="CY46" s="65">
        <f>+Assumptions!$I158*CY$12</f>
        <v>3813.4024074891149</v>
      </c>
      <c r="CZ46" s="65">
        <f>+Assumptions!$I158*CZ$12</f>
        <v>3819.7580781682641</v>
      </c>
      <c r="DA46" s="65">
        <f>+Assumptions!$I158*DA$12</f>
        <v>3826.1243416318775</v>
      </c>
      <c r="DB46" s="65">
        <f>+Assumptions!$I158*DB$12</f>
        <v>3832.5012155345976</v>
      </c>
      <c r="DC46" s="65">
        <f>+Assumptions!$I158*DC$12</f>
        <v>3838.8887175604891</v>
      </c>
      <c r="DD46" s="65">
        <f>+Assumptions!$I158*DD$12</f>
        <v>3845.2868654230897</v>
      </c>
      <c r="DE46" s="65">
        <f>+Assumptions!$I158*DE$12</f>
        <v>3851.6956768654613</v>
      </c>
      <c r="DF46" s="65">
        <f>+Assumptions!$I158*DF$12</f>
        <v>3858.1151696602378</v>
      </c>
      <c r="DG46" s="65">
        <f>+Assumptions!$I158*DG$12</f>
        <v>3864.5453616096725</v>
      </c>
      <c r="DH46" s="65">
        <f>+Assumptions!$I158*DH$12</f>
        <v>3870.9862705456881</v>
      </c>
      <c r="DI46" s="65">
        <f>+Assumptions!$I158*DI$12</f>
        <v>3877.4379143299307</v>
      </c>
      <c r="DJ46" s="65">
        <f>+Assumptions!$I158*DJ$12</f>
        <v>3883.900310853815</v>
      </c>
      <c r="DK46" s="65">
        <f>+Assumptions!$I158*DK$12</f>
        <v>3890.3734780385707</v>
      </c>
      <c r="DL46" s="65">
        <f>+Assumptions!$I158*DL$12</f>
        <v>3896.8574338353028</v>
      </c>
      <c r="DM46" s="65">
        <f>+Assumptions!$I158*DM$12</f>
        <v>3903.3521962250288</v>
      </c>
      <c r="DN46" s="65">
        <f>+Assumptions!$I158*DN$12</f>
        <v>3909.857783218737</v>
      </c>
      <c r="DO46" s="65">
        <f>+Assumptions!$I158*DO$12</f>
        <v>3916.3742128574354</v>
      </c>
      <c r="DP46" s="65">
        <f>+Assumptions!$I158*DP$12</f>
        <v>3922.9015032121983</v>
      </c>
      <c r="DQ46" s="65">
        <f>+Assumptions!$I158*DQ$12</f>
        <v>3929.4396723842183</v>
      </c>
      <c r="DR46" s="65">
        <f>+Assumptions!$I158*DR$12</f>
        <v>3935.9887385048596</v>
      </c>
      <c r="DS46" s="65">
        <f>+Assumptions!$I158*DS$12</f>
        <v>3942.5487197357011</v>
      </c>
      <c r="DT46" s="65">
        <f>+Assumptions!$I158*DT$12</f>
        <v>3949.1196342685944</v>
      </c>
      <c r="DU46" s="65">
        <f>+Assumptions!$I158*DU$12</f>
        <v>3955.7015003257084</v>
      </c>
      <c r="DV46" s="65">
        <f>+Assumptions!$I158*DV$12</f>
        <v>3962.2943361595849</v>
      </c>
      <c r="DW46" s="65">
        <f>+Assumptions!$I158*DW$12</f>
        <v>3968.8981600531852</v>
      </c>
      <c r="DX46" s="65">
        <f>+Assumptions!$I158*DX$12</f>
        <v>3975.5129903199404</v>
      </c>
      <c r="DY46" s="65">
        <f>+Assumptions!$I158*DY$12</f>
        <v>3982.1388453038071</v>
      </c>
      <c r="DZ46" s="65">
        <f>+Assumptions!$I158*DZ$12</f>
        <v>3988.775743379314</v>
      </c>
      <c r="EA46" s="65">
        <f>+Assumptions!$I158*EA$12</f>
        <v>3995.4237029516121</v>
      </c>
      <c r="EB46" s="65">
        <f>+Assumptions!$I158*EB$12</f>
        <v>4002.0827424565327</v>
      </c>
      <c r="EC46" s="65">
        <f>+Assumptions!$I158*EC$12</f>
        <v>4008.7528803606265</v>
      </c>
      <c r="ED46" s="65">
        <f>+Assumptions!$I158*ED$12</f>
        <v>4015.4341351612288</v>
      </c>
      <c r="EE46" s="65">
        <f>+Assumptions!$I158*EE$12</f>
        <v>4022.1265253864976</v>
      </c>
      <c r="EF46" s="65">
        <f>+Assumptions!$I158*EF$12</f>
        <v>4028.8300695954754</v>
      </c>
      <c r="EG46" s="65">
        <f>+Assumptions!$I158*EG$12</f>
        <v>4035.5447863781346</v>
      </c>
      <c r="EH46" s="65">
        <f>+Assumptions!$I158*EH$12</f>
        <v>4042.2706943554317</v>
      </c>
      <c r="EI46" s="65">
        <f>+Assumptions!$I158*EI$12</f>
        <v>4049.0078121793581</v>
      </c>
    </row>
    <row r="47" spans="2:139" x14ac:dyDescent="0.45">
      <c r="B47" s="58" t="str">
        <f>Assumptions!B159</f>
        <v>Heat (Gas)</v>
      </c>
      <c r="H47" s="65">
        <f>+Assumptions!$I159*H$12</f>
        <v>5624.6922222222211</v>
      </c>
      <c r="I47" s="65">
        <f>+Assumptions!$I159*I$12</f>
        <v>5634.0667092592585</v>
      </c>
      <c r="J47" s="65">
        <f>+Assumptions!$I159*J$12</f>
        <v>5643.4568204413572</v>
      </c>
      <c r="K47" s="65">
        <f>+Assumptions!$I159*K$12</f>
        <v>5652.8625818087603</v>
      </c>
      <c r="L47" s="65">
        <f>+Assumptions!$I159*L$12</f>
        <v>5662.2840194451082</v>
      </c>
      <c r="M47" s="65">
        <f>+Assumptions!$I159*M$12</f>
        <v>5671.7211594775172</v>
      </c>
      <c r="N47" s="65">
        <f>+Assumptions!$I159*N$12</f>
        <v>5681.1740280766462</v>
      </c>
      <c r="O47" s="65">
        <f>+Assumptions!$I159*O$12</f>
        <v>5690.6426514567756</v>
      </c>
      <c r="P47" s="65">
        <f>+Assumptions!$I159*P$12</f>
        <v>5700.1270558758697</v>
      </c>
      <c r="Q47" s="65">
        <f>+Assumptions!$I159*Q$12</f>
        <v>5709.6272676356639</v>
      </c>
      <c r="R47" s="65">
        <f>+Assumptions!$I159*R$12</f>
        <v>5719.1433130817231</v>
      </c>
      <c r="S47" s="65">
        <f>+Assumptions!$I159*S$12</f>
        <v>5728.6752186035264</v>
      </c>
      <c r="T47" s="65">
        <f>+Assumptions!$I159*T$12</f>
        <v>5738.2230106345323</v>
      </c>
      <c r="U47" s="65">
        <f>+Assumptions!$I159*U$12</f>
        <v>5747.786715652258</v>
      </c>
      <c r="V47" s="65">
        <f>+Assumptions!$I159*V$12</f>
        <v>5757.3663601783446</v>
      </c>
      <c r="W47" s="65">
        <f>+Assumptions!$I159*W$12</f>
        <v>5766.9619707786433</v>
      </c>
      <c r="X47" s="65">
        <f>+Assumptions!$I159*X$12</f>
        <v>5776.5735740632745</v>
      </c>
      <c r="Y47" s="65">
        <f>+Assumptions!$I159*Y$12</f>
        <v>5786.201196686713</v>
      </c>
      <c r="Z47" s="65">
        <f>+Assumptions!$I159*Z$12</f>
        <v>5795.844865347859</v>
      </c>
      <c r="AA47" s="65">
        <f>+Assumptions!$I159*AA$12</f>
        <v>5805.5046067901048</v>
      </c>
      <c r="AB47" s="65">
        <f>+Assumptions!$I159*AB$12</f>
        <v>5815.1804478014228</v>
      </c>
      <c r="AC47" s="65">
        <f>+Assumptions!$I159*AC$12</f>
        <v>5824.872415214425</v>
      </c>
      <c r="AD47" s="65">
        <f>+Assumptions!$I159*AD$12</f>
        <v>5834.5805359064498</v>
      </c>
      <c r="AE47" s="65">
        <f>+Assumptions!$I159*AE$12</f>
        <v>5844.304836799628</v>
      </c>
      <c r="AF47" s="65">
        <f>+Assumptions!$I159*AF$12</f>
        <v>5854.0453448609596</v>
      </c>
      <c r="AG47" s="65">
        <f>+Assumptions!$I159*AG$12</f>
        <v>5863.8020871023955</v>
      </c>
      <c r="AH47" s="65">
        <f>+Assumptions!$I159*AH$12</f>
        <v>5873.5750905809</v>
      </c>
      <c r="AI47" s="65">
        <f>+Assumptions!$I159*AI$12</f>
        <v>5883.3643823985349</v>
      </c>
      <c r="AJ47" s="65">
        <f>+Assumptions!$I159*AJ$12</f>
        <v>5893.1699897025337</v>
      </c>
      <c r="AK47" s="65">
        <f>+Assumptions!$I159*AK$12</f>
        <v>5902.9919396853711</v>
      </c>
      <c r="AL47" s="65">
        <f>+Assumptions!$I159*AL$12</f>
        <v>5912.8302595848472</v>
      </c>
      <c r="AM47" s="65">
        <f>+Assumptions!$I159*AM$12</f>
        <v>5922.6849766841569</v>
      </c>
      <c r="AN47" s="65">
        <f>+Assumptions!$I159*AN$12</f>
        <v>5932.5561183119644</v>
      </c>
      <c r="AO47" s="65">
        <f>+Assumptions!$I159*AO$12</f>
        <v>5942.4437118424839</v>
      </c>
      <c r="AP47" s="65">
        <f>+Assumptions!$I159*AP$12</f>
        <v>5952.3477846955557</v>
      </c>
      <c r="AQ47" s="65">
        <f>+Assumptions!$I159*AQ$12</f>
        <v>5962.2683643367145</v>
      </c>
      <c r="AR47" s="65">
        <f>+Assumptions!$I159*AR$12</f>
        <v>5972.2054782772766</v>
      </c>
      <c r="AS47" s="65">
        <f>+Assumptions!$I159*AS$12</f>
        <v>5982.1591540744048</v>
      </c>
      <c r="AT47" s="65">
        <f>+Assumptions!$I159*AT$12</f>
        <v>5992.1294193311969</v>
      </c>
      <c r="AU47" s="65">
        <f>+Assumptions!$I159*AU$12</f>
        <v>6002.1163016967503</v>
      </c>
      <c r="AV47" s="65">
        <f>+Assumptions!$I159*AV$12</f>
        <v>6012.1198288662436</v>
      </c>
      <c r="AW47" s="65">
        <f>+Assumptions!$I159*AW$12</f>
        <v>6022.1400285810205</v>
      </c>
      <c r="AX47" s="65">
        <f>+Assumptions!$I159*AX$12</f>
        <v>6032.1769286286572</v>
      </c>
      <c r="AY47" s="65">
        <f>+Assumptions!$I159*AY$12</f>
        <v>6042.2305568430374</v>
      </c>
      <c r="AZ47" s="65">
        <f>+Assumptions!$I159*AZ$12</f>
        <v>6052.3009411044441</v>
      </c>
      <c r="BA47" s="65">
        <f>+Assumptions!$I159*BA$12</f>
        <v>6062.3881093396185</v>
      </c>
      <c r="BB47" s="65">
        <f>+Assumptions!$I159*BB$12</f>
        <v>6072.4920895218511</v>
      </c>
      <c r="BC47" s="65">
        <f>+Assumptions!$I159*BC$12</f>
        <v>6082.6129096710556</v>
      </c>
      <c r="BD47" s="65">
        <f>+Assumptions!$I159*BD$12</f>
        <v>6092.7505978538402</v>
      </c>
      <c r="BE47" s="65">
        <f>+Assumptions!$I159*BE$12</f>
        <v>6102.9051821835965</v>
      </c>
      <c r="BF47" s="65">
        <f>+Assumptions!$I159*BF$12</f>
        <v>6113.0766908205705</v>
      </c>
      <c r="BG47" s="65">
        <f>+Assumptions!$I159*BG$12</f>
        <v>6123.2651519719384</v>
      </c>
      <c r="BH47" s="65">
        <f>+Assumptions!$I159*BH$12</f>
        <v>6133.4705938918923</v>
      </c>
      <c r="BI47" s="65">
        <f>+Assumptions!$I159*BI$12</f>
        <v>6143.693044881712</v>
      </c>
      <c r="BJ47" s="65">
        <f>+Assumptions!$I159*BJ$12</f>
        <v>6153.9325332898488</v>
      </c>
      <c r="BK47" s="65">
        <f>+Assumptions!$I159*BK$12</f>
        <v>6164.1890875119998</v>
      </c>
      <c r="BL47" s="65">
        <f>+Assumptions!$I159*BL$12</f>
        <v>6174.4627359911865</v>
      </c>
      <c r="BM47" s="65">
        <f>+Assumptions!$I159*BM$12</f>
        <v>6184.753507217838</v>
      </c>
      <c r="BN47" s="65">
        <f>+Assumptions!$I159*BN$12</f>
        <v>6195.0614297298689</v>
      </c>
      <c r="BO47" s="65">
        <f>+Assumptions!$I159*BO$12</f>
        <v>6205.3865321127514</v>
      </c>
      <c r="BP47" s="65">
        <f>+Assumptions!$I159*BP$12</f>
        <v>6215.728842999607</v>
      </c>
      <c r="BQ47" s="65">
        <f>+Assumptions!$I159*BQ$12</f>
        <v>6226.0883910712737</v>
      </c>
      <c r="BR47" s="65">
        <f>+Assumptions!$I159*BR$12</f>
        <v>6236.4652050563936</v>
      </c>
      <c r="BS47" s="65">
        <f>+Assumptions!$I159*BS$12</f>
        <v>6246.8593137314874</v>
      </c>
      <c r="BT47" s="65">
        <f>+Assumptions!$I159*BT$12</f>
        <v>6257.2707459210405</v>
      </c>
      <c r="BU47" s="65">
        <f>+Assumptions!$I159*BU$12</f>
        <v>6267.6995304975753</v>
      </c>
      <c r="BV47" s="65">
        <f>+Assumptions!$I159*BV$12</f>
        <v>6278.1456963817391</v>
      </c>
      <c r="BW47" s="65">
        <f>+Assumptions!$I159*BW$12</f>
        <v>6288.609272542375</v>
      </c>
      <c r="BX47" s="65">
        <f>+Assumptions!$I159*BX$12</f>
        <v>6299.0902879966125</v>
      </c>
      <c r="BY47" s="65">
        <f>+Assumptions!$I159*BY$12</f>
        <v>6309.5887718099402</v>
      </c>
      <c r="BZ47" s="65">
        <f>+Assumptions!$I159*BZ$12</f>
        <v>6320.1047530962906</v>
      </c>
      <c r="CA47" s="65">
        <f>+Assumptions!$I159*CA$12</f>
        <v>6330.638261018119</v>
      </c>
      <c r="CB47" s="65">
        <f>+Assumptions!$I159*CB$12</f>
        <v>6341.1893247864828</v>
      </c>
      <c r="CC47" s="65">
        <f>+Assumptions!$I159*CC$12</f>
        <v>6351.7579736611269</v>
      </c>
      <c r="CD47" s="65">
        <f>+Assumptions!$I159*CD$12</f>
        <v>6362.3442369505628</v>
      </c>
      <c r="CE47" s="65">
        <f>+Assumptions!$I159*CE$12</f>
        <v>6372.9481440121481</v>
      </c>
      <c r="CF47" s="65">
        <f>+Assumptions!$I159*CF$12</f>
        <v>6383.5697242521692</v>
      </c>
      <c r="CG47" s="65">
        <f>+Assumptions!$I159*CG$12</f>
        <v>6394.2090071259227</v>
      </c>
      <c r="CH47" s="65">
        <f>+Assumptions!$I159*CH$12</f>
        <v>6404.8660221377986</v>
      </c>
      <c r="CI47" s="65">
        <f>+Assumptions!$I159*CI$12</f>
        <v>6415.5407988413635</v>
      </c>
      <c r="CJ47" s="65">
        <f>+Assumptions!$I159*CJ$12</f>
        <v>6426.2333668394322</v>
      </c>
      <c r="CK47" s="65">
        <f>+Assumptions!$I159*CK$12</f>
        <v>6436.9437557841648</v>
      </c>
      <c r="CL47" s="65">
        <f>+Assumptions!$I159*CL$12</f>
        <v>6447.6719953771399</v>
      </c>
      <c r="CM47" s="65">
        <f>+Assumptions!$I159*CM$12</f>
        <v>6458.4181153694353</v>
      </c>
      <c r="CN47" s="65">
        <f>+Assumptions!$I159*CN$12</f>
        <v>6469.1821455617192</v>
      </c>
      <c r="CO47" s="65">
        <f>+Assumptions!$I159*CO$12</f>
        <v>6479.9641158043205</v>
      </c>
      <c r="CP47" s="65">
        <f>+Assumptions!$I159*CP$12</f>
        <v>6490.7640559973297</v>
      </c>
      <c r="CQ47" s="65">
        <f>+Assumptions!$I159*CQ$12</f>
        <v>6501.5819960906592</v>
      </c>
      <c r="CR47" s="65">
        <f>+Assumptions!$I159*CR$12</f>
        <v>6512.4179660841428</v>
      </c>
      <c r="CS47" s="65">
        <f>+Assumptions!$I159*CS$12</f>
        <v>6523.2719960276163</v>
      </c>
      <c r="CT47" s="65">
        <f>+Assumptions!$I159*CT$12</f>
        <v>6534.144116020997</v>
      </c>
      <c r="CU47" s="65">
        <f>+Assumptions!$I159*CU$12</f>
        <v>6545.0343562143662</v>
      </c>
      <c r="CV47" s="65">
        <f>+Assumptions!$I159*CV$12</f>
        <v>6555.9427468080576</v>
      </c>
      <c r="CW47" s="65">
        <f>+Assumptions!$I159*CW$12</f>
        <v>6566.8693180527362</v>
      </c>
      <c r="CX47" s="65">
        <f>+Assumptions!$I159*CX$12</f>
        <v>6577.8141002494922</v>
      </c>
      <c r="CY47" s="65">
        <f>+Assumptions!$I159*CY$12</f>
        <v>6588.7771237499101</v>
      </c>
      <c r="CZ47" s="65">
        <f>+Assumptions!$I159*CZ$12</f>
        <v>6599.7584189561603</v>
      </c>
      <c r="DA47" s="65">
        <f>+Assumptions!$I159*DA$12</f>
        <v>6610.758016321086</v>
      </c>
      <c r="DB47" s="65">
        <f>+Assumptions!$I159*DB$12</f>
        <v>6621.7759463482889</v>
      </c>
      <c r="DC47" s="65">
        <f>+Assumptions!$I159*DC$12</f>
        <v>6632.8122395922037</v>
      </c>
      <c r="DD47" s="65">
        <f>+Assumptions!$I159*DD$12</f>
        <v>6643.8669266581901</v>
      </c>
      <c r="DE47" s="65">
        <f>+Assumptions!$I159*DE$12</f>
        <v>6654.9400382026206</v>
      </c>
      <c r="DF47" s="65">
        <f>+Assumptions!$I159*DF$12</f>
        <v>6666.0316049329595</v>
      </c>
      <c r="DG47" s="65">
        <f>+Assumptions!$I159*DG$12</f>
        <v>6677.1416576078491</v>
      </c>
      <c r="DH47" s="65">
        <f>+Assumptions!$I159*DH$12</f>
        <v>6688.2702270371947</v>
      </c>
      <c r="DI47" s="65">
        <f>+Assumptions!$I159*DI$12</f>
        <v>6699.417344082256</v>
      </c>
      <c r="DJ47" s="65">
        <f>+Assumptions!$I159*DJ$12</f>
        <v>6710.5830396557285</v>
      </c>
      <c r="DK47" s="65">
        <f>+Assumptions!$I159*DK$12</f>
        <v>6721.7673447218203</v>
      </c>
      <c r="DL47" s="65">
        <f>+Assumptions!$I159*DL$12</f>
        <v>6732.9702902963581</v>
      </c>
      <c r="DM47" s="65">
        <f>+Assumptions!$I159*DM$12</f>
        <v>6744.1919074468533</v>
      </c>
      <c r="DN47" s="65">
        <f>+Assumptions!$I159*DN$12</f>
        <v>6755.4322272925983</v>
      </c>
      <c r="DO47" s="65">
        <f>+Assumptions!$I159*DO$12</f>
        <v>6766.6912810047534</v>
      </c>
      <c r="DP47" s="65">
        <f>+Assumptions!$I159*DP$12</f>
        <v>6777.9690998064279</v>
      </c>
      <c r="DQ47" s="65">
        <f>+Assumptions!$I159*DQ$12</f>
        <v>6789.265714972772</v>
      </c>
      <c r="DR47" s="65">
        <f>+Assumptions!$I159*DR$12</f>
        <v>6800.5811578310613</v>
      </c>
      <c r="DS47" s="65">
        <f>+Assumptions!$I159*DS$12</f>
        <v>6811.9154597607794</v>
      </c>
      <c r="DT47" s="65">
        <f>+Assumptions!$I159*DT$12</f>
        <v>6823.2686521937158</v>
      </c>
      <c r="DU47" s="65">
        <f>+Assumptions!$I159*DU$12</f>
        <v>6834.6407666140376</v>
      </c>
      <c r="DV47" s="65">
        <f>+Assumptions!$I159*DV$12</f>
        <v>6846.0318345583946</v>
      </c>
      <c r="DW47" s="65">
        <f>+Assumptions!$I159*DW$12</f>
        <v>6857.4418876159943</v>
      </c>
      <c r="DX47" s="65">
        <f>+Assumptions!$I159*DX$12</f>
        <v>6868.8709574286868</v>
      </c>
      <c r="DY47" s="65">
        <f>+Assumptions!$I159*DY$12</f>
        <v>6880.319075691069</v>
      </c>
      <c r="DZ47" s="65">
        <f>+Assumptions!$I159*DZ$12</f>
        <v>6891.7862741505542</v>
      </c>
      <c r="EA47" s="65">
        <f>+Assumptions!$I159*EA$12</f>
        <v>6903.2725846074709</v>
      </c>
      <c r="EB47" s="65">
        <f>+Assumptions!$I159*EB$12</f>
        <v>6914.7780389151521</v>
      </c>
      <c r="EC47" s="65">
        <f>+Assumptions!$I159*EC$12</f>
        <v>6926.3026689800099</v>
      </c>
      <c r="ED47" s="65">
        <f>+Assumptions!$I159*ED$12</f>
        <v>6937.8465067616462</v>
      </c>
      <c r="EE47" s="65">
        <f>+Assumptions!$I159*EE$12</f>
        <v>6949.4095842729157</v>
      </c>
      <c r="EF47" s="65">
        <f>+Assumptions!$I159*EF$12</f>
        <v>6960.9919335800378</v>
      </c>
      <c r="EG47" s="65">
        <f>+Assumptions!$I159*EG$12</f>
        <v>6972.5935868026709</v>
      </c>
      <c r="EH47" s="65">
        <f>+Assumptions!$I159*EH$12</f>
        <v>6984.2145761140091</v>
      </c>
      <c r="EI47" s="65">
        <f>+Assumptions!$I159*EI$12</f>
        <v>6995.8549337408667</v>
      </c>
    </row>
    <row r="48" spans="2:139" x14ac:dyDescent="0.45">
      <c r="B48" s="58" t="str">
        <f>Assumptions!B160</f>
        <v>Common Area Electric</v>
      </c>
      <c r="H48" s="65">
        <f>+Assumptions!$I160*H$12</f>
        <v>282.47000000000014</v>
      </c>
      <c r="I48" s="65">
        <f>+Assumptions!$I160*I$12</f>
        <v>282.94078333333346</v>
      </c>
      <c r="J48" s="65">
        <f>+Assumptions!$I160*J$12</f>
        <v>283.41235130555572</v>
      </c>
      <c r="K48" s="65">
        <f>+Assumptions!$I160*K$12</f>
        <v>283.88470522439832</v>
      </c>
      <c r="L48" s="65">
        <f>+Assumptions!$I160*L$12</f>
        <v>284.35784639977231</v>
      </c>
      <c r="M48" s="65">
        <f>+Assumptions!$I160*M$12</f>
        <v>284.83177614377195</v>
      </c>
      <c r="N48" s="65">
        <f>+Assumptions!$I160*N$12</f>
        <v>285.30649577067828</v>
      </c>
      <c r="O48" s="65">
        <f>+Assumptions!$I160*O$12</f>
        <v>285.78200659696279</v>
      </c>
      <c r="P48" s="65">
        <f>+Assumptions!$I160*P$12</f>
        <v>286.25830994129103</v>
      </c>
      <c r="Q48" s="65">
        <f>+Assumptions!$I160*Q$12</f>
        <v>286.73540712452655</v>
      </c>
      <c r="R48" s="65">
        <f>+Assumptions!$I160*R$12</f>
        <v>287.21329946973412</v>
      </c>
      <c r="S48" s="65">
        <f>+Assumptions!$I160*S$12</f>
        <v>287.69198830218369</v>
      </c>
      <c r="T48" s="65">
        <f>+Assumptions!$I160*T$12</f>
        <v>288.17147494935404</v>
      </c>
      <c r="U48" s="65">
        <f>+Assumptions!$I160*U$12</f>
        <v>288.65176074093631</v>
      </c>
      <c r="V48" s="65">
        <f>+Assumptions!$I160*V$12</f>
        <v>289.13284700883787</v>
      </c>
      <c r="W48" s="65">
        <f>+Assumptions!$I160*W$12</f>
        <v>289.61473508718598</v>
      </c>
      <c r="X48" s="65">
        <f>+Assumptions!$I160*X$12</f>
        <v>290.09742631233127</v>
      </c>
      <c r="Y48" s="65">
        <f>+Assumptions!$I160*Y$12</f>
        <v>290.58092202285184</v>
      </c>
      <c r="Z48" s="65">
        <f>+Assumptions!$I160*Z$12</f>
        <v>291.06522355955667</v>
      </c>
      <c r="AA48" s="65">
        <f>+Assumptions!$I160*AA$12</f>
        <v>291.55033226548926</v>
      </c>
      <c r="AB48" s="65">
        <f>+Assumptions!$I160*AB$12</f>
        <v>292.03624948593176</v>
      </c>
      <c r="AC48" s="65">
        <f>+Assumptions!$I160*AC$12</f>
        <v>292.5229765684083</v>
      </c>
      <c r="AD48" s="65">
        <f>+Assumptions!$I160*AD$12</f>
        <v>293.01051486268904</v>
      </c>
      <c r="AE48" s="65">
        <f>+Assumptions!$I160*AE$12</f>
        <v>293.49886572079356</v>
      </c>
      <c r="AF48" s="65">
        <f>+Assumptions!$I160*AF$12</f>
        <v>293.98803049699484</v>
      </c>
      <c r="AG48" s="65">
        <f>+Assumptions!$I160*AG$12</f>
        <v>294.4780105478232</v>
      </c>
      <c r="AH48" s="65">
        <f>+Assumptions!$I160*AH$12</f>
        <v>294.96880723206959</v>
      </c>
      <c r="AI48" s="65">
        <f>+Assumptions!$I160*AI$12</f>
        <v>295.46042191078976</v>
      </c>
      <c r="AJ48" s="65">
        <f>+Assumptions!$I160*AJ$12</f>
        <v>295.95285594730774</v>
      </c>
      <c r="AK48" s="65">
        <f>+Assumptions!$I160*AK$12</f>
        <v>296.44611070721993</v>
      </c>
      <c r="AL48" s="65">
        <f>+Assumptions!$I160*AL$12</f>
        <v>296.94018755839869</v>
      </c>
      <c r="AM48" s="65">
        <f>+Assumptions!$I160*AM$12</f>
        <v>297.43508787099603</v>
      </c>
      <c r="AN48" s="65">
        <f>+Assumptions!$I160*AN$12</f>
        <v>297.93081301744775</v>
      </c>
      <c r="AO48" s="65">
        <f>+Assumptions!$I160*AO$12</f>
        <v>298.4273643724768</v>
      </c>
      <c r="AP48" s="65">
        <f>+Assumptions!$I160*AP$12</f>
        <v>298.92474331309762</v>
      </c>
      <c r="AQ48" s="65">
        <f>+Assumptions!$I160*AQ$12</f>
        <v>299.42295121861946</v>
      </c>
      <c r="AR48" s="65">
        <f>+Assumptions!$I160*AR$12</f>
        <v>299.92198947065054</v>
      </c>
      <c r="AS48" s="65">
        <f>+Assumptions!$I160*AS$12</f>
        <v>300.4218594531016</v>
      </c>
      <c r="AT48" s="65">
        <f>+Assumptions!$I160*AT$12</f>
        <v>300.92256255219019</v>
      </c>
      <c r="AU48" s="65">
        <f>+Assumptions!$I160*AU$12</f>
        <v>301.4241001564439</v>
      </c>
      <c r="AV48" s="65">
        <f>+Assumptions!$I160*AV$12</f>
        <v>301.92647365670456</v>
      </c>
      <c r="AW48" s="65">
        <f>+Assumptions!$I160*AW$12</f>
        <v>302.4296844461324</v>
      </c>
      <c r="AX48" s="65">
        <f>+Assumptions!$I160*AX$12</f>
        <v>302.93373392020936</v>
      </c>
      <c r="AY48" s="65">
        <f>+Assumptions!$I160*AY$12</f>
        <v>303.43862347674303</v>
      </c>
      <c r="AZ48" s="65">
        <f>+Assumptions!$I160*AZ$12</f>
        <v>303.944354515871</v>
      </c>
      <c r="BA48" s="65">
        <f>+Assumptions!$I160*BA$12</f>
        <v>304.4509284400641</v>
      </c>
      <c r="BB48" s="65">
        <f>+Assumptions!$I160*BB$12</f>
        <v>304.95834665413093</v>
      </c>
      <c r="BC48" s="65">
        <f>+Assumptions!$I160*BC$12</f>
        <v>305.46661056522117</v>
      </c>
      <c r="BD48" s="65">
        <f>+Assumptions!$I160*BD$12</f>
        <v>305.97572158282986</v>
      </c>
      <c r="BE48" s="65">
        <f>+Assumptions!$I160*BE$12</f>
        <v>306.48568111880127</v>
      </c>
      <c r="BF48" s="65">
        <f>+Assumptions!$I160*BF$12</f>
        <v>306.99649058733269</v>
      </c>
      <c r="BG48" s="65">
        <f>+Assumptions!$I160*BG$12</f>
        <v>307.50815140497821</v>
      </c>
      <c r="BH48" s="65">
        <f>+Assumptions!$I160*BH$12</f>
        <v>308.02066499065324</v>
      </c>
      <c r="BI48" s="65">
        <f>+Assumptions!$I160*BI$12</f>
        <v>308.53403276563768</v>
      </c>
      <c r="BJ48" s="65">
        <f>+Assumptions!$I160*BJ$12</f>
        <v>309.04825615358038</v>
      </c>
      <c r="BK48" s="65">
        <f>+Assumptions!$I160*BK$12</f>
        <v>309.56333658050306</v>
      </c>
      <c r="BL48" s="65">
        <f>+Assumptions!$I160*BL$12</f>
        <v>310.07927547480392</v>
      </c>
      <c r="BM48" s="65">
        <f>+Assumptions!$I160*BM$12</f>
        <v>310.59607426726194</v>
      </c>
      <c r="BN48" s="65">
        <f>+Assumptions!$I160*BN$12</f>
        <v>311.11373439104074</v>
      </c>
      <c r="BO48" s="65">
        <f>+Assumptions!$I160*BO$12</f>
        <v>311.63225728169243</v>
      </c>
      <c r="BP48" s="65">
        <f>+Assumptions!$I160*BP$12</f>
        <v>312.15164437716197</v>
      </c>
      <c r="BQ48" s="65">
        <f>+Assumptions!$I160*BQ$12</f>
        <v>312.67189711779059</v>
      </c>
      <c r="BR48" s="65">
        <f>+Assumptions!$I160*BR$12</f>
        <v>313.19301694632031</v>
      </c>
      <c r="BS48" s="65">
        <f>+Assumptions!$I160*BS$12</f>
        <v>313.71500530789751</v>
      </c>
      <c r="BT48" s="65">
        <f>+Assumptions!$I160*BT$12</f>
        <v>314.23786365007737</v>
      </c>
      <c r="BU48" s="65">
        <f>+Assumptions!$I160*BU$12</f>
        <v>314.7615934228275</v>
      </c>
      <c r="BV48" s="65">
        <f>+Assumptions!$I160*BV$12</f>
        <v>315.28619607853227</v>
      </c>
      <c r="BW48" s="65">
        <f>+Assumptions!$I160*BW$12</f>
        <v>315.81167307199649</v>
      </c>
      <c r="BX48" s="65">
        <f>+Assumptions!$I160*BX$12</f>
        <v>316.33802586044982</v>
      </c>
      <c r="BY48" s="65">
        <f>+Assumptions!$I160*BY$12</f>
        <v>316.86525590355058</v>
      </c>
      <c r="BZ48" s="65">
        <f>+Assumptions!$I160*BZ$12</f>
        <v>317.39336466338983</v>
      </c>
      <c r="CA48" s="65">
        <f>+Assumptions!$I160*CA$12</f>
        <v>317.92235360449558</v>
      </c>
      <c r="CB48" s="65">
        <f>+Assumptions!$I160*CB$12</f>
        <v>318.45222419383634</v>
      </c>
      <c r="CC48" s="65">
        <f>+Assumptions!$I160*CC$12</f>
        <v>318.98297790082614</v>
      </c>
      <c r="CD48" s="65">
        <f>+Assumptions!$I160*CD$12</f>
        <v>319.51461619732754</v>
      </c>
      <c r="CE48" s="65">
        <f>+Assumptions!$I160*CE$12</f>
        <v>320.04714055765641</v>
      </c>
      <c r="CF48" s="65">
        <f>+Assumptions!$I160*CF$12</f>
        <v>320.58055245858588</v>
      </c>
      <c r="CG48" s="65">
        <f>+Assumptions!$I160*CG$12</f>
        <v>321.11485337935022</v>
      </c>
      <c r="CH48" s="65">
        <f>+Assumptions!$I160*CH$12</f>
        <v>321.65004480164913</v>
      </c>
      <c r="CI48" s="65">
        <f>+Assumptions!$I160*CI$12</f>
        <v>322.18612820965194</v>
      </c>
      <c r="CJ48" s="65">
        <f>+Assumptions!$I160*CJ$12</f>
        <v>322.72310509000135</v>
      </c>
      <c r="CK48" s="65">
        <f>+Assumptions!$I160*CK$12</f>
        <v>323.26097693181805</v>
      </c>
      <c r="CL48" s="65">
        <f>+Assumptions!$I160*CL$12</f>
        <v>323.79974522670449</v>
      </c>
      <c r="CM48" s="65">
        <f>+Assumptions!$I160*CM$12</f>
        <v>324.33941146874901</v>
      </c>
      <c r="CN48" s="65">
        <f>+Assumptions!$I160*CN$12</f>
        <v>324.87997715453031</v>
      </c>
      <c r="CO48" s="65">
        <f>+Assumptions!$I160*CO$12</f>
        <v>325.42144378312111</v>
      </c>
      <c r="CP48" s="65">
        <f>+Assumptions!$I160*CP$12</f>
        <v>325.96381285609306</v>
      </c>
      <c r="CQ48" s="65">
        <f>+Assumptions!$I160*CQ$12</f>
        <v>326.50708587751996</v>
      </c>
      <c r="CR48" s="65">
        <f>+Assumptions!$I160*CR$12</f>
        <v>327.05126435398245</v>
      </c>
      <c r="CS48" s="65">
        <f>+Assumptions!$I160*CS$12</f>
        <v>327.5963497945724</v>
      </c>
      <c r="CT48" s="65">
        <f>+Assumptions!$I160*CT$12</f>
        <v>328.14234371089674</v>
      </c>
      <c r="CU48" s="65">
        <f>+Assumptions!$I160*CU$12</f>
        <v>328.68924761708161</v>
      </c>
      <c r="CV48" s="65">
        <f>+Assumptions!$I160*CV$12</f>
        <v>329.23706302977678</v>
      </c>
      <c r="CW48" s="65">
        <f>+Assumptions!$I160*CW$12</f>
        <v>329.78579146815969</v>
      </c>
      <c r="CX48" s="65">
        <f>+Assumptions!$I160*CX$12</f>
        <v>330.33543445394002</v>
      </c>
      <c r="CY48" s="65">
        <f>+Assumptions!$I160*CY$12</f>
        <v>330.88599351136332</v>
      </c>
      <c r="CZ48" s="65">
        <f>+Assumptions!$I160*CZ$12</f>
        <v>331.43747016721562</v>
      </c>
      <c r="DA48" s="65">
        <f>+Assumptions!$I160*DA$12</f>
        <v>331.98986595082766</v>
      </c>
      <c r="DB48" s="65">
        <f>+Assumptions!$I160*DB$12</f>
        <v>332.54318239407905</v>
      </c>
      <c r="DC48" s="65">
        <f>+Assumptions!$I160*DC$12</f>
        <v>333.09742103140258</v>
      </c>
      <c r="DD48" s="65">
        <f>+Assumptions!$I160*DD$12</f>
        <v>333.65258339978823</v>
      </c>
      <c r="DE48" s="65">
        <f>+Assumptions!$I160*DE$12</f>
        <v>334.20867103878783</v>
      </c>
      <c r="DF48" s="65">
        <f>+Assumptions!$I160*DF$12</f>
        <v>334.76568549051922</v>
      </c>
      <c r="DG48" s="65">
        <f>+Assumptions!$I160*DG$12</f>
        <v>335.32362829967013</v>
      </c>
      <c r="DH48" s="65">
        <f>+Assumptions!$I160*DH$12</f>
        <v>335.88250101350292</v>
      </c>
      <c r="DI48" s="65">
        <f>+Assumptions!$I160*DI$12</f>
        <v>336.44230518185873</v>
      </c>
      <c r="DJ48" s="65">
        <f>+Assumptions!$I160*DJ$12</f>
        <v>337.00304235716192</v>
      </c>
      <c r="DK48" s="65">
        <f>+Assumptions!$I160*DK$12</f>
        <v>337.56471409442383</v>
      </c>
      <c r="DL48" s="65">
        <f>+Assumptions!$I160*DL$12</f>
        <v>338.12732195124795</v>
      </c>
      <c r="DM48" s="65">
        <f>+Assumptions!$I160*DM$12</f>
        <v>338.69086748783337</v>
      </c>
      <c r="DN48" s="65">
        <f>+Assumptions!$I160*DN$12</f>
        <v>339.2553522669798</v>
      </c>
      <c r="DO48" s="65">
        <f>+Assumptions!$I160*DO$12</f>
        <v>339.82077785409149</v>
      </c>
      <c r="DP48" s="65">
        <f>+Assumptions!$I160*DP$12</f>
        <v>340.38714581718165</v>
      </c>
      <c r="DQ48" s="65">
        <f>+Assumptions!$I160*DQ$12</f>
        <v>340.95445772687691</v>
      </c>
      <c r="DR48" s="65">
        <f>+Assumptions!$I160*DR$12</f>
        <v>341.52271515642178</v>
      </c>
      <c r="DS48" s="65">
        <f>+Assumptions!$I160*DS$12</f>
        <v>342.0919196816825</v>
      </c>
      <c r="DT48" s="65">
        <f>+Assumptions!$I160*DT$12</f>
        <v>342.66207288115203</v>
      </c>
      <c r="DU48" s="65">
        <f>+Assumptions!$I160*DU$12</f>
        <v>343.23317633595389</v>
      </c>
      <c r="DV48" s="65">
        <f>+Assumptions!$I160*DV$12</f>
        <v>343.80523162984719</v>
      </c>
      <c r="DW48" s="65">
        <f>+Assumptions!$I160*DW$12</f>
        <v>344.37824034923034</v>
      </c>
      <c r="DX48" s="65">
        <f>+Assumptions!$I160*DX$12</f>
        <v>344.95220408314572</v>
      </c>
      <c r="DY48" s="65">
        <f>+Assumptions!$I160*DY$12</f>
        <v>345.52712442328431</v>
      </c>
      <c r="DZ48" s="65">
        <f>+Assumptions!$I160*DZ$12</f>
        <v>346.10300296398981</v>
      </c>
      <c r="EA48" s="65">
        <f>+Assumptions!$I160*EA$12</f>
        <v>346.67984130226307</v>
      </c>
      <c r="EB48" s="65">
        <f>+Assumptions!$I160*EB$12</f>
        <v>347.25764103776697</v>
      </c>
      <c r="EC48" s="65">
        <f>+Assumptions!$I160*EC$12</f>
        <v>347.8364037728299</v>
      </c>
      <c r="ED48" s="65">
        <f>+Assumptions!$I160*ED$12</f>
        <v>348.41613111245135</v>
      </c>
      <c r="EE48" s="65">
        <f>+Assumptions!$I160*EE$12</f>
        <v>348.99682466430551</v>
      </c>
      <c r="EF48" s="65">
        <f>+Assumptions!$I160*EF$12</f>
        <v>349.57848603874601</v>
      </c>
      <c r="EG48" s="65">
        <f>+Assumptions!$I160*EG$12</f>
        <v>350.16111684881059</v>
      </c>
      <c r="EH48" s="65">
        <f>+Assumptions!$I160*EH$12</f>
        <v>350.7447187102253</v>
      </c>
      <c r="EI48" s="65">
        <f>+Assumptions!$I160*EI$12</f>
        <v>351.32929324140906</v>
      </c>
    </row>
    <row r="49" spans="2:139" x14ac:dyDescent="0.45">
      <c r="B49" s="58" t="str">
        <f>Assumptions!B161</f>
        <v>Landscaping / Snow Removal</v>
      </c>
      <c r="H49" s="65">
        <f>+Assumptions!$I161*H$12</f>
        <v>500.83333333333337</v>
      </c>
      <c r="I49" s="65">
        <f>+Assumptions!$I161*I$12</f>
        <v>501.66805555555561</v>
      </c>
      <c r="J49" s="65">
        <f>+Assumptions!$I161*J$12</f>
        <v>502.50416898148154</v>
      </c>
      <c r="K49" s="65">
        <f>+Assumptions!$I161*K$12</f>
        <v>503.34167592978406</v>
      </c>
      <c r="L49" s="65">
        <f>+Assumptions!$I161*L$12</f>
        <v>504.18057872300039</v>
      </c>
      <c r="M49" s="65">
        <f>+Assumptions!$I161*M$12</f>
        <v>505.02087968753875</v>
      </c>
      <c r="N49" s="65">
        <f>+Assumptions!$I161*N$12</f>
        <v>505.86258115368463</v>
      </c>
      <c r="O49" s="65">
        <f>+Assumptions!$I161*O$12</f>
        <v>506.70568545560758</v>
      </c>
      <c r="P49" s="65">
        <f>+Assumptions!$I161*P$12</f>
        <v>507.55019493136689</v>
      </c>
      <c r="Q49" s="65">
        <f>+Assumptions!$I161*Q$12</f>
        <v>508.3961119229192</v>
      </c>
      <c r="R49" s="65">
        <f>+Assumptions!$I161*R$12</f>
        <v>509.24343877612409</v>
      </c>
      <c r="S49" s="65">
        <f>+Assumptions!$I161*S$12</f>
        <v>510.09217784075099</v>
      </c>
      <c r="T49" s="65">
        <f>+Assumptions!$I161*T$12</f>
        <v>510.94233147048561</v>
      </c>
      <c r="U49" s="65">
        <f>+Assumptions!$I161*U$12</f>
        <v>511.79390202293649</v>
      </c>
      <c r="V49" s="65">
        <f>+Assumptions!$I161*V$12</f>
        <v>512.64689185964141</v>
      </c>
      <c r="W49" s="65">
        <f>+Assumptions!$I161*W$12</f>
        <v>513.50130334607422</v>
      </c>
      <c r="X49" s="65">
        <f>+Assumptions!$I161*X$12</f>
        <v>514.35713885165103</v>
      </c>
      <c r="Y49" s="65">
        <f>+Assumptions!$I161*Y$12</f>
        <v>515.21440074973714</v>
      </c>
      <c r="Z49" s="65">
        <f>+Assumptions!$I161*Z$12</f>
        <v>516.07309141765347</v>
      </c>
      <c r="AA49" s="65">
        <f>+Assumptions!$I161*AA$12</f>
        <v>516.93321323668283</v>
      </c>
      <c r="AB49" s="65">
        <f>+Assumptions!$I161*AB$12</f>
        <v>517.79476859207739</v>
      </c>
      <c r="AC49" s="65">
        <f>+Assumptions!$I161*AC$12</f>
        <v>518.65775987306415</v>
      </c>
      <c r="AD49" s="65">
        <f>+Assumptions!$I161*AD$12</f>
        <v>519.52218947285269</v>
      </c>
      <c r="AE49" s="65">
        <f>+Assumptions!$I161*AE$12</f>
        <v>520.38805978864093</v>
      </c>
      <c r="AF49" s="65">
        <f>+Assumptions!$I161*AF$12</f>
        <v>521.25537322162188</v>
      </c>
      <c r="AG49" s="65">
        <f>+Assumptions!$I161*AG$12</f>
        <v>522.12413217699122</v>
      </c>
      <c r="AH49" s="65">
        <f>+Assumptions!$I161*AH$12</f>
        <v>522.99433906395302</v>
      </c>
      <c r="AI49" s="65">
        <f>+Assumptions!$I161*AI$12</f>
        <v>523.86599629572629</v>
      </c>
      <c r="AJ49" s="65">
        <f>+Assumptions!$I161*AJ$12</f>
        <v>524.73910628955252</v>
      </c>
      <c r="AK49" s="65">
        <f>+Assumptions!$I161*AK$12</f>
        <v>525.61367146670182</v>
      </c>
      <c r="AL49" s="65">
        <f>+Assumptions!$I161*AL$12</f>
        <v>526.48969425247969</v>
      </c>
      <c r="AM49" s="65">
        <f>+Assumptions!$I161*AM$12</f>
        <v>527.36717707623393</v>
      </c>
      <c r="AN49" s="65">
        <f>+Assumptions!$I161*AN$12</f>
        <v>528.24612237136103</v>
      </c>
      <c r="AO49" s="65">
        <f>+Assumptions!$I161*AO$12</f>
        <v>529.12653257531326</v>
      </c>
      <c r="AP49" s="65">
        <f>+Assumptions!$I161*AP$12</f>
        <v>530.00841012960552</v>
      </c>
      <c r="AQ49" s="65">
        <f>+Assumptions!$I161*AQ$12</f>
        <v>530.89175747982154</v>
      </c>
      <c r="AR49" s="65">
        <f>+Assumptions!$I161*AR$12</f>
        <v>531.77657707562128</v>
      </c>
      <c r="AS49" s="65">
        <f>+Assumptions!$I161*AS$12</f>
        <v>532.66287137074733</v>
      </c>
      <c r="AT49" s="65">
        <f>+Assumptions!$I161*AT$12</f>
        <v>533.55064282303204</v>
      </c>
      <c r="AU49" s="65">
        <f>+Assumptions!$I161*AU$12</f>
        <v>534.43989389440378</v>
      </c>
      <c r="AV49" s="65">
        <f>+Assumptions!$I161*AV$12</f>
        <v>535.33062705089435</v>
      </c>
      <c r="AW49" s="65">
        <f>+Assumptions!$I161*AW$12</f>
        <v>536.22284476264588</v>
      </c>
      <c r="AX49" s="65">
        <f>+Assumptions!$I161*AX$12</f>
        <v>537.1165495039171</v>
      </c>
      <c r="AY49" s="65">
        <f>+Assumptions!$I161*AY$12</f>
        <v>538.01174375309029</v>
      </c>
      <c r="AZ49" s="65">
        <f>+Assumptions!$I161*AZ$12</f>
        <v>538.90842999267886</v>
      </c>
      <c r="BA49" s="65">
        <f>+Assumptions!$I161*BA$12</f>
        <v>539.80661070933331</v>
      </c>
      <c r="BB49" s="65">
        <f>+Assumptions!$I161*BB$12</f>
        <v>540.70628839384892</v>
      </c>
      <c r="BC49" s="65">
        <f>+Assumptions!$I161*BC$12</f>
        <v>541.60746554117213</v>
      </c>
      <c r="BD49" s="65">
        <f>+Assumptions!$I161*BD$12</f>
        <v>542.51014465040737</v>
      </c>
      <c r="BE49" s="65">
        <f>+Assumptions!$I161*BE$12</f>
        <v>543.41432822482477</v>
      </c>
      <c r="BF49" s="65">
        <f>+Assumptions!$I161*BF$12</f>
        <v>544.32001877186622</v>
      </c>
      <c r="BG49" s="65">
        <f>+Assumptions!$I161*BG$12</f>
        <v>545.2272188031526</v>
      </c>
      <c r="BH49" s="65">
        <f>+Assumptions!$I161*BH$12</f>
        <v>546.13593083449132</v>
      </c>
      <c r="BI49" s="65">
        <f>+Assumptions!$I161*BI$12</f>
        <v>547.04615738588211</v>
      </c>
      <c r="BJ49" s="65">
        <f>+Assumptions!$I161*BJ$12</f>
        <v>547.95790098152531</v>
      </c>
      <c r="BK49" s="65">
        <f>+Assumptions!$I161*BK$12</f>
        <v>548.87116414982791</v>
      </c>
      <c r="BL49" s="65">
        <f>+Assumptions!$I161*BL$12</f>
        <v>549.78594942341101</v>
      </c>
      <c r="BM49" s="65">
        <f>+Assumptions!$I161*BM$12</f>
        <v>550.70225933911661</v>
      </c>
      <c r="BN49" s="65">
        <f>+Assumptions!$I161*BN$12</f>
        <v>551.62009643801525</v>
      </c>
      <c r="BO49" s="65">
        <f>+Assumptions!$I161*BO$12</f>
        <v>552.53946326541188</v>
      </c>
      <c r="BP49" s="65">
        <f>+Assumptions!$I161*BP$12</f>
        <v>553.46036237085434</v>
      </c>
      <c r="BQ49" s="65">
        <f>+Assumptions!$I161*BQ$12</f>
        <v>554.38279630813918</v>
      </c>
      <c r="BR49" s="65">
        <f>+Assumptions!$I161*BR$12</f>
        <v>555.30676763531949</v>
      </c>
      <c r="BS49" s="65">
        <f>+Assumptions!$I161*BS$12</f>
        <v>556.23227891471174</v>
      </c>
      <c r="BT49" s="65">
        <f>+Assumptions!$I161*BT$12</f>
        <v>557.15933271290294</v>
      </c>
      <c r="BU49" s="65">
        <f>+Assumptions!$I161*BU$12</f>
        <v>558.08793160075777</v>
      </c>
      <c r="BV49" s="65">
        <f>+Assumptions!$I161*BV$12</f>
        <v>559.01807815342579</v>
      </c>
      <c r="BW49" s="65">
        <f>+Assumptions!$I161*BW$12</f>
        <v>559.94977495034811</v>
      </c>
      <c r="BX49" s="65">
        <f>+Assumptions!$I161*BX$12</f>
        <v>560.88302457526538</v>
      </c>
      <c r="BY49" s="65">
        <f>+Assumptions!$I161*BY$12</f>
        <v>561.81782961622412</v>
      </c>
      <c r="BZ49" s="65">
        <f>+Assumptions!$I161*BZ$12</f>
        <v>562.75419266558458</v>
      </c>
      <c r="CA49" s="65">
        <f>+Assumptions!$I161*CA$12</f>
        <v>563.69211632002737</v>
      </c>
      <c r="CB49" s="65">
        <f>+Assumptions!$I161*CB$12</f>
        <v>564.63160318056066</v>
      </c>
      <c r="CC49" s="65">
        <f>+Assumptions!$I161*CC$12</f>
        <v>565.57265585252833</v>
      </c>
      <c r="CD49" s="65">
        <f>+Assumptions!$I161*CD$12</f>
        <v>566.51527694561594</v>
      </c>
      <c r="CE49" s="65">
        <f>+Assumptions!$I161*CE$12</f>
        <v>567.45946907385871</v>
      </c>
      <c r="CF49" s="65">
        <f>+Assumptions!$I161*CF$12</f>
        <v>568.40523485564859</v>
      </c>
      <c r="CG49" s="65">
        <f>+Assumptions!$I161*CG$12</f>
        <v>569.35257691374136</v>
      </c>
      <c r="CH49" s="65">
        <f>+Assumptions!$I161*CH$12</f>
        <v>570.3014978752642</v>
      </c>
      <c r="CI49" s="65">
        <f>+Assumptions!$I161*CI$12</f>
        <v>571.25200037172306</v>
      </c>
      <c r="CJ49" s="65">
        <f>+Assumptions!$I161*CJ$12</f>
        <v>572.20408703900932</v>
      </c>
      <c r="CK49" s="65">
        <f>+Assumptions!$I161*CK$12</f>
        <v>573.15776051740761</v>
      </c>
      <c r="CL49" s="65">
        <f>+Assumptions!$I161*CL$12</f>
        <v>574.11302345160345</v>
      </c>
      <c r="CM49" s="65">
        <f>+Assumptions!$I161*CM$12</f>
        <v>575.06987849068946</v>
      </c>
      <c r="CN49" s="65">
        <f>+Assumptions!$I161*CN$12</f>
        <v>576.02832828817407</v>
      </c>
      <c r="CO49" s="65">
        <f>+Assumptions!$I161*CO$12</f>
        <v>576.98837550198755</v>
      </c>
      <c r="CP49" s="65">
        <f>+Assumptions!$I161*CP$12</f>
        <v>577.95002279449102</v>
      </c>
      <c r="CQ49" s="65">
        <f>+Assumptions!$I161*CQ$12</f>
        <v>578.91327283248199</v>
      </c>
      <c r="CR49" s="65">
        <f>+Assumptions!$I161*CR$12</f>
        <v>579.87812828720268</v>
      </c>
      <c r="CS49" s="65">
        <f>+Assumptions!$I161*CS$12</f>
        <v>580.84459183434797</v>
      </c>
      <c r="CT49" s="65">
        <f>+Assumptions!$I161*CT$12</f>
        <v>581.81266615407196</v>
      </c>
      <c r="CU49" s="65">
        <f>+Assumptions!$I161*CU$12</f>
        <v>582.78235393099555</v>
      </c>
      <c r="CV49" s="65">
        <f>+Assumptions!$I161*CV$12</f>
        <v>583.753657854214</v>
      </c>
      <c r="CW49" s="65">
        <f>+Assumptions!$I161*CW$12</f>
        <v>584.72658061730419</v>
      </c>
      <c r="CX49" s="65">
        <f>+Assumptions!$I161*CX$12</f>
        <v>585.70112491833311</v>
      </c>
      <c r="CY49" s="65">
        <f>+Assumptions!$I161*CY$12</f>
        <v>586.6772934598639</v>
      </c>
      <c r="CZ49" s="65">
        <f>+Assumptions!$I161*CZ$12</f>
        <v>587.65508894896368</v>
      </c>
      <c r="DA49" s="65">
        <f>+Assumptions!$I161*DA$12</f>
        <v>588.63451409721188</v>
      </c>
      <c r="DB49" s="65">
        <f>+Assumptions!$I161*DB$12</f>
        <v>589.61557162070733</v>
      </c>
      <c r="DC49" s="65">
        <f>+Assumptions!$I161*DC$12</f>
        <v>590.5982642400752</v>
      </c>
      <c r="DD49" s="65">
        <f>+Assumptions!$I161*DD$12</f>
        <v>591.58259468047538</v>
      </c>
      <c r="DE49" s="65">
        <f>+Assumptions!$I161*DE$12</f>
        <v>592.56856567160946</v>
      </c>
      <c r="DF49" s="65">
        <f>+Assumptions!$I161*DF$12</f>
        <v>593.55617994772888</v>
      </c>
      <c r="DG49" s="65">
        <f>+Assumptions!$I161*DG$12</f>
        <v>594.54544024764186</v>
      </c>
      <c r="DH49" s="65">
        <f>+Assumptions!$I161*DH$12</f>
        <v>595.53634931472118</v>
      </c>
      <c r="DI49" s="65">
        <f>+Assumptions!$I161*DI$12</f>
        <v>596.52890989691241</v>
      </c>
      <c r="DJ49" s="65">
        <f>+Assumptions!$I161*DJ$12</f>
        <v>597.52312474674079</v>
      </c>
      <c r="DK49" s="65">
        <f>+Assumptions!$I161*DK$12</f>
        <v>598.51899662131859</v>
      </c>
      <c r="DL49" s="65">
        <f>+Assumptions!$I161*DL$12</f>
        <v>599.51652828235422</v>
      </c>
      <c r="DM49" s="65">
        <f>+Assumptions!$I161*DM$12</f>
        <v>600.51572249615822</v>
      </c>
      <c r="DN49" s="65">
        <f>+Assumptions!$I161*DN$12</f>
        <v>601.51658203365184</v>
      </c>
      <c r="DO49" s="65">
        <f>+Assumptions!$I161*DO$12</f>
        <v>602.51910967037475</v>
      </c>
      <c r="DP49" s="65">
        <f>+Assumptions!$I161*DP$12</f>
        <v>603.52330818649205</v>
      </c>
      <c r="DQ49" s="65">
        <f>+Assumptions!$I161*DQ$12</f>
        <v>604.52918036680285</v>
      </c>
      <c r="DR49" s="65">
        <f>+Assumptions!$I161*DR$12</f>
        <v>605.53672900074764</v>
      </c>
      <c r="DS49" s="65">
        <f>+Assumptions!$I161*DS$12</f>
        <v>606.54595688241557</v>
      </c>
      <c r="DT49" s="65">
        <f>+Assumptions!$I161*DT$12</f>
        <v>607.55686681055295</v>
      </c>
      <c r="DU49" s="65">
        <f>+Assumptions!$I161*DU$12</f>
        <v>608.56946158857045</v>
      </c>
      <c r="DV49" s="65">
        <f>+Assumptions!$I161*DV$12</f>
        <v>609.58374402455149</v>
      </c>
      <c r="DW49" s="65">
        <f>+Assumptions!$I161*DW$12</f>
        <v>610.5997169312592</v>
      </c>
      <c r="DX49" s="65">
        <f>+Assumptions!$I161*DX$12</f>
        <v>611.61738312614466</v>
      </c>
      <c r="DY49" s="65">
        <f>+Assumptions!$I161*DY$12</f>
        <v>612.63674543135494</v>
      </c>
      <c r="DZ49" s="65">
        <f>+Assumptions!$I161*DZ$12</f>
        <v>613.65780667374054</v>
      </c>
      <c r="EA49" s="65">
        <f>+Assumptions!$I161*EA$12</f>
        <v>614.68056968486337</v>
      </c>
      <c r="EB49" s="65">
        <f>+Assumptions!$I161*EB$12</f>
        <v>615.70503730100506</v>
      </c>
      <c r="EC49" s="65">
        <f>+Assumptions!$I161*EC$12</f>
        <v>616.73121236317331</v>
      </c>
      <c r="ED49" s="65">
        <f>+Assumptions!$I161*ED$12</f>
        <v>617.75909771711213</v>
      </c>
      <c r="EE49" s="65">
        <f>+Assumptions!$I161*EE$12</f>
        <v>618.78869621330739</v>
      </c>
      <c r="EF49" s="65">
        <f>+Assumptions!$I161*EF$12</f>
        <v>619.82001070699619</v>
      </c>
      <c r="EG49" s="65">
        <f>+Assumptions!$I161*EG$12</f>
        <v>620.85304405817453</v>
      </c>
      <c r="EH49" s="65">
        <f>+Assumptions!$I161*EH$12</f>
        <v>621.88779913160488</v>
      </c>
      <c r="EI49" s="65">
        <f>+Assumptions!$I161*EI$12</f>
        <v>622.9242787968243</v>
      </c>
    </row>
    <row r="50" spans="2:139" x14ac:dyDescent="0.45">
      <c r="B50" s="58" t="str">
        <f>Assumptions!B162</f>
        <v>Property Management</v>
      </c>
      <c r="H50" s="65">
        <f>+Assumptions!$G$162*H34</f>
        <v>4078.1036400000016</v>
      </c>
      <c r="I50" s="65">
        <f>+Assumptions!$G$162*I34</f>
        <v>3929.264546093752</v>
      </c>
      <c r="J50" s="65">
        <f>+Assumptions!$G$162*J34</f>
        <v>3779.8003374209388</v>
      </c>
      <c r="K50" s="65">
        <f>+Assumptions!$G$162*K34</f>
        <v>3629.7090739451655</v>
      </c>
      <c r="L50" s="65">
        <f>+Assumptions!$G$162*L34</f>
        <v>3715.3381991566421</v>
      </c>
      <c r="M50" s="65">
        <f>+Assumptions!$G$162*M34</f>
        <v>3848.3511143464898</v>
      </c>
      <c r="N50" s="65">
        <f>+Assumptions!$G$162*N34</f>
        <v>3934.7418837972159</v>
      </c>
      <c r="O50" s="65">
        <f>+Assumptions!$G$162*O34</f>
        <v>4021.4759812043953</v>
      </c>
      <c r="P50" s="65">
        <f>+Assumptions!$G$162*P34</f>
        <v>4108.5544622567913</v>
      </c>
      <c r="Q50" s="65">
        <f>+Assumptions!$G$162*Q34</f>
        <v>4195.978385551929</v>
      </c>
      <c r="R50" s="65">
        <f>+Assumptions!$G$162*R34</f>
        <v>4283.7488126036224</v>
      </c>
      <c r="S50" s="65">
        <f>+Assumptions!$G$162*S34</f>
        <v>4371.8668078495421</v>
      </c>
      <c r="T50" s="65">
        <f>+Assumptions!$G$162*T34</f>
        <v>4460.3334386587858</v>
      </c>
      <c r="U50" s="65">
        <f>+Assumptions!$G$162*U34</f>
        <v>4549.1497753394733</v>
      </c>
      <c r="V50" s="65">
        <f>+Assumptions!$G$162*V34</f>
        <v>4638.316891146359</v>
      </c>
      <c r="W50" s="65">
        <f>+Assumptions!$G$162*W34</f>
        <v>4727.8358622884698</v>
      </c>
      <c r="X50" s="65">
        <f>+Assumptions!$G$162*X34</f>
        <v>4817.7077679367512</v>
      </c>
      <c r="Y50" s="65">
        <f>+Assumptions!$G$162*Y34</f>
        <v>4907.9336902317373</v>
      </c>
      <c r="Z50" s="65">
        <f>+Assumptions!$G$162*Z34</f>
        <v>4998.5147142912429</v>
      </c>
      <c r="AA50" s="65">
        <f>+Assumptions!$G$162*AA34</f>
        <v>5089.4519282180781</v>
      </c>
      <c r="AB50" s="65">
        <f>+Assumptions!$G$162*AB34</f>
        <v>5180.7464231077656</v>
      </c>
      <c r="AC50" s="65">
        <f>+Assumptions!$G$162*AC34</f>
        <v>5272.3992930562908</v>
      </c>
      <c r="AD50" s="65">
        <f>+Assumptions!$G$162*AD34</f>
        <v>5364.4116351678749</v>
      </c>
      <c r="AE50" s="65">
        <f>+Assumptions!$G$162*AE34</f>
        <v>5456.784549562758</v>
      </c>
      <c r="AF50" s="65">
        <f>+Assumptions!$G$162*AF34</f>
        <v>5549.5191393849964</v>
      </c>
      <c r="AG50" s="65">
        <f>+Assumptions!$G$162*AG34</f>
        <v>5642.6165108102996</v>
      </c>
      <c r="AH50" s="65">
        <f>+Assumptions!$G$162*AH34</f>
        <v>5736.0777730538666</v>
      </c>
      <c r="AI50" s="65">
        <f>+Assumptions!$G$162*AI34</f>
        <v>5997.7623876742937</v>
      </c>
      <c r="AJ50" s="65">
        <f>+Assumptions!$G$162*AJ34</f>
        <v>6260.4975217212741</v>
      </c>
      <c r="AK50" s="65">
        <f>+Assumptions!$G$162*AK34</f>
        <v>6524.2863948070508</v>
      </c>
      <c r="AL50" s="65">
        <f>+Assumptions!$G$162*AL34</f>
        <v>6537.6828933176275</v>
      </c>
      <c r="AM50" s="65">
        <f>+Assumptions!$G$162*AM34</f>
        <v>6551.1069749254166</v>
      </c>
      <c r="AN50" s="65">
        <f>+Assumptions!$G$162*AN34</f>
        <v>6564.5586965514103</v>
      </c>
      <c r="AO50" s="65">
        <f>+Assumptions!$G$162*AO34</f>
        <v>6578.0381152342816</v>
      </c>
      <c r="AP50" s="65">
        <f>+Assumptions!$G$162*AP34</f>
        <v>6591.5452881306283</v>
      </c>
      <c r="AQ50" s="65">
        <f>+Assumptions!$G$162*AQ34</f>
        <v>6605.0802725152171</v>
      </c>
      <c r="AR50" s="65">
        <f>+Assumptions!$G$162*AR34</f>
        <v>6618.6431257812173</v>
      </c>
      <c r="AS50" s="65">
        <f>+Assumptions!$G$162*AS34</f>
        <v>6632.2339054404647</v>
      </c>
      <c r="AT50" s="65">
        <f>+Assumptions!$G$162*AT34</f>
        <v>6645.8526691236912</v>
      </c>
      <c r="AU50" s="65">
        <f>+Assumptions!$G$162*AU34</f>
        <v>6659.4994745807808</v>
      </c>
      <c r="AV50" s="65">
        <f>+Assumptions!$G$162*AV34</f>
        <v>6673.1743796810088</v>
      </c>
      <c r="AW50" s="65">
        <f>+Assumptions!$G$162*AW34</f>
        <v>6686.8774424132998</v>
      </c>
      <c r="AX50" s="65">
        <f>+Assumptions!$G$162*AX34</f>
        <v>6700.6087208864628</v>
      </c>
      <c r="AY50" s="65">
        <f>+Assumptions!$G$162*AY34</f>
        <v>6714.3682733294481</v>
      </c>
      <c r="AZ50" s="65">
        <f>+Assumptions!$G$162*AZ34</f>
        <v>6728.1561580915923</v>
      </c>
      <c r="BA50" s="65">
        <f>+Assumptions!$G$162*BA34</f>
        <v>6741.9724336428653</v>
      </c>
      <c r="BB50" s="65">
        <f>+Assumptions!$G$162*BB34</f>
        <v>6755.8171585741302</v>
      </c>
      <c r="BC50" s="65">
        <f>+Assumptions!$G$162*BC34</f>
        <v>6769.6903915973826</v>
      </c>
      <c r="BD50" s="65">
        <f>+Assumptions!$G$162*BD34</f>
        <v>6783.5921915460049</v>
      </c>
      <c r="BE50" s="65">
        <f>+Assumptions!$G$162*BE34</f>
        <v>6797.522617375017</v>
      </c>
      <c r="BF50" s="65">
        <f>+Assumptions!$G$162*BF34</f>
        <v>6811.4817281613341</v>
      </c>
      <c r="BG50" s="65">
        <f>+Assumptions!$G$162*BG34</f>
        <v>6825.4695831040126</v>
      </c>
      <c r="BH50" s="65">
        <f>+Assumptions!$G$162*BH34</f>
        <v>6839.4862415245052</v>
      </c>
      <c r="BI50" s="65">
        <f>+Assumptions!$G$162*BI34</f>
        <v>6853.531762866909</v>
      </c>
      <c r="BJ50" s="65">
        <f>+Assumptions!$G$162*BJ34</f>
        <v>6867.6062066982304</v>
      </c>
      <c r="BK50" s="65">
        <f>+Assumptions!$G$162*BK34</f>
        <v>6881.7096327086329</v>
      </c>
      <c r="BL50" s="65">
        <f>+Assumptions!$G$162*BL34</f>
        <v>6895.8421007116876</v>
      </c>
      <c r="BM50" s="65">
        <f>+Assumptions!$G$162*BM34</f>
        <v>6910.0036706446426</v>
      </c>
      <c r="BN50" s="65">
        <f>+Assumptions!$G$162*BN34</f>
        <v>6924.1944025686635</v>
      </c>
      <c r="BO50" s="65">
        <f>+Assumptions!$G$162*BO34</f>
        <v>6938.4143566690955</v>
      </c>
      <c r="BP50" s="65">
        <f>+Assumptions!$G$162*BP34</f>
        <v>6952.663593255731</v>
      </c>
      <c r="BQ50" s="65">
        <f>+Assumptions!$G$162*BQ34</f>
        <v>6966.9421727630515</v>
      </c>
      <c r="BR50" s="65">
        <f>+Assumptions!$G$162*BR34</f>
        <v>6981.2501557504884</v>
      </c>
      <c r="BS50" s="65">
        <f>+Assumptions!$G$162*BS34</f>
        <v>6995.5876029026967</v>
      </c>
      <c r="BT50" s="65">
        <f>+Assumptions!$G$162*BT34</f>
        <v>7009.9545750297975</v>
      </c>
      <c r="BU50" s="65">
        <f>+Assumptions!$G$162*BU34</f>
        <v>7024.3511330676411</v>
      </c>
      <c r="BV50" s="65">
        <f>+Assumptions!$G$162*BV34</f>
        <v>7038.7773380780736</v>
      </c>
      <c r="BW50" s="65">
        <f>+Assumptions!$G$162*BW34</f>
        <v>7053.2332512491976</v>
      </c>
      <c r="BX50" s="65">
        <f>+Assumptions!$G$162*BX34</f>
        <v>7067.7189338956205</v>
      </c>
      <c r="BY50" s="65">
        <f>+Assumptions!$G$162*BY34</f>
        <v>7082.2344474587326</v>
      </c>
      <c r="BZ50" s="65">
        <f>+Assumptions!$G$162*BZ34</f>
        <v>7096.779853506966</v>
      </c>
      <c r="CA50" s="65">
        <f>+Assumptions!$G$162*CA34</f>
        <v>7111.3552137360493</v>
      </c>
      <c r="CB50" s="65">
        <f>+Assumptions!$G$162*CB34</f>
        <v>7125.960589969276</v>
      </c>
      <c r="CC50" s="65">
        <f>+Assumptions!$G$162*CC34</f>
        <v>7140.5960441577745</v>
      </c>
      <c r="CD50" s="65">
        <f>+Assumptions!$G$162*CD34</f>
        <v>7155.2616383807663</v>
      </c>
      <c r="CE50" s="65">
        <f>+Assumptions!$G$162*CE34</f>
        <v>7169.9574348458282</v>
      </c>
      <c r="CF50" s="65">
        <f>+Assumptions!$G$162*CF34</f>
        <v>7184.6834958891677</v>
      </c>
      <c r="CG50" s="65">
        <f>+Assumptions!$G$162*CG34</f>
        <v>7199.4398839758833</v>
      </c>
      <c r="CH50" s="65">
        <f>+Assumptions!$G$162*CH34</f>
        <v>7214.2266617002279</v>
      </c>
      <c r="CI50" s="65">
        <f>+Assumptions!$G$162*CI34</f>
        <v>7229.0438917858874</v>
      </c>
      <c r="CJ50" s="65">
        <f>+Assumptions!$G$162*CJ34</f>
        <v>7243.8916370862371</v>
      </c>
      <c r="CK50" s="65">
        <f>+Assumptions!$G$162*CK34</f>
        <v>7258.7699605846174</v>
      </c>
      <c r="CL50" s="65">
        <f>+Assumptions!$G$162*CL34</f>
        <v>7273.6789253945972</v>
      </c>
      <c r="CM50" s="65">
        <f>+Assumptions!$G$162*CM34</f>
        <v>7288.6185947602526</v>
      </c>
      <c r="CN50" s="65">
        <f>+Assumptions!$G$162*CN34</f>
        <v>7303.5890320564258</v>
      </c>
      <c r="CO50" s="65">
        <f>+Assumptions!$G$162*CO34</f>
        <v>7318.5903007890065</v>
      </c>
      <c r="CP50" s="65">
        <f>+Assumptions!$G$162*CP34</f>
        <v>7333.6224645951961</v>
      </c>
      <c r="CQ50" s="65">
        <f>+Assumptions!$G$162*CQ34</f>
        <v>7348.6855872437818</v>
      </c>
      <c r="CR50" s="65">
        <f>+Assumptions!$G$162*CR34</f>
        <v>7363.7797326354066</v>
      </c>
      <c r="CS50" s="65">
        <f>+Assumptions!$G$162*CS34</f>
        <v>7378.9049648028504</v>
      </c>
      <c r="CT50" s="65">
        <f>+Assumptions!$G$162*CT34</f>
        <v>7394.0613479112963</v>
      </c>
      <c r="CU50" s="65">
        <f>+Assumptions!$G$162*CU34</f>
        <v>7409.2489462586027</v>
      </c>
      <c r="CV50" s="65">
        <f>+Assumptions!$G$162*CV34</f>
        <v>7424.4678242755881</v>
      </c>
      <c r="CW50" s="65">
        <f>+Assumptions!$G$162*CW34</f>
        <v>7439.7180465262954</v>
      </c>
      <c r="CX50" s="65">
        <f>+Assumptions!$G$162*CX34</f>
        <v>7454.9996777082742</v>
      </c>
      <c r="CY50" s="65">
        <f>+Assumptions!$G$162*CY34</f>
        <v>7470.3127826528589</v>
      </c>
      <c r="CZ50" s="65">
        <f>+Assumptions!$G$162*CZ34</f>
        <v>7485.657426325437</v>
      </c>
      <c r="DA50" s="65">
        <f>+Assumptions!$G$162*DA34</f>
        <v>7501.0336738257374</v>
      </c>
      <c r="DB50" s="65">
        <f>+Assumptions!$G$162*DB34</f>
        <v>7516.4415903880981</v>
      </c>
      <c r="DC50" s="65">
        <f>+Assumptions!$G$162*DC34</f>
        <v>7531.8812413817586</v>
      </c>
      <c r="DD50" s="65">
        <f>+Assumptions!$G$162*DD34</f>
        <v>7547.3526923111222</v>
      </c>
      <c r="DE50" s="65">
        <f>+Assumptions!$G$162*DE34</f>
        <v>7562.8560088160484</v>
      </c>
      <c r="DF50" s="65">
        <f>+Assumptions!$G$162*DF34</f>
        <v>7578.3912566721319</v>
      </c>
      <c r="DG50" s="65">
        <f>+Assumptions!$G$162*DG34</f>
        <v>7593.9585017909785</v>
      </c>
      <c r="DH50" s="65">
        <f>+Assumptions!$G$162*DH34</f>
        <v>7609.55781022049</v>
      </c>
      <c r="DI50" s="65">
        <f>+Assumptions!$G$162*DI34</f>
        <v>7625.1892481451487</v>
      </c>
      <c r="DJ50" s="65">
        <f>+Assumptions!$G$162*DJ34</f>
        <v>7640.8528818862942</v>
      </c>
      <c r="DK50" s="65">
        <f>+Assumptions!$G$162*DK34</f>
        <v>7656.5487779024133</v>
      </c>
      <c r="DL50" s="65">
        <f>+Assumptions!$G$162*DL34</f>
        <v>7672.2770027894185</v>
      </c>
      <c r="DM50" s="65">
        <f>+Assumptions!$G$162*DM34</f>
        <v>7688.0376232809394</v>
      </c>
      <c r="DN50" s="65">
        <f>+Assumptions!$G$162*DN34</f>
        <v>7703.8307062485974</v>
      </c>
      <c r="DO50" s="65">
        <f>+Assumptions!$G$162*DO34</f>
        <v>7719.6563187023057</v>
      </c>
      <c r="DP50" s="65">
        <f>+Assumptions!$G$162*DP34</f>
        <v>7735.5145277905403</v>
      </c>
      <c r="DQ50" s="65">
        <f>+Assumptions!$G$162*DQ34</f>
        <v>7751.4054008006378</v>
      </c>
      <c r="DR50" s="65">
        <f>+Assumptions!$G$162*DR34</f>
        <v>7767.3290051590775</v>
      </c>
      <c r="DS50" s="65">
        <f>+Assumptions!$G$162*DS34</f>
        <v>7783.2854084317769</v>
      </c>
      <c r="DT50" s="65">
        <f>+Assumptions!$G$162*DT34</f>
        <v>7799.2746783243701</v>
      </c>
      <c r="DU50" s="65">
        <f>+Assumptions!$G$162*DU34</f>
        <v>7815.2968826825036</v>
      </c>
      <c r="DV50" s="65">
        <f>+Assumptions!$G$162*DV34</f>
        <v>7831.3520894921239</v>
      </c>
      <c r="DW50" s="65">
        <f>+Assumptions!$G$162*DW34</f>
        <v>7847.4403668797722</v>
      </c>
      <c r="DX50" s="65">
        <f>+Assumptions!$G$162*DX34</f>
        <v>7863.5617831128675</v>
      </c>
      <c r="DY50" s="65">
        <f>+Assumptions!$G$162*DY34</f>
        <v>7879.7164066000078</v>
      </c>
      <c r="DZ50" s="65">
        <f>+Assumptions!$G$162*DZ34</f>
        <v>7895.9043058912584</v>
      </c>
      <c r="EA50" s="65">
        <f>+Assumptions!$G$162*EA34</f>
        <v>7912.1255496784361</v>
      </c>
      <c r="EB50" s="65">
        <f>+Assumptions!$G$162*EB34</f>
        <v>7928.3802067954221</v>
      </c>
      <c r="EC50" s="65">
        <f>+Assumptions!$G$162*EC34</f>
        <v>7944.6683462184374</v>
      </c>
      <c r="ED50" s="65">
        <f>+Assumptions!$G$162*ED34</f>
        <v>7960.9900370663481</v>
      </c>
      <c r="EE50" s="65">
        <f>+Assumptions!$G$162*EE34</f>
        <v>7977.3453486009585</v>
      </c>
      <c r="EF50" s="65">
        <f>+Assumptions!$G$162*EF34</f>
        <v>7993.7343502273061</v>
      </c>
      <c r="EG50" s="65">
        <f>+Assumptions!$G$162*EG34</f>
        <v>8010.1571114939616</v>
      </c>
      <c r="EH50" s="65">
        <f>+Assumptions!$G$162*EH34</f>
        <v>8026.6137020933147</v>
      </c>
      <c r="EI50" s="65">
        <f>+Assumptions!$G$162*EI34</f>
        <v>8043.1041918618912</v>
      </c>
    </row>
    <row r="51" spans="2:139" x14ac:dyDescent="0.45">
      <c r="B51" s="58" t="str">
        <f>Assumptions!B163</f>
        <v>Accounting / Legal</v>
      </c>
      <c r="H51" s="65">
        <f>+Assumptions!$I163*H$12</f>
        <v>208.68055555555557</v>
      </c>
      <c r="I51" s="65">
        <f>+Assumptions!$I163*I$12</f>
        <v>209.02835648148152</v>
      </c>
      <c r="J51" s="65">
        <f>+Assumptions!$I163*J$12</f>
        <v>209.37673707561731</v>
      </c>
      <c r="K51" s="65">
        <f>+Assumptions!$I163*K$12</f>
        <v>209.7256983040767</v>
      </c>
      <c r="L51" s="65">
        <f>+Assumptions!$I163*L$12</f>
        <v>210.07524113458351</v>
      </c>
      <c r="M51" s="65">
        <f>+Assumptions!$I163*M$12</f>
        <v>210.42536653647448</v>
      </c>
      <c r="N51" s="65">
        <f>+Assumptions!$I163*N$12</f>
        <v>210.77607548070196</v>
      </c>
      <c r="O51" s="65">
        <f>+Assumptions!$I163*O$12</f>
        <v>211.12736893983649</v>
      </c>
      <c r="P51" s="65">
        <f>+Assumptions!$I163*P$12</f>
        <v>211.47924788806955</v>
      </c>
      <c r="Q51" s="65">
        <f>+Assumptions!$I163*Q$12</f>
        <v>211.83171330121635</v>
      </c>
      <c r="R51" s="65">
        <f>+Assumptions!$I163*R$12</f>
        <v>212.18476615671838</v>
      </c>
      <c r="S51" s="65">
        <f>+Assumptions!$I163*S$12</f>
        <v>212.53840743364626</v>
      </c>
      <c r="T51" s="65">
        <f>+Assumptions!$I163*T$12</f>
        <v>212.89263811270234</v>
      </c>
      <c r="U51" s="65">
        <f>+Assumptions!$I163*U$12</f>
        <v>213.24745917622354</v>
      </c>
      <c r="V51" s="65">
        <f>+Assumptions!$I163*V$12</f>
        <v>213.60287160818393</v>
      </c>
      <c r="W51" s="65">
        <f>+Assumptions!$I163*W$12</f>
        <v>213.9588763941976</v>
      </c>
      <c r="X51" s="65">
        <f>+Assumptions!$I163*X$12</f>
        <v>214.31547452152128</v>
      </c>
      <c r="Y51" s="65">
        <f>+Assumptions!$I163*Y$12</f>
        <v>214.67266697905714</v>
      </c>
      <c r="Z51" s="65">
        <f>+Assumptions!$I163*Z$12</f>
        <v>215.03045475735561</v>
      </c>
      <c r="AA51" s="65">
        <f>+Assumptions!$I163*AA$12</f>
        <v>215.38883884861787</v>
      </c>
      <c r="AB51" s="65">
        <f>+Assumptions!$I163*AB$12</f>
        <v>215.74782024669892</v>
      </c>
      <c r="AC51" s="65">
        <f>+Assumptions!$I163*AC$12</f>
        <v>216.10739994711008</v>
      </c>
      <c r="AD51" s="65">
        <f>+Assumptions!$I163*AD$12</f>
        <v>216.46757894702196</v>
      </c>
      <c r="AE51" s="65">
        <f>+Assumptions!$I163*AE$12</f>
        <v>216.82835824526705</v>
      </c>
      <c r="AF51" s="65">
        <f>+Assumptions!$I163*AF$12</f>
        <v>217.18973884234245</v>
      </c>
      <c r="AG51" s="65">
        <f>+Assumptions!$I163*AG$12</f>
        <v>217.55172174041303</v>
      </c>
      <c r="AH51" s="65">
        <f>+Assumptions!$I163*AH$12</f>
        <v>217.91430794331376</v>
      </c>
      <c r="AI51" s="65">
        <f>+Assumptions!$I163*AI$12</f>
        <v>218.27749845655262</v>
      </c>
      <c r="AJ51" s="65">
        <f>+Assumptions!$I163*AJ$12</f>
        <v>218.64129428731357</v>
      </c>
      <c r="AK51" s="65">
        <f>+Assumptions!$I163*AK$12</f>
        <v>219.00569644445909</v>
      </c>
      <c r="AL51" s="65">
        <f>+Assumptions!$I163*AL$12</f>
        <v>219.37070593853323</v>
      </c>
      <c r="AM51" s="65">
        <f>+Assumptions!$I163*AM$12</f>
        <v>219.73632378176416</v>
      </c>
      <c r="AN51" s="65">
        <f>+Assumptions!$I163*AN$12</f>
        <v>220.10255098806712</v>
      </c>
      <c r="AO51" s="65">
        <f>+Assumptions!$I163*AO$12</f>
        <v>220.46938857304721</v>
      </c>
      <c r="AP51" s="65">
        <f>+Assumptions!$I163*AP$12</f>
        <v>220.83683755400233</v>
      </c>
      <c r="AQ51" s="65">
        <f>+Assumptions!$I163*AQ$12</f>
        <v>221.20489894992565</v>
      </c>
      <c r="AR51" s="65">
        <f>+Assumptions!$I163*AR$12</f>
        <v>221.57357378150888</v>
      </c>
      <c r="AS51" s="65">
        <f>+Assumptions!$I163*AS$12</f>
        <v>221.94286307114473</v>
      </c>
      <c r="AT51" s="65">
        <f>+Assumptions!$I163*AT$12</f>
        <v>222.31276784293001</v>
      </c>
      <c r="AU51" s="65">
        <f>+Assumptions!$I163*AU$12</f>
        <v>222.68328912266827</v>
      </c>
      <c r="AV51" s="65">
        <f>+Assumptions!$I163*AV$12</f>
        <v>223.05442793787267</v>
      </c>
      <c r="AW51" s="65">
        <f>+Assumptions!$I163*AW$12</f>
        <v>223.42618531776915</v>
      </c>
      <c r="AX51" s="65">
        <f>+Assumptions!$I163*AX$12</f>
        <v>223.7985622932988</v>
      </c>
      <c r="AY51" s="65">
        <f>+Assumptions!$I163*AY$12</f>
        <v>224.17155989712094</v>
      </c>
      <c r="AZ51" s="65">
        <f>+Assumptions!$I163*AZ$12</f>
        <v>224.54517916361621</v>
      </c>
      <c r="BA51" s="65">
        <f>+Assumptions!$I163*BA$12</f>
        <v>224.9194211288889</v>
      </c>
      <c r="BB51" s="65">
        <f>+Assumptions!$I163*BB$12</f>
        <v>225.2942868307704</v>
      </c>
      <c r="BC51" s="65">
        <f>+Assumptions!$I163*BC$12</f>
        <v>225.66977730882172</v>
      </c>
      <c r="BD51" s="65">
        <f>+Assumptions!$I163*BD$12</f>
        <v>226.04589360433641</v>
      </c>
      <c r="BE51" s="65">
        <f>+Assumptions!$I163*BE$12</f>
        <v>226.42263676034364</v>
      </c>
      <c r="BF51" s="65">
        <f>+Assumptions!$I163*BF$12</f>
        <v>226.80000782161093</v>
      </c>
      <c r="BG51" s="65">
        <f>+Assumptions!$I163*BG$12</f>
        <v>227.17800783464693</v>
      </c>
      <c r="BH51" s="65">
        <f>+Assumptions!$I163*BH$12</f>
        <v>227.55663784770471</v>
      </c>
      <c r="BI51" s="65">
        <f>+Assumptions!$I163*BI$12</f>
        <v>227.93589891078423</v>
      </c>
      <c r="BJ51" s="65">
        <f>+Assumptions!$I163*BJ$12</f>
        <v>228.31579207563556</v>
      </c>
      <c r="BK51" s="65">
        <f>+Assumptions!$I163*BK$12</f>
        <v>228.69631839576166</v>
      </c>
      <c r="BL51" s="65">
        <f>+Assumptions!$I163*BL$12</f>
        <v>229.07747892642124</v>
      </c>
      <c r="BM51" s="65">
        <f>+Assumptions!$I163*BM$12</f>
        <v>229.45927472463194</v>
      </c>
      <c r="BN51" s="65">
        <f>+Assumptions!$I163*BN$12</f>
        <v>229.84170684917302</v>
      </c>
      <c r="BO51" s="65">
        <f>+Assumptions!$I163*BO$12</f>
        <v>230.22477636058832</v>
      </c>
      <c r="BP51" s="65">
        <f>+Assumptions!$I163*BP$12</f>
        <v>230.60848432118934</v>
      </c>
      <c r="BQ51" s="65">
        <f>+Assumptions!$I163*BQ$12</f>
        <v>230.99283179505798</v>
      </c>
      <c r="BR51" s="65">
        <f>+Assumptions!$I163*BR$12</f>
        <v>231.3778198480498</v>
      </c>
      <c r="BS51" s="65">
        <f>+Assumptions!$I163*BS$12</f>
        <v>231.76344954779657</v>
      </c>
      <c r="BT51" s="65">
        <f>+Assumptions!$I163*BT$12</f>
        <v>232.14972196370957</v>
      </c>
      <c r="BU51" s="65">
        <f>+Assumptions!$I163*BU$12</f>
        <v>232.53663816698241</v>
      </c>
      <c r="BV51" s="65">
        <f>+Assumptions!$I163*BV$12</f>
        <v>232.92419923059407</v>
      </c>
      <c r="BW51" s="65">
        <f>+Assumptions!$I163*BW$12</f>
        <v>233.31240622931173</v>
      </c>
      <c r="BX51" s="65">
        <f>+Assumptions!$I163*BX$12</f>
        <v>233.70126023969394</v>
      </c>
      <c r="BY51" s="65">
        <f>+Assumptions!$I163*BY$12</f>
        <v>234.09076234009342</v>
      </c>
      <c r="BZ51" s="65">
        <f>+Assumptions!$I163*BZ$12</f>
        <v>234.48091361066025</v>
      </c>
      <c r="CA51" s="65">
        <f>+Assumptions!$I163*CA$12</f>
        <v>234.87171513334474</v>
      </c>
      <c r="CB51" s="65">
        <f>+Assumptions!$I163*CB$12</f>
        <v>235.2631679919003</v>
      </c>
      <c r="CC51" s="65">
        <f>+Assumptions!$I163*CC$12</f>
        <v>235.65527327188684</v>
      </c>
      <c r="CD51" s="65">
        <f>+Assumptions!$I163*CD$12</f>
        <v>236.04803206067334</v>
      </c>
      <c r="CE51" s="65">
        <f>+Assumptions!$I163*CE$12</f>
        <v>236.44144544744114</v>
      </c>
      <c r="CF51" s="65">
        <f>+Assumptions!$I163*CF$12</f>
        <v>236.8355145231869</v>
      </c>
      <c r="CG51" s="65">
        <f>+Assumptions!$I163*CG$12</f>
        <v>237.23024038072555</v>
      </c>
      <c r="CH51" s="65">
        <f>+Assumptions!$I163*CH$12</f>
        <v>237.62562411469341</v>
      </c>
      <c r="CI51" s="65">
        <f>+Assumptions!$I163*CI$12</f>
        <v>238.02166682155129</v>
      </c>
      <c r="CJ51" s="65">
        <f>+Assumptions!$I163*CJ$12</f>
        <v>238.41836959958721</v>
      </c>
      <c r="CK51" s="65">
        <f>+Assumptions!$I163*CK$12</f>
        <v>238.81573354891987</v>
      </c>
      <c r="CL51" s="65">
        <f>+Assumptions!$I163*CL$12</f>
        <v>239.21375977150143</v>
      </c>
      <c r="CM51" s="65">
        <f>+Assumptions!$I163*CM$12</f>
        <v>239.61244937112062</v>
      </c>
      <c r="CN51" s="65">
        <f>+Assumptions!$I163*CN$12</f>
        <v>240.01180345340589</v>
      </c>
      <c r="CO51" s="65">
        <f>+Assumptions!$I163*CO$12</f>
        <v>240.41182312582816</v>
      </c>
      <c r="CP51" s="65">
        <f>+Assumptions!$I163*CP$12</f>
        <v>240.81250949770461</v>
      </c>
      <c r="CQ51" s="65">
        <f>+Assumptions!$I163*CQ$12</f>
        <v>241.21386368020083</v>
      </c>
      <c r="CR51" s="65">
        <f>+Assumptions!$I163*CR$12</f>
        <v>241.61588678633444</v>
      </c>
      <c r="CS51" s="65">
        <f>+Assumptions!$I163*CS$12</f>
        <v>242.01857993097835</v>
      </c>
      <c r="CT51" s="65">
        <f>+Assumptions!$I163*CT$12</f>
        <v>242.42194423086335</v>
      </c>
      <c r="CU51" s="65">
        <f>+Assumptions!$I163*CU$12</f>
        <v>242.82598080458149</v>
      </c>
      <c r="CV51" s="65">
        <f>+Assumptions!$I163*CV$12</f>
        <v>243.23069077258916</v>
      </c>
      <c r="CW51" s="65">
        <f>+Assumptions!$I163*CW$12</f>
        <v>243.63607525721011</v>
      </c>
      <c r="CX51" s="65">
        <f>+Assumptions!$I163*CX$12</f>
        <v>244.04213538263883</v>
      </c>
      <c r="CY51" s="65">
        <f>+Assumptions!$I163*CY$12</f>
        <v>244.44887227494328</v>
      </c>
      <c r="CZ51" s="65">
        <f>+Assumptions!$I163*CZ$12</f>
        <v>244.85628706206822</v>
      </c>
      <c r="DA51" s="65">
        <f>+Assumptions!$I163*DA$12</f>
        <v>245.26438087383829</v>
      </c>
      <c r="DB51" s="65">
        <f>+Assumptions!$I163*DB$12</f>
        <v>245.67315484196141</v>
      </c>
      <c r="DC51" s="65">
        <f>+Assumptions!$I163*DC$12</f>
        <v>246.08261010003136</v>
      </c>
      <c r="DD51" s="65">
        <f>+Assumptions!$I163*DD$12</f>
        <v>246.4927477835314</v>
      </c>
      <c r="DE51" s="65">
        <f>+Assumptions!$I163*DE$12</f>
        <v>246.90356902983729</v>
      </c>
      <c r="DF51" s="65">
        <f>+Assumptions!$I163*DF$12</f>
        <v>247.31507497822039</v>
      </c>
      <c r="DG51" s="65">
        <f>+Assumptions!$I163*DG$12</f>
        <v>247.72726676985079</v>
      </c>
      <c r="DH51" s="65">
        <f>+Assumptions!$I163*DH$12</f>
        <v>248.14014554780053</v>
      </c>
      <c r="DI51" s="65">
        <f>+Assumptions!$I163*DI$12</f>
        <v>248.55371245704686</v>
      </c>
      <c r="DJ51" s="65">
        <f>+Assumptions!$I163*DJ$12</f>
        <v>248.96796864447532</v>
      </c>
      <c r="DK51" s="65">
        <f>+Assumptions!$I163*DK$12</f>
        <v>249.38291525888275</v>
      </c>
      <c r="DL51" s="65">
        <f>+Assumptions!$I163*DL$12</f>
        <v>249.79855345098093</v>
      </c>
      <c r="DM51" s="65">
        <f>+Assumptions!$I163*DM$12</f>
        <v>250.21488437339929</v>
      </c>
      <c r="DN51" s="65">
        <f>+Assumptions!$I163*DN$12</f>
        <v>250.6319091806883</v>
      </c>
      <c r="DO51" s="65">
        <f>+Assumptions!$I163*DO$12</f>
        <v>251.0496290293228</v>
      </c>
      <c r="DP51" s="65">
        <f>+Assumptions!$I163*DP$12</f>
        <v>251.46804507770503</v>
      </c>
      <c r="DQ51" s="65">
        <f>+Assumptions!$I163*DQ$12</f>
        <v>251.88715848616786</v>
      </c>
      <c r="DR51" s="65">
        <f>+Assumptions!$I163*DR$12</f>
        <v>252.30697041697817</v>
      </c>
      <c r="DS51" s="65">
        <f>+Assumptions!$I163*DS$12</f>
        <v>252.7274820343398</v>
      </c>
      <c r="DT51" s="65">
        <f>+Assumptions!$I163*DT$12</f>
        <v>253.1486945043971</v>
      </c>
      <c r="DU51" s="65">
        <f>+Assumptions!$I163*DU$12</f>
        <v>253.57060899523773</v>
      </c>
      <c r="DV51" s="65">
        <f>+Assumptions!$I163*DV$12</f>
        <v>253.99322667689648</v>
      </c>
      <c r="DW51" s="65">
        <f>+Assumptions!$I163*DW$12</f>
        <v>254.41654872135803</v>
      </c>
      <c r="DX51" s="65">
        <f>+Assumptions!$I163*DX$12</f>
        <v>254.84057630256029</v>
      </c>
      <c r="DY51" s="65">
        <f>+Assumptions!$I163*DY$12</f>
        <v>255.26531059639791</v>
      </c>
      <c r="DZ51" s="65">
        <f>+Assumptions!$I163*DZ$12</f>
        <v>255.69075278072526</v>
      </c>
      <c r="EA51" s="65">
        <f>+Assumptions!$I163*EA$12</f>
        <v>256.11690403535977</v>
      </c>
      <c r="EB51" s="65">
        <f>+Assumptions!$I163*EB$12</f>
        <v>256.54376554208545</v>
      </c>
      <c r="EC51" s="65">
        <f>+Assumptions!$I163*EC$12</f>
        <v>256.97133848465558</v>
      </c>
      <c r="ED51" s="65">
        <f>+Assumptions!$I163*ED$12</f>
        <v>257.39962404879674</v>
      </c>
      <c r="EE51" s="65">
        <f>+Assumptions!$I163*EE$12</f>
        <v>257.82862342221142</v>
      </c>
      <c r="EF51" s="65">
        <f>+Assumptions!$I163*EF$12</f>
        <v>258.25833779458179</v>
      </c>
      <c r="EG51" s="65">
        <f>+Assumptions!$I163*EG$12</f>
        <v>258.68876835757271</v>
      </c>
      <c r="EH51" s="65">
        <f>+Assumptions!$I163*EH$12</f>
        <v>259.11991630483539</v>
      </c>
      <c r="EI51" s="65">
        <f>+Assumptions!$I163*EI$12</f>
        <v>259.55178283201013</v>
      </c>
    </row>
    <row r="52" spans="2:139" s="84" customFormat="1" x14ac:dyDescent="0.45">
      <c r="B52" s="71" t="str">
        <f>Assumptions!B164</f>
        <v>Total Operating Expenses</v>
      </c>
      <c r="C52" s="71"/>
      <c r="D52" s="71"/>
      <c r="E52" s="71"/>
      <c r="F52" s="71"/>
      <c r="G52" s="71"/>
      <c r="H52" s="72">
        <f t="shared" ref="H52:AM52" si="197">SUM(H37:H51)</f>
        <v>55477.293084444449</v>
      </c>
      <c r="I52" s="72">
        <f t="shared" si="197"/>
        <v>55137.976768262553</v>
      </c>
      <c r="J52" s="72">
        <f t="shared" si="197"/>
        <v>54797.257637713621</v>
      </c>
      <c r="K52" s="72">
        <f t="shared" si="197"/>
        <v>54455.13168953266</v>
      </c>
      <c r="L52" s="72">
        <f t="shared" si="197"/>
        <v>54625.469852436756</v>
      </c>
      <c r="M52" s="72">
        <f t="shared" si="197"/>
        <v>54843.332987048751</v>
      </c>
      <c r="N52" s="72">
        <f t="shared" si="197"/>
        <v>55014.715392953978</v>
      </c>
      <c r="O52" s="72">
        <f t="shared" si="197"/>
        <v>55186.582779543081</v>
      </c>
      <c r="P52" s="72">
        <f t="shared" si="197"/>
        <v>55358.936438592726</v>
      </c>
      <c r="Q52" s="72">
        <f t="shared" si="197"/>
        <v>55531.777665181769</v>
      </c>
      <c r="R52" s="72">
        <f t="shared" si="197"/>
        <v>55705.107757699472</v>
      </c>
      <c r="S52" s="72">
        <f t="shared" si="197"/>
        <v>55878.928017853897</v>
      </c>
      <c r="T52" s="72">
        <f t="shared" si="197"/>
        <v>56053.239750679837</v>
      </c>
      <c r="U52" s="72">
        <f t="shared" si="197"/>
        <v>56228.044264547214</v>
      </c>
      <c r="V52" s="72">
        <f t="shared" si="197"/>
        <v>56403.342871169465</v>
      </c>
      <c r="W52" s="72">
        <f t="shared" si="197"/>
        <v>56579.136885611617</v>
      </c>
      <c r="X52" s="72">
        <f t="shared" si="197"/>
        <v>56755.427626298762</v>
      </c>
      <c r="Y52" s="72">
        <f t="shared" si="197"/>
        <v>56932.21641502437</v>
      </c>
      <c r="Z52" s="72">
        <f t="shared" si="197"/>
        <v>57109.504576958519</v>
      </c>
      <c r="AA52" s="72">
        <f t="shared" si="197"/>
        <v>57287.293440656467</v>
      </c>
      <c r="AB52" s="72">
        <f t="shared" si="197"/>
        <v>57465.584338066903</v>
      </c>
      <c r="AC52" s="72">
        <f t="shared" si="197"/>
        <v>57644.378604540354</v>
      </c>
      <c r="AD52" s="72">
        <f t="shared" si="197"/>
        <v>57823.677578837742</v>
      </c>
      <c r="AE52" s="72">
        <f t="shared" si="197"/>
        <v>58003.482603138764</v>
      </c>
      <c r="AF52" s="72">
        <f t="shared" si="197"/>
        <v>58183.795023050297</v>
      </c>
      <c r="AG52" s="72">
        <f t="shared" si="197"/>
        <v>58364.616187615044</v>
      </c>
      <c r="AH52" s="72">
        <f t="shared" si="197"/>
        <v>58545.947449319967</v>
      </c>
      <c r="AI52" s="72">
        <f t="shared" si="197"/>
        <v>59184.009879438745</v>
      </c>
      <c r="AJ52" s="72">
        <f t="shared" si="197"/>
        <v>59824.230727619972</v>
      </c>
      <c r="AK52" s="72">
        <f t="shared" si="197"/>
        <v>60466.615860977414</v>
      </c>
      <c r="AL52" s="72">
        <f t="shared" si="197"/>
        <v>60569.916241931613</v>
      </c>
      <c r="AM52" s="72">
        <f t="shared" si="197"/>
        <v>60673.394045787085</v>
      </c>
      <c r="AN52" s="72">
        <f t="shared" ref="AN52:BS52" si="198">SUM(AN37:AN51)</f>
        <v>60777.049579197868</v>
      </c>
      <c r="AO52" s="72">
        <f t="shared" si="198"/>
        <v>60880.883149351816</v>
      </c>
      <c r="AP52" s="72">
        <f t="shared" si="198"/>
        <v>60984.895063971715</v>
      </c>
      <c r="AQ52" s="72">
        <f t="shared" si="198"/>
        <v>61089.085631316026</v>
      </c>
      <c r="AR52" s="72">
        <f t="shared" si="198"/>
        <v>61193.455160180027</v>
      </c>
      <c r="AS52" s="72">
        <f t="shared" si="198"/>
        <v>61298.003959896603</v>
      </c>
      <c r="AT52" s="72">
        <f t="shared" si="198"/>
        <v>61402.732340337257</v>
      </c>
      <c r="AU52" s="72">
        <f t="shared" si="198"/>
        <v>61507.640611913048</v>
      </c>
      <c r="AV52" s="72">
        <f t="shared" si="198"/>
        <v>61612.729085575513</v>
      </c>
      <c r="AW52" s="72">
        <f t="shared" si="198"/>
        <v>61717.998072817631</v>
      </c>
      <c r="AX52" s="72">
        <f t="shared" si="198"/>
        <v>61823.447885674803</v>
      </c>
      <c r="AY52" s="72">
        <f t="shared" si="198"/>
        <v>61929.078836725777</v>
      </c>
      <c r="AZ52" s="72">
        <f t="shared" si="198"/>
        <v>62034.891239093566</v>
      </c>
      <c r="BA52" s="72">
        <f t="shared" si="198"/>
        <v>62140.885406446512</v>
      </c>
      <c r="BB52" s="72">
        <f t="shared" si="198"/>
        <v>62247.061652999131</v>
      </c>
      <c r="BC52" s="72">
        <f t="shared" si="198"/>
        <v>62353.420293513111</v>
      </c>
      <c r="BD52" s="72">
        <f t="shared" si="198"/>
        <v>62459.961643298251</v>
      </c>
      <c r="BE52" s="72">
        <f t="shared" si="198"/>
        <v>62566.686018213513</v>
      </c>
      <c r="BF52" s="72">
        <f t="shared" si="198"/>
        <v>62673.593734667913</v>
      </c>
      <c r="BG52" s="72">
        <f t="shared" si="198"/>
        <v>62780.68510962143</v>
      </c>
      <c r="BH52" s="72">
        <f t="shared" si="198"/>
        <v>62887.960460586139</v>
      </c>
      <c r="BI52" s="72">
        <f t="shared" si="198"/>
        <v>62995.420105626981</v>
      </c>
      <c r="BJ52" s="72">
        <f t="shared" si="198"/>
        <v>63103.064363362908</v>
      </c>
      <c r="BK52" s="72">
        <f t="shared" si="198"/>
        <v>63210.89355296774</v>
      </c>
      <c r="BL52" s="72">
        <f t="shared" si="198"/>
        <v>63318.907994171226</v>
      </c>
      <c r="BM52" s="72">
        <f t="shared" si="198"/>
        <v>63427.108007259958</v>
      </c>
      <c r="BN52" s="72">
        <f t="shared" si="198"/>
        <v>63535.493913078331</v>
      </c>
      <c r="BO52" s="72">
        <f t="shared" si="198"/>
        <v>63644.06603302963</v>
      </c>
      <c r="BP52" s="72">
        <f t="shared" si="198"/>
        <v>63752.824689076871</v>
      </c>
      <c r="BQ52" s="72">
        <f t="shared" si="198"/>
        <v>63861.770203743894</v>
      </c>
      <c r="BR52" s="72">
        <f t="shared" si="198"/>
        <v>63970.902900116307</v>
      </c>
      <c r="BS52" s="72">
        <f t="shared" si="198"/>
        <v>64080.22310184245</v>
      </c>
      <c r="BT52" s="72">
        <f t="shared" ref="BT52:CY52" si="199">SUM(BT37:BT51)</f>
        <v>64189.731133134468</v>
      </c>
      <c r="BU52" s="72">
        <f t="shared" si="199"/>
        <v>64299.427318769151</v>
      </c>
      <c r="BV52" s="72">
        <f t="shared" si="199"/>
        <v>64409.311984089079</v>
      </c>
      <c r="BW52" s="72">
        <f t="shared" si="199"/>
        <v>64519.385455003568</v>
      </c>
      <c r="BX52" s="72">
        <f t="shared" si="199"/>
        <v>64629.648057989594</v>
      </c>
      <c r="BY52" s="72">
        <f t="shared" si="199"/>
        <v>64740.100120092844</v>
      </c>
      <c r="BZ52" s="72">
        <f t="shared" si="199"/>
        <v>64850.741968928793</v>
      </c>
      <c r="CA52" s="72">
        <f t="shared" si="199"/>
        <v>64961.573932683612</v>
      </c>
      <c r="CB52" s="72">
        <f t="shared" si="199"/>
        <v>65072.596340115088</v>
      </c>
      <c r="CC52" s="72">
        <f t="shared" si="199"/>
        <v>65183.809520553827</v>
      </c>
      <c r="CD52" s="72">
        <f t="shared" si="199"/>
        <v>65295.213803904146</v>
      </c>
      <c r="CE52" s="72">
        <f t="shared" si="199"/>
        <v>65406.809520645067</v>
      </c>
      <c r="CF52" s="72">
        <f t="shared" si="199"/>
        <v>65518.597001831447</v>
      </c>
      <c r="CG52" s="72">
        <f t="shared" si="199"/>
        <v>65630.576579094704</v>
      </c>
      <c r="CH52" s="72">
        <f t="shared" si="199"/>
        <v>65742.748584644258</v>
      </c>
      <c r="CI52" s="72">
        <f t="shared" si="199"/>
        <v>65855.11335126817</v>
      </c>
      <c r="CJ52" s="72">
        <f t="shared" si="199"/>
        <v>65967.671212334331</v>
      </c>
      <c r="CK52" s="72">
        <f t="shared" si="199"/>
        <v>66080.422501791458</v>
      </c>
      <c r="CL52" s="72">
        <f t="shared" si="199"/>
        <v>66193.367554170123</v>
      </c>
      <c r="CM52" s="72">
        <f t="shared" si="199"/>
        <v>66306.50670458375</v>
      </c>
      <c r="CN52" s="72">
        <f t="shared" si="199"/>
        <v>66419.840288729625</v>
      </c>
      <c r="CO52" s="72">
        <f t="shared" si="199"/>
        <v>66533.368642889982</v>
      </c>
      <c r="CP52" s="72">
        <f t="shared" si="199"/>
        <v>66647.092103933013</v>
      </c>
      <c r="CQ52" s="72">
        <f t="shared" si="199"/>
        <v>66761.011009313865</v>
      </c>
      <c r="CR52" s="72">
        <f t="shared" si="199"/>
        <v>66875.125697075579</v>
      </c>
      <c r="CS52" s="72">
        <f t="shared" si="199"/>
        <v>66989.436505850434</v>
      </c>
      <c r="CT52" s="72">
        <f t="shared" si="199"/>
        <v>67103.943774860643</v>
      </c>
      <c r="CU52" s="72">
        <f t="shared" si="199"/>
        <v>67218.647843919534</v>
      </c>
      <c r="CV52" s="72">
        <f t="shared" si="199"/>
        <v>67333.549053432609</v>
      </c>
      <c r="CW52" s="72">
        <f t="shared" si="199"/>
        <v>67448.647744398564</v>
      </c>
      <c r="CX52" s="72">
        <f t="shared" si="199"/>
        <v>67563.944258410367</v>
      </c>
      <c r="CY52" s="72">
        <f t="shared" si="199"/>
        <v>67679.43893765613</v>
      </c>
      <c r="CZ52" s="72">
        <f t="shared" ref="CZ52:EI52" si="200">SUM(CZ37:CZ51)</f>
        <v>67795.132124920376</v>
      </c>
      <c r="DA52" s="72">
        <f t="shared" si="200"/>
        <v>67911.024163584996</v>
      </c>
      <c r="DB52" s="72">
        <f t="shared" si="200"/>
        <v>68027.115397630303</v>
      </c>
      <c r="DC52" s="72">
        <f t="shared" si="200"/>
        <v>68143.406171636045</v>
      </c>
      <c r="DD52" s="72">
        <f t="shared" si="200"/>
        <v>68259.896830782513</v>
      </c>
      <c r="DE52" s="72">
        <f t="shared" si="200"/>
        <v>68376.587720851545</v>
      </c>
      <c r="DF52" s="72">
        <f t="shared" si="200"/>
        <v>68493.479188227706</v>
      </c>
      <c r="DG52" s="72">
        <f t="shared" si="200"/>
        <v>68610.571579899159</v>
      </c>
      <c r="DH52" s="72">
        <f t="shared" si="200"/>
        <v>68727.865243458844</v>
      </c>
      <c r="DI52" s="72">
        <f t="shared" si="200"/>
        <v>68845.360527105542</v>
      </c>
      <c r="DJ52" s="72">
        <f t="shared" si="200"/>
        <v>68963.05777964498</v>
      </c>
      <c r="DK52" s="72">
        <f t="shared" si="200"/>
        <v>69080.957350490688</v>
      </c>
      <c r="DL52" s="72">
        <f t="shared" si="200"/>
        <v>69199.059589665354</v>
      </c>
      <c r="DM52" s="72">
        <f t="shared" si="200"/>
        <v>69317.364847801684</v>
      </c>
      <c r="DN52" s="72">
        <f t="shared" si="200"/>
        <v>69435.873476143548</v>
      </c>
      <c r="DO52" s="72">
        <f t="shared" si="200"/>
        <v>69554.58582654706</v>
      </c>
      <c r="DP52" s="72">
        <f t="shared" si="200"/>
        <v>69673.502251481725</v>
      </c>
      <c r="DQ52" s="72">
        <f t="shared" si="200"/>
        <v>69792.6231040313</v>
      </c>
      <c r="DR52" s="72">
        <f t="shared" si="200"/>
        <v>69911.948737895145</v>
      </c>
      <c r="DS52" s="72">
        <f t="shared" si="200"/>
        <v>70031.479507389056</v>
      </c>
      <c r="DT52" s="72">
        <f t="shared" si="200"/>
        <v>70151.2157674466</v>
      </c>
      <c r="DU52" s="72">
        <f t="shared" si="200"/>
        <v>70271.157873619959</v>
      </c>
      <c r="DV52" s="72">
        <f t="shared" si="200"/>
        <v>70391.306182081127</v>
      </c>
      <c r="DW52" s="72">
        <f t="shared" si="200"/>
        <v>70511.661049623101</v>
      </c>
      <c r="DX52" s="72">
        <f t="shared" si="200"/>
        <v>70632.222833660751</v>
      </c>
      <c r="DY52" s="72">
        <f t="shared" si="200"/>
        <v>70752.991892232152</v>
      </c>
      <c r="DZ52" s="72">
        <f t="shared" si="200"/>
        <v>70873.968583999464</v>
      </c>
      <c r="EA52" s="72">
        <f t="shared" si="200"/>
        <v>70995.153268250142</v>
      </c>
      <c r="EB52" s="72">
        <f t="shared" si="200"/>
        <v>71116.546304898104</v>
      </c>
      <c r="EC52" s="72">
        <f t="shared" si="200"/>
        <v>71238.148054484613</v>
      </c>
      <c r="ED52" s="72">
        <f t="shared" si="200"/>
        <v>71359.958878179648</v>
      </c>
      <c r="EE52" s="72">
        <f t="shared" si="200"/>
        <v>71481.979137782793</v>
      </c>
      <c r="EF52" s="72">
        <f t="shared" si="200"/>
        <v>71604.209195724441</v>
      </c>
      <c r="EG52" s="72">
        <f t="shared" si="200"/>
        <v>71726.649415066931</v>
      </c>
      <c r="EH52" s="72">
        <f t="shared" si="200"/>
        <v>71849.300159505568</v>
      </c>
      <c r="EI52" s="72">
        <f t="shared" si="200"/>
        <v>71972.161793369844</v>
      </c>
    </row>
    <row r="53" spans="2:139" x14ac:dyDescent="0.45"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65"/>
      <c r="BJ53" s="65"/>
      <c r="BK53" s="65"/>
      <c r="BL53" s="65"/>
      <c r="BM53" s="65"/>
      <c r="BN53" s="65"/>
      <c r="BO53" s="65"/>
      <c r="BP53" s="65"/>
      <c r="BQ53" s="65"/>
      <c r="BR53" s="65"/>
      <c r="BS53" s="65"/>
      <c r="BT53" s="65"/>
      <c r="BU53" s="65"/>
      <c r="BV53" s="65"/>
      <c r="BW53" s="65"/>
      <c r="BX53" s="65"/>
      <c r="BY53" s="65"/>
      <c r="BZ53" s="65"/>
      <c r="CA53" s="65"/>
      <c r="CB53" s="65"/>
      <c r="CC53" s="65"/>
      <c r="CD53" s="65"/>
      <c r="CE53" s="65"/>
      <c r="CF53" s="65"/>
      <c r="CG53" s="65"/>
      <c r="CH53" s="65"/>
      <c r="CI53" s="65"/>
      <c r="CJ53" s="65"/>
      <c r="CK53" s="65"/>
      <c r="CL53" s="65"/>
      <c r="CM53" s="65"/>
      <c r="CN53" s="65"/>
      <c r="CO53" s="65"/>
      <c r="CP53" s="65"/>
      <c r="CQ53" s="65"/>
      <c r="CR53" s="65"/>
      <c r="CS53" s="65"/>
      <c r="CT53" s="65"/>
      <c r="CU53" s="65"/>
      <c r="CV53" s="65"/>
      <c r="CW53" s="65"/>
      <c r="CX53" s="65"/>
      <c r="CY53" s="65"/>
      <c r="CZ53" s="65"/>
      <c r="DA53" s="65"/>
      <c r="DB53" s="65"/>
      <c r="DC53" s="65"/>
      <c r="DD53" s="65"/>
      <c r="DE53" s="65"/>
      <c r="DF53" s="65"/>
      <c r="DG53" s="65"/>
      <c r="DH53" s="65"/>
      <c r="DI53" s="65"/>
      <c r="DJ53" s="65"/>
      <c r="DK53" s="65"/>
      <c r="DL53" s="65"/>
      <c r="DM53" s="65"/>
      <c r="DN53" s="65"/>
      <c r="DO53" s="65"/>
      <c r="DP53" s="65"/>
      <c r="DQ53" s="65"/>
      <c r="DR53" s="65"/>
      <c r="DS53" s="65"/>
      <c r="DT53" s="65"/>
      <c r="DU53" s="65"/>
      <c r="DV53" s="65"/>
      <c r="DW53" s="65"/>
      <c r="DX53" s="65"/>
      <c r="DY53" s="65"/>
      <c r="DZ53" s="65"/>
      <c r="EA53" s="65"/>
      <c r="EB53" s="65"/>
      <c r="EC53" s="65"/>
      <c r="ED53" s="65"/>
      <c r="EE53" s="65"/>
      <c r="EF53" s="65"/>
      <c r="EG53" s="65"/>
      <c r="EH53" s="65"/>
      <c r="EI53" s="65"/>
    </row>
    <row r="54" spans="2:139" s="84" customFormat="1" x14ac:dyDescent="0.45">
      <c r="B54" s="123" t="s">
        <v>17</v>
      </c>
      <c r="C54" s="123"/>
      <c r="D54" s="123"/>
      <c r="E54" s="123"/>
      <c r="F54" s="123"/>
      <c r="G54" s="123"/>
      <c r="H54" s="125">
        <f t="shared" ref="H54:AM54" si="201">+H34-H52</f>
        <v>80459.49491555561</v>
      </c>
      <c r="I54" s="125">
        <f t="shared" si="201"/>
        <v>75837.50810152918</v>
      </c>
      <c r="J54" s="125">
        <f t="shared" si="201"/>
        <v>71196.086942984344</v>
      </c>
      <c r="K54" s="125">
        <f t="shared" si="201"/>
        <v>66535.170775306193</v>
      </c>
      <c r="L54" s="125">
        <f t="shared" si="201"/>
        <v>69219.13678611799</v>
      </c>
      <c r="M54" s="125">
        <f t="shared" si="201"/>
        <v>73435.037491167575</v>
      </c>
      <c r="N54" s="125">
        <f t="shared" si="201"/>
        <v>76143.347400286555</v>
      </c>
      <c r="O54" s="125">
        <f t="shared" si="201"/>
        <v>78862.616593936764</v>
      </c>
      <c r="P54" s="125">
        <f t="shared" si="201"/>
        <v>81592.878969966987</v>
      </c>
      <c r="Q54" s="125">
        <f t="shared" si="201"/>
        <v>84334.168519882529</v>
      </c>
      <c r="R54" s="125">
        <f t="shared" si="201"/>
        <v>87086.519329087954</v>
      </c>
      <c r="S54" s="125">
        <f t="shared" si="201"/>
        <v>89849.965577130846</v>
      </c>
      <c r="T54" s="125">
        <f t="shared" si="201"/>
        <v>92624.541537946352</v>
      </c>
      <c r="U54" s="125">
        <f t="shared" si="201"/>
        <v>95410.281580101902</v>
      </c>
      <c r="V54" s="125">
        <f t="shared" si="201"/>
        <v>98207.220167042513</v>
      </c>
      <c r="W54" s="125">
        <f t="shared" si="201"/>
        <v>101015.3918573374</v>
      </c>
      <c r="X54" s="125">
        <f t="shared" si="201"/>
        <v>103834.83130492628</v>
      </c>
      <c r="Y54" s="125">
        <f t="shared" si="201"/>
        <v>106665.57325936688</v>
      </c>
      <c r="Z54" s="125">
        <f t="shared" si="201"/>
        <v>109507.65256608292</v>
      </c>
      <c r="AA54" s="125">
        <f t="shared" si="201"/>
        <v>112361.10416661281</v>
      </c>
      <c r="AB54" s="125">
        <f t="shared" si="201"/>
        <v>115225.96309885863</v>
      </c>
      <c r="AC54" s="125">
        <f t="shared" si="201"/>
        <v>118102.26449733601</v>
      </c>
      <c r="AD54" s="125">
        <f t="shared" si="201"/>
        <v>120990.04359342477</v>
      </c>
      <c r="AE54" s="125">
        <f t="shared" si="201"/>
        <v>123889.33571561983</v>
      </c>
      <c r="AF54" s="125">
        <f t="shared" si="201"/>
        <v>126800.17628978292</v>
      </c>
      <c r="AG54" s="125">
        <f t="shared" si="201"/>
        <v>129722.60083939495</v>
      </c>
      <c r="AH54" s="125">
        <f t="shared" si="201"/>
        <v>132656.64498580893</v>
      </c>
      <c r="AI54" s="125">
        <f t="shared" si="201"/>
        <v>140741.40304303775</v>
      </c>
      <c r="AJ54" s="125">
        <f t="shared" si="201"/>
        <v>148859.01999642252</v>
      </c>
      <c r="AK54" s="125">
        <f t="shared" si="201"/>
        <v>157009.59729925761</v>
      </c>
      <c r="AL54" s="125">
        <f t="shared" si="201"/>
        <v>157352.84686865599</v>
      </c>
      <c r="AM54" s="125">
        <f t="shared" si="201"/>
        <v>157696.83845172683</v>
      </c>
      <c r="AN54" s="125">
        <f t="shared" ref="AN54:BS54" si="202">+AN34-AN52</f>
        <v>158041.57363918249</v>
      </c>
      <c r="AO54" s="125">
        <f t="shared" si="202"/>
        <v>158387.05402512426</v>
      </c>
      <c r="AP54" s="125">
        <f t="shared" si="202"/>
        <v>158733.28120704924</v>
      </c>
      <c r="AQ54" s="125">
        <f t="shared" si="202"/>
        <v>159080.25678585787</v>
      </c>
      <c r="AR54" s="125">
        <f t="shared" si="202"/>
        <v>159427.98236586057</v>
      </c>
      <c r="AS54" s="125">
        <f t="shared" si="202"/>
        <v>159776.45955478557</v>
      </c>
      <c r="AT54" s="125">
        <f t="shared" si="202"/>
        <v>160125.68996378582</v>
      </c>
      <c r="AU54" s="125">
        <f t="shared" si="202"/>
        <v>160475.6752074463</v>
      </c>
      <c r="AV54" s="125">
        <f t="shared" si="202"/>
        <v>160826.41690379148</v>
      </c>
      <c r="AW54" s="125">
        <f t="shared" si="202"/>
        <v>161177.91667429238</v>
      </c>
      <c r="AX54" s="125">
        <f t="shared" si="202"/>
        <v>161530.17614387398</v>
      </c>
      <c r="AY54" s="125">
        <f t="shared" si="202"/>
        <v>161883.19694092253</v>
      </c>
      <c r="AZ54" s="125">
        <f t="shared" si="202"/>
        <v>162236.98069729286</v>
      </c>
      <c r="BA54" s="125">
        <f t="shared" si="202"/>
        <v>162591.52904831566</v>
      </c>
      <c r="BB54" s="125">
        <f t="shared" si="202"/>
        <v>162946.84363280522</v>
      </c>
      <c r="BC54" s="125">
        <f t="shared" si="202"/>
        <v>163302.92609306631</v>
      </c>
      <c r="BD54" s="125">
        <f t="shared" si="202"/>
        <v>163659.77807490193</v>
      </c>
      <c r="BE54" s="125">
        <f t="shared" si="202"/>
        <v>164017.4012276204</v>
      </c>
      <c r="BF54" s="125">
        <f t="shared" si="202"/>
        <v>164375.79720404325</v>
      </c>
      <c r="BG54" s="125">
        <f t="shared" si="202"/>
        <v>164734.96766051234</v>
      </c>
      <c r="BH54" s="125">
        <f t="shared" si="202"/>
        <v>165094.91425689735</v>
      </c>
      <c r="BI54" s="125">
        <f t="shared" si="202"/>
        <v>165455.63865660332</v>
      </c>
      <c r="BJ54" s="125">
        <f t="shared" si="202"/>
        <v>165817.1425265781</v>
      </c>
      <c r="BK54" s="125">
        <f t="shared" si="202"/>
        <v>166179.42753732001</v>
      </c>
      <c r="BL54" s="125">
        <f t="shared" si="202"/>
        <v>166542.49536288503</v>
      </c>
      <c r="BM54" s="125">
        <f t="shared" si="202"/>
        <v>166906.3476808948</v>
      </c>
      <c r="BN54" s="125">
        <f t="shared" si="202"/>
        <v>167270.98617254378</v>
      </c>
      <c r="BO54" s="125">
        <f t="shared" si="202"/>
        <v>167636.4125226069</v>
      </c>
      <c r="BP54" s="125">
        <f t="shared" si="202"/>
        <v>168002.62841944752</v>
      </c>
      <c r="BQ54" s="125">
        <f t="shared" si="202"/>
        <v>168369.63555502449</v>
      </c>
      <c r="BR54" s="125">
        <f t="shared" si="202"/>
        <v>168737.43562489998</v>
      </c>
      <c r="BS54" s="125">
        <f t="shared" si="202"/>
        <v>169106.03032824746</v>
      </c>
      <c r="BT54" s="125">
        <f t="shared" ref="BT54:CY54" si="203">+BT34-BT52</f>
        <v>169475.42136785877</v>
      </c>
      <c r="BU54" s="125">
        <f t="shared" si="203"/>
        <v>169845.61045015222</v>
      </c>
      <c r="BV54" s="125">
        <f t="shared" si="203"/>
        <v>170216.59928518004</v>
      </c>
      <c r="BW54" s="125">
        <f t="shared" si="203"/>
        <v>170588.38958663636</v>
      </c>
      <c r="BX54" s="125">
        <f t="shared" si="203"/>
        <v>170960.98307186441</v>
      </c>
      <c r="BY54" s="125">
        <f t="shared" si="203"/>
        <v>171334.38146186492</v>
      </c>
      <c r="BZ54" s="125">
        <f t="shared" si="203"/>
        <v>171708.58648130344</v>
      </c>
      <c r="CA54" s="125">
        <f t="shared" si="203"/>
        <v>172083.59985851802</v>
      </c>
      <c r="CB54" s="125">
        <f t="shared" si="203"/>
        <v>172459.42332552746</v>
      </c>
      <c r="CC54" s="125">
        <f t="shared" si="203"/>
        <v>172836.05861803866</v>
      </c>
      <c r="CD54" s="125">
        <f t="shared" si="203"/>
        <v>173213.50747545471</v>
      </c>
      <c r="CE54" s="125">
        <f t="shared" si="203"/>
        <v>173591.77164088254</v>
      </c>
      <c r="CF54" s="125">
        <f t="shared" si="203"/>
        <v>173970.8528611408</v>
      </c>
      <c r="CG54" s="125">
        <f t="shared" si="203"/>
        <v>174350.75288676808</v>
      </c>
      <c r="CH54" s="125">
        <f t="shared" si="203"/>
        <v>174731.47347203002</v>
      </c>
      <c r="CI54" s="125">
        <f t="shared" si="203"/>
        <v>175113.01637492809</v>
      </c>
      <c r="CJ54" s="125">
        <f t="shared" si="203"/>
        <v>175495.38335720691</v>
      </c>
      <c r="CK54" s="125">
        <f t="shared" si="203"/>
        <v>175878.57618436246</v>
      </c>
      <c r="CL54" s="125">
        <f t="shared" si="203"/>
        <v>176262.59662564978</v>
      </c>
      <c r="CM54" s="125">
        <f t="shared" si="203"/>
        <v>176647.44645409135</v>
      </c>
      <c r="CN54" s="125">
        <f t="shared" si="203"/>
        <v>177033.12744648458</v>
      </c>
      <c r="CO54" s="125">
        <f t="shared" si="203"/>
        <v>177419.64138341026</v>
      </c>
      <c r="CP54" s="125">
        <f t="shared" si="203"/>
        <v>177806.99004924021</v>
      </c>
      <c r="CQ54" s="125">
        <f t="shared" si="203"/>
        <v>178195.17523214553</v>
      </c>
      <c r="CR54" s="125">
        <f t="shared" si="203"/>
        <v>178584.19872410467</v>
      </c>
      <c r="CS54" s="125">
        <f t="shared" si="203"/>
        <v>178974.06232091127</v>
      </c>
      <c r="CT54" s="125">
        <f t="shared" si="203"/>
        <v>179364.76782218256</v>
      </c>
      <c r="CU54" s="125">
        <f t="shared" si="203"/>
        <v>179756.31703136722</v>
      </c>
      <c r="CV54" s="125">
        <f t="shared" si="203"/>
        <v>180148.71175575367</v>
      </c>
      <c r="CW54" s="125">
        <f t="shared" si="203"/>
        <v>180541.95380647795</v>
      </c>
      <c r="CX54" s="125">
        <f t="shared" si="203"/>
        <v>180936.04499853213</v>
      </c>
      <c r="CY54" s="125">
        <f t="shared" si="203"/>
        <v>181330.98715077253</v>
      </c>
      <c r="CZ54" s="125">
        <f t="shared" ref="CZ54:EI54" si="204">+CZ34-CZ52</f>
        <v>181726.78208592752</v>
      </c>
      <c r="DA54" s="125">
        <f t="shared" si="204"/>
        <v>182123.43163060624</v>
      </c>
      <c r="DB54" s="125">
        <f t="shared" si="204"/>
        <v>182520.93761530629</v>
      </c>
      <c r="DC54" s="125">
        <f t="shared" si="204"/>
        <v>182919.30187442258</v>
      </c>
      <c r="DD54" s="125">
        <f t="shared" si="204"/>
        <v>183318.52624625491</v>
      </c>
      <c r="DE54" s="125">
        <f t="shared" si="204"/>
        <v>183718.61257301673</v>
      </c>
      <c r="DF54" s="125">
        <f t="shared" si="204"/>
        <v>184119.56270084338</v>
      </c>
      <c r="DG54" s="125">
        <f t="shared" si="204"/>
        <v>184521.37847980013</v>
      </c>
      <c r="DH54" s="125">
        <f t="shared" si="204"/>
        <v>184924.06176389084</v>
      </c>
      <c r="DI54" s="125">
        <f t="shared" si="204"/>
        <v>185327.61441106608</v>
      </c>
      <c r="DJ54" s="125">
        <f t="shared" si="204"/>
        <v>185732.03828323149</v>
      </c>
      <c r="DK54" s="125">
        <f t="shared" si="204"/>
        <v>186137.33524625644</v>
      </c>
      <c r="DL54" s="125">
        <f t="shared" si="204"/>
        <v>186543.50716998195</v>
      </c>
      <c r="DM54" s="125">
        <f t="shared" si="204"/>
        <v>186950.55592822965</v>
      </c>
      <c r="DN54" s="125">
        <f t="shared" si="204"/>
        <v>187358.48339880971</v>
      </c>
      <c r="DO54" s="125">
        <f t="shared" si="204"/>
        <v>187767.29146352981</v>
      </c>
      <c r="DP54" s="125">
        <f t="shared" si="204"/>
        <v>188176.98200820296</v>
      </c>
      <c r="DQ54" s="125">
        <f t="shared" si="204"/>
        <v>188587.55692265666</v>
      </c>
      <c r="DR54" s="125">
        <f t="shared" si="204"/>
        <v>188999.01810074077</v>
      </c>
      <c r="DS54" s="125">
        <f t="shared" si="204"/>
        <v>189411.36744033685</v>
      </c>
      <c r="DT54" s="125">
        <f t="shared" si="204"/>
        <v>189824.60684336576</v>
      </c>
      <c r="DU54" s="125">
        <f t="shared" si="204"/>
        <v>190238.73821579682</v>
      </c>
      <c r="DV54" s="125">
        <f t="shared" si="204"/>
        <v>190653.76346765633</v>
      </c>
      <c r="DW54" s="125">
        <f t="shared" si="204"/>
        <v>191069.68451303599</v>
      </c>
      <c r="DX54" s="125">
        <f t="shared" si="204"/>
        <v>191486.5032701015</v>
      </c>
      <c r="DY54" s="125">
        <f t="shared" si="204"/>
        <v>191904.22166110144</v>
      </c>
      <c r="DZ54" s="125">
        <f t="shared" si="204"/>
        <v>192322.84161237584</v>
      </c>
      <c r="EA54" s="125">
        <f t="shared" si="204"/>
        <v>192742.3650543644</v>
      </c>
      <c r="EB54" s="125">
        <f t="shared" si="204"/>
        <v>193162.79392161599</v>
      </c>
      <c r="EC54" s="125">
        <f t="shared" si="204"/>
        <v>193584.13015279663</v>
      </c>
      <c r="ED54" s="125">
        <f t="shared" si="204"/>
        <v>194006.37569069862</v>
      </c>
      <c r="EE54" s="125">
        <f t="shared" si="204"/>
        <v>194429.53248224917</v>
      </c>
      <c r="EF54" s="125">
        <f t="shared" si="204"/>
        <v>194853.60247851908</v>
      </c>
      <c r="EG54" s="125">
        <f t="shared" si="204"/>
        <v>195278.58763473178</v>
      </c>
      <c r="EH54" s="125">
        <f t="shared" si="204"/>
        <v>195704.4899102716</v>
      </c>
      <c r="EI54" s="125">
        <f t="shared" si="204"/>
        <v>196131.31126869319</v>
      </c>
    </row>
    <row r="55" spans="2:139" x14ac:dyDescent="0.45">
      <c r="B55" s="58" t="s">
        <v>173</v>
      </c>
      <c r="H55" s="65">
        <f t="shared" ref="H55:AM55" si="205">SUM(I54:T54,I51:T51)</f>
        <v>949248.43964218826</v>
      </c>
      <c r="I55" s="65">
        <f t="shared" si="205"/>
        <v>968825.43222345598</v>
      </c>
      <c r="J55" s="65">
        <f t="shared" si="205"/>
        <v>995840.79158204654</v>
      </c>
      <c r="K55" s="65">
        <f t="shared" si="205"/>
        <v>1030325.2458421681</v>
      </c>
      <c r="L55" s="65">
        <f t="shared" si="205"/>
        <v>1064945.180594363</v>
      </c>
      <c r="M55" s="65">
        <f t="shared" si="205"/>
        <v>1098179.963663005</v>
      </c>
      <c r="N55" s="65">
        <f t="shared" si="205"/>
        <v>1131548.5232080782</v>
      </c>
      <c r="O55" s="65">
        <f t="shared" si="205"/>
        <v>1165051.2722506628</v>
      </c>
      <c r="P55" s="65">
        <f t="shared" si="205"/>
        <v>1198688.6249519133</v>
      </c>
      <c r="Q55" s="65">
        <f t="shared" si="205"/>
        <v>1232460.9966160126</v>
      </c>
      <c r="R55" s="65">
        <f t="shared" si="205"/>
        <v>1266368.8036931397</v>
      </c>
      <c r="S55" s="65">
        <f t="shared" si="205"/>
        <v>1300412.4637824404</v>
      </c>
      <c r="T55" s="65">
        <f t="shared" si="205"/>
        <v>1334592.3956350067</v>
      </c>
      <c r="U55" s="65">
        <f t="shared" si="205"/>
        <v>1368909.0191568637</v>
      </c>
      <c r="V55" s="65">
        <f t="shared" si="205"/>
        <v>1403362.7554119653</v>
      </c>
      <c r="W55" s="65">
        <f t="shared" si="205"/>
        <v>1443093.0852197283</v>
      </c>
      <c r="X55" s="65">
        <f t="shared" si="205"/>
        <v>1488121.5997309901</v>
      </c>
      <c r="Y55" s="65">
        <f t="shared" si="205"/>
        <v>1538469.9568003463</v>
      </c>
      <c r="Z55" s="65">
        <f t="shared" si="205"/>
        <v>1586319.4913541004</v>
      </c>
      <c r="AA55" s="65">
        <f t="shared" si="205"/>
        <v>1631659.573124148</v>
      </c>
      <c r="AB55" s="65">
        <f t="shared" si="205"/>
        <v>1674479.5383952127</v>
      </c>
      <c r="AC55" s="65">
        <f t="shared" si="205"/>
        <v>1714768.689911627</v>
      </c>
      <c r="AD55" s="65">
        <f t="shared" si="205"/>
        <v>1752516.2967838589</v>
      </c>
      <c r="AE55" s="65">
        <f t="shared" si="205"/>
        <v>1787711.5943948017</v>
      </c>
      <c r="AF55" s="65">
        <f t="shared" si="205"/>
        <v>1820343.7843058184</v>
      </c>
      <c r="AG55" s="65">
        <f t="shared" si="205"/>
        <v>1850402.0341625395</v>
      </c>
      <c r="AH55" s="65">
        <f t="shared" si="205"/>
        <v>1877875.4776004159</v>
      </c>
      <c r="AI55" s="65">
        <f t="shared" si="205"/>
        <v>1897614.1555554906</v>
      </c>
      <c r="AJ55" s="65">
        <f t="shared" si="205"/>
        <v>1909585.9655965103</v>
      </c>
      <c r="AK55" s="65">
        <f t="shared" si="205"/>
        <v>1913758.7054604182</v>
      </c>
      <c r="AL55" s="65">
        <f t="shared" si="205"/>
        <v>1917940.4625919911</v>
      </c>
      <c r="AM55" s="65">
        <f t="shared" si="205"/>
        <v>1922131.2563173019</v>
      </c>
      <c r="AN55" s="65">
        <f t="shared" ref="AN55:BS55" si="206">SUM(AO54:AZ54,AO51:AZ51)</f>
        <v>1926331.1060035878</v>
      </c>
      <c r="AO55" s="65">
        <f t="shared" si="206"/>
        <v>1930540.0310593352</v>
      </c>
      <c r="AP55" s="65">
        <f t="shared" si="206"/>
        <v>1934758.0509343678</v>
      </c>
      <c r="AQ55" s="65">
        <f t="shared" si="206"/>
        <v>1938985.1851199351</v>
      </c>
      <c r="AR55" s="65">
        <f t="shared" si="206"/>
        <v>1943221.4531487995</v>
      </c>
      <c r="AS55" s="65">
        <f t="shared" si="206"/>
        <v>1947466.8745953238</v>
      </c>
      <c r="AT55" s="65">
        <f t="shared" si="206"/>
        <v>1951721.4690755596</v>
      </c>
      <c r="AU55" s="65">
        <f t="shared" si="206"/>
        <v>1955985.2562473374</v>
      </c>
      <c r="AV55" s="65">
        <f t="shared" si="206"/>
        <v>1960258.2558103532</v>
      </c>
      <c r="AW55" s="65">
        <f t="shared" si="206"/>
        <v>1964540.4875062571</v>
      </c>
      <c r="AX55" s="65">
        <f t="shared" si="206"/>
        <v>1968831.9711187435</v>
      </c>
      <c r="AY55" s="65">
        <f t="shared" si="206"/>
        <v>1973132.7264736395</v>
      </c>
      <c r="AZ55" s="65">
        <f t="shared" si="206"/>
        <v>1977442.7734389948</v>
      </c>
      <c r="BA55" s="65">
        <f t="shared" si="206"/>
        <v>1981762.1319251696</v>
      </c>
      <c r="BB55" s="65">
        <f t="shared" si="206"/>
        <v>1986090.8218849266</v>
      </c>
      <c r="BC55" s="65">
        <f t="shared" si="206"/>
        <v>1990428.8633135187</v>
      </c>
      <c r="BD55" s="65">
        <f t="shared" si="206"/>
        <v>1994776.276248781</v>
      </c>
      <c r="BE55" s="65">
        <f t="shared" si="206"/>
        <v>1999133.0807712201</v>
      </c>
      <c r="BF55" s="65">
        <f t="shared" si="206"/>
        <v>2003499.2970041034</v>
      </c>
      <c r="BG55" s="65">
        <f t="shared" si="206"/>
        <v>2007874.9451135513</v>
      </c>
      <c r="BH55" s="65">
        <f t="shared" si="206"/>
        <v>2012260.0453086288</v>
      </c>
      <c r="BI55" s="65">
        <f t="shared" si="206"/>
        <v>2016654.6178414342</v>
      </c>
      <c r="BJ55" s="65">
        <f t="shared" si="206"/>
        <v>2021058.6830071909</v>
      </c>
      <c r="BK55" s="65">
        <f t="shared" si="206"/>
        <v>2025472.261144341</v>
      </c>
      <c r="BL55" s="65">
        <f t="shared" si="206"/>
        <v>2029895.3726346334</v>
      </c>
      <c r="BM55" s="65">
        <f t="shared" si="206"/>
        <v>2034328.0379032188</v>
      </c>
      <c r="BN55" s="65">
        <f t="shared" si="206"/>
        <v>2038770.2774187399</v>
      </c>
      <c r="BO55" s="65">
        <f t="shared" si="206"/>
        <v>2043222.1116934239</v>
      </c>
      <c r="BP55" s="65">
        <f t="shared" si="206"/>
        <v>2047683.5612831744</v>
      </c>
      <c r="BQ55" s="65">
        <f t="shared" si="206"/>
        <v>2052154.6467876658</v>
      </c>
      <c r="BR55" s="65">
        <f t="shared" si="206"/>
        <v>2056635.3888504331</v>
      </c>
      <c r="BS55" s="65">
        <f t="shared" si="206"/>
        <v>2061125.8081589681</v>
      </c>
      <c r="BT55" s="65">
        <f t="shared" ref="BT55:CM55" si="207">SUM(BU54:CF54,BU51:CF51)</f>
        <v>2065625.9254448093</v>
      </c>
      <c r="BU55" s="65">
        <f t="shared" si="207"/>
        <v>2070135.7614836388</v>
      </c>
      <c r="BV55" s="65">
        <f t="shared" si="207"/>
        <v>2074655.3370953731</v>
      </c>
      <c r="BW55" s="65">
        <f t="shared" si="207"/>
        <v>2079184.6731442572</v>
      </c>
      <c r="BX55" s="65">
        <f t="shared" si="207"/>
        <v>2083723.7905389594</v>
      </c>
      <c r="BY55" s="65">
        <f t="shared" si="207"/>
        <v>2088272.7102326655</v>
      </c>
      <c r="BZ55" s="65">
        <f t="shared" si="207"/>
        <v>2092831.4532231728</v>
      </c>
      <c r="CA55" s="65">
        <f t="shared" si="207"/>
        <v>2097400.0405529845</v>
      </c>
      <c r="CB55" s="65">
        <f t="shared" si="207"/>
        <v>2101978.4933094028</v>
      </c>
      <c r="CC55" s="65">
        <f t="shared" si="207"/>
        <v>2106566.8326246282</v>
      </c>
      <c r="CD55" s="65">
        <f t="shared" si="207"/>
        <v>2111165.0796758509</v>
      </c>
      <c r="CE55" s="65">
        <f t="shared" si="207"/>
        <v>2115773.2556853462</v>
      </c>
      <c r="CF55" s="65">
        <f t="shared" si="207"/>
        <v>2120391.3819205733</v>
      </c>
      <c r="CG55" s="65">
        <f t="shared" si="207"/>
        <v>2125019.4796942668</v>
      </c>
      <c r="CH55" s="65">
        <f t="shared" si="207"/>
        <v>2129657.5703645358</v>
      </c>
      <c r="CI55" s="65">
        <f t="shared" si="207"/>
        <v>2134305.6753349579</v>
      </c>
      <c r="CJ55" s="65">
        <f t="shared" si="207"/>
        <v>2138963.8160546776</v>
      </c>
      <c r="CK55" s="65">
        <f t="shared" si="207"/>
        <v>2143632.0140185016</v>
      </c>
      <c r="CL55" s="65">
        <f t="shared" si="207"/>
        <v>2148310.2907669949</v>
      </c>
      <c r="CM55" s="65">
        <f t="shared" si="207"/>
        <v>2152998.6678865794</v>
      </c>
      <c r="CN55" s="65">
        <f t="shared" ref="CN55:CV55" si="208">SUM(CO54:EI54,CO51:EI51)</f>
        <v>8783080.2714019213</v>
      </c>
      <c r="CO55" s="65">
        <f t="shared" si="208"/>
        <v>8605420.2181953844</v>
      </c>
      <c r="CP55" s="65">
        <f t="shared" si="208"/>
        <v>8427372.4156366494</v>
      </c>
      <c r="CQ55" s="65">
        <f t="shared" si="208"/>
        <v>8248936.0265408223</v>
      </c>
      <c r="CR55" s="65">
        <f t="shared" si="208"/>
        <v>8070110.2119299322</v>
      </c>
      <c r="CS55" s="65">
        <f t="shared" si="208"/>
        <v>7890894.1310290908</v>
      </c>
      <c r="CT55" s="65">
        <f t="shared" si="208"/>
        <v>7711286.9412626764</v>
      </c>
      <c r="CU55" s="65">
        <f t="shared" si="208"/>
        <v>7531287.7982505048</v>
      </c>
      <c r="CV55" s="65">
        <f t="shared" si="208"/>
        <v>7350895.8558039777</v>
      </c>
      <c r="CW55" s="65">
        <f t="shared" ref="CW55:EI55" si="209">SUM(CX54:ER54,CX51:ER51)</f>
        <v>7170110.2659222428</v>
      </c>
      <c r="CX55" s="65">
        <f t="shared" si="209"/>
        <v>6988930.1787883285</v>
      </c>
      <c r="CY55" s="65">
        <f t="shared" si="209"/>
        <v>6807354.7427652804</v>
      </c>
      <c r="CZ55" s="65">
        <f t="shared" si="209"/>
        <v>6625383.104392291</v>
      </c>
      <c r="DA55" s="65">
        <f t="shared" si="209"/>
        <v>6443014.4083808102</v>
      </c>
      <c r="DB55" s="65">
        <f t="shared" si="209"/>
        <v>6260247.7976106619</v>
      </c>
      <c r="DC55" s="65">
        <f t="shared" si="209"/>
        <v>6077082.4131261399</v>
      </c>
      <c r="DD55" s="65">
        <f t="shared" si="209"/>
        <v>5893517.394132101</v>
      </c>
      <c r="DE55" s="65">
        <f t="shared" si="209"/>
        <v>5709551.8779900549</v>
      </c>
      <c r="DF55" s="65">
        <f t="shared" si="209"/>
        <v>5525185.0002142331</v>
      </c>
      <c r="DG55" s="65">
        <f t="shared" si="209"/>
        <v>5340415.894467663</v>
      </c>
      <c r="DH55" s="65">
        <f t="shared" si="209"/>
        <v>5155243.6925582243</v>
      </c>
      <c r="DI55" s="65">
        <f t="shared" si="209"/>
        <v>4969667.5244347015</v>
      </c>
      <c r="DJ55" s="65">
        <f t="shared" si="209"/>
        <v>4783686.5181828253</v>
      </c>
      <c r="DK55" s="65">
        <f t="shared" si="209"/>
        <v>4597299.8000213094</v>
      </c>
      <c r="DL55" s="65">
        <f t="shared" si="209"/>
        <v>4410506.494297877</v>
      </c>
      <c r="DM55" s="65">
        <f t="shared" si="209"/>
        <v>4223305.7234852733</v>
      </c>
      <c r="DN55" s="65">
        <f t="shared" si="209"/>
        <v>4035696.6081772847</v>
      </c>
      <c r="DO55" s="65">
        <f t="shared" si="209"/>
        <v>3847678.2670847257</v>
      </c>
      <c r="DP55" s="65">
        <f t="shared" si="209"/>
        <v>3659249.817031445</v>
      </c>
      <c r="DQ55" s="65">
        <f t="shared" si="209"/>
        <v>3470410.3729503024</v>
      </c>
      <c r="DR55" s="65">
        <f t="shared" si="209"/>
        <v>3281159.047879145</v>
      </c>
      <c r="DS55" s="65">
        <f t="shared" si="209"/>
        <v>3091494.9529567733</v>
      </c>
      <c r="DT55" s="65">
        <f t="shared" si="209"/>
        <v>2901417.1974189035</v>
      </c>
      <c r="DU55" s="65">
        <f t="shared" si="209"/>
        <v>2710924.8885941114</v>
      </c>
      <c r="DV55" s="65">
        <f t="shared" si="209"/>
        <v>2520017.1318997783</v>
      </c>
      <c r="DW55" s="65">
        <f t="shared" si="209"/>
        <v>2328693.0308380211</v>
      </c>
      <c r="DX55" s="65">
        <f t="shared" si="209"/>
        <v>2136951.6869916166</v>
      </c>
      <c r="DY55" s="65">
        <f t="shared" si="209"/>
        <v>1944792.2000199195</v>
      </c>
      <c r="DZ55" s="65">
        <f t="shared" si="209"/>
        <v>1752213.667654763</v>
      </c>
      <c r="EA55" s="65">
        <f t="shared" si="209"/>
        <v>1559215.1856963628</v>
      </c>
      <c r="EB55" s="65">
        <f t="shared" si="209"/>
        <v>1365795.8480092047</v>
      </c>
      <c r="EC55" s="65">
        <f t="shared" si="209"/>
        <v>1171954.7465179234</v>
      </c>
      <c r="ED55" s="65">
        <f t="shared" si="209"/>
        <v>977690.97120317607</v>
      </c>
      <c r="EE55" s="65">
        <f t="shared" si="209"/>
        <v>783003.61009750469</v>
      </c>
      <c r="EF55" s="65">
        <f t="shared" si="209"/>
        <v>587891.74928119103</v>
      </c>
      <c r="EG55" s="65">
        <f t="shared" si="209"/>
        <v>392354.47287810163</v>
      </c>
      <c r="EH55" s="65">
        <f t="shared" si="209"/>
        <v>196390.8630515252</v>
      </c>
      <c r="EI55" s="65">
        <f t="shared" si="209"/>
        <v>0</v>
      </c>
    </row>
    <row r="56" spans="2:139" x14ac:dyDescent="0.45"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65"/>
      <c r="BH56" s="65"/>
      <c r="BI56" s="65"/>
      <c r="BJ56" s="65"/>
      <c r="BK56" s="65"/>
      <c r="BL56" s="65"/>
      <c r="BM56" s="65"/>
      <c r="BN56" s="65"/>
      <c r="BO56" s="65"/>
      <c r="BP56" s="65"/>
      <c r="BQ56" s="65"/>
      <c r="BR56" s="65"/>
      <c r="BS56" s="65"/>
      <c r="BT56" s="65"/>
      <c r="BU56" s="65"/>
      <c r="BV56" s="65"/>
      <c r="BW56" s="65"/>
      <c r="BX56" s="65"/>
      <c r="BY56" s="65"/>
      <c r="BZ56" s="65"/>
      <c r="CA56" s="65"/>
      <c r="CB56" s="65"/>
      <c r="CC56" s="65"/>
      <c r="CD56" s="65"/>
      <c r="CE56" s="65"/>
      <c r="CF56" s="65"/>
      <c r="CG56" s="65"/>
      <c r="CH56" s="65"/>
      <c r="CI56" s="65"/>
      <c r="CJ56" s="65"/>
      <c r="CK56" s="65"/>
      <c r="CL56" s="65"/>
      <c r="CM56" s="65"/>
      <c r="CN56" s="65"/>
      <c r="CO56" s="65"/>
      <c r="CP56" s="65"/>
      <c r="CQ56" s="65"/>
      <c r="CR56" s="65"/>
      <c r="CS56" s="65"/>
      <c r="CT56" s="65"/>
      <c r="CU56" s="65"/>
      <c r="CV56" s="65"/>
      <c r="CW56" s="65"/>
      <c r="CX56" s="65"/>
      <c r="CY56" s="65"/>
      <c r="CZ56" s="65"/>
      <c r="DA56" s="65"/>
      <c r="DB56" s="65"/>
      <c r="DC56" s="65"/>
      <c r="DD56" s="65"/>
      <c r="DE56" s="65"/>
      <c r="DF56" s="65"/>
      <c r="DG56" s="65"/>
      <c r="DH56" s="65"/>
      <c r="DI56" s="65"/>
      <c r="DJ56" s="65"/>
      <c r="DK56" s="65"/>
      <c r="DL56" s="65"/>
      <c r="DM56" s="65"/>
      <c r="DN56" s="65"/>
      <c r="DO56" s="65"/>
      <c r="DP56" s="65"/>
      <c r="DQ56" s="65"/>
      <c r="DR56" s="65"/>
      <c r="DS56" s="65"/>
      <c r="DT56" s="65"/>
      <c r="DU56" s="65"/>
      <c r="DV56" s="65"/>
      <c r="DW56" s="65"/>
      <c r="DX56" s="65"/>
      <c r="DY56" s="65"/>
      <c r="DZ56" s="65"/>
      <c r="EA56" s="65"/>
      <c r="EB56" s="65"/>
      <c r="EC56" s="65"/>
      <c r="ED56" s="65"/>
      <c r="EE56" s="65"/>
      <c r="EF56" s="65"/>
      <c r="EG56" s="65"/>
      <c r="EH56" s="65"/>
      <c r="EI56" s="65"/>
    </row>
    <row r="57" spans="2:139" x14ac:dyDescent="0.45">
      <c r="B57" s="67" t="s">
        <v>151</v>
      </c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65"/>
      <c r="BH57" s="65"/>
      <c r="BI57" s="65"/>
      <c r="BJ57" s="65"/>
      <c r="BK57" s="65"/>
      <c r="BL57" s="65"/>
      <c r="BM57" s="65"/>
      <c r="BN57" s="65"/>
      <c r="BO57" s="65"/>
      <c r="BP57" s="65"/>
      <c r="BQ57" s="65"/>
      <c r="BR57" s="65"/>
      <c r="BS57" s="65"/>
      <c r="BT57" s="65"/>
      <c r="BU57" s="65"/>
      <c r="BV57" s="65"/>
      <c r="BW57" s="65"/>
      <c r="BX57" s="65"/>
      <c r="BY57" s="65"/>
      <c r="BZ57" s="65"/>
      <c r="CA57" s="65"/>
      <c r="CB57" s="65"/>
      <c r="CC57" s="65"/>
      <c r="CD57" s="65"/>
      <c r="CE57" s="65"/>
      <c r="CF57" s="65"/>
      <c r="CG57" s="65"/>
      <c r="CH57" s="65"/>
      <c r="CI57" s="65"/>
      <c r="CJ57" s="65"/>
      <c r="CK57" s="65"/>
      <c r="CL57" s="65"/>
      <c r="CM57" s="65"/>
      <c r="CN57" s="65"/>
      <c r="CO57" s="65"/>
      <c r="CP57" s="65"/>
      <c r="CQ57" s="65"/>
      <c r="CR57" s="65"/>
      <c r="CS57" s="65"/>
      <c r="CT57" s="65"/>
      <c r="CU57" s="65"/>
      <c r="CV57" s="65"/>
      <c r="CW57" s="65"/>
      <c r="CX57" s="65"/>
      <c r="CY57" s="65"/>
      <c r="CZ57" s="65"/>
      <c r="DA57" s="65"/>
      <c r="DB57" s="65"/>
      <c r="DC57" s="65"/>
      <c r="DD57" s="65"/>
      <c r="DE57" s="65"/>
      <c r="DF57" s="65"/>
      <c r="DG57" s="65"/>
      <c r="DH57" s="65"/>
      <c r="DI57" s="65"/>
      <c r="DJ57" s="65"/>
      <c r="DK57" s="65"/>
      <c r="DL57" s="65"/>
      <c r="DM57" s="65"/>
      <c r="DN57" s="65"/>
      <c r="DO57" s="65"/>
      <c r="DP57" s="65"/>
      <c r="DQ57" s="65"/>
      <c r="DR57" s="65"/>
      <c r="DS57" s="65"/>
      <c r="DT57" s="65"/>
      <c r="DU57" s="65"/>
      <c r="DV57" s="65"/>
      <c r="DW57" s="65"/>
      <c r="DX57" s="65"/>
      <c r="DY57" s="65"/>
      <c r="DZ57" s="65"/>
      <c r="EA57" s="65"/>
      <c r="EB57" s="65"/>
      <c r="EC57" s="65"/>
      <c r="ED57" s="65"/>
      <c r="EE57" s="65"/>
      <c r="EF57" s="65"/>
      <c r="EG57" s="65"/>
      <c r="EH57" s="65"/>
      <c r="EI57" s="65"/>
    </row>
    <row r="58" spans="2:139" x14ac:dyDescent="0.45">
      <c r="B58" s="58" t="str">
        <f>+Assumptions!B167</f>
        <v>Reserves</v>
      </c>
      <c r="H58" s="65">
        <f>+Assumptions!$G$167*H34</f>
        <v>1359.3678800000007</v>
      </c>
      <c r="I58" s="65">
        <f>+Assumptions!$G$167*I34</f>
        <v>1309.7548486979174</v>
      </c>
      <c r="J58" s="65">
        <f>+Assumptions!$G$167*J34</f>
        <v>1259.9334458069798</v>
      </c>
      <c r="K58" s="65">
        <f>+Assumptions!$G$167*K34</f>
        <v>1209.9030246483885</v>
      </c>
      <c r="L58" s="65">
        <f>+Assumptions!$G$167*L34</f>
        <v>1238.4460663855475</v>
      </c>
      <c r="M58" s="65">
        <f>+Assumptions!$G$167*M34</f>
        <v>1282.7837047821633</v>
      </c>
      <c r="N58" s="65">
        <f>+Assumptions!$G$167*N34</f>
        <v>1311.5806279324054</v>
      </c>
      <c r="O58" s="65">
        <f>+Assumptions!$G$167*O34</f>
        <v>1340.4919937347984</v>
      </c>
      <c r="P58" s="65">
        <f>+Assumptions!$G$167*P34</f>
        <v>1369.5181540855972</v>
      </c>
      <c r="Q58" s="65">
        <f>+Assumptions!$G$167*Q34</f>
        <v>1398.6594618506431</v>
      </c>
      <c r="R58" s="65">
        <f>+Assumptions!$G$167*R34</f>
        <v>1427.9162708678743</v>
      </c>
      <c r="S58" s="65">
        <f>+Assumptions!$G$167*S34</f>
        <v>1457.2889359498474</v>
      </c>
      <c r="T58" s="65">
        <f>+Assumptions!$G$167*T34</f>
        <v>1486.7778128862619</v>
      </c>
      <c r="U58" s="65">
        <f>+Assumptions!$G$167*U34</f>
        <v>1516.383258446491</v>
      </c>
      <c r="V58" s="65">
        <f>+Assumptions!$G$167*V34</f>
        <v>1546.1056303821199</v>
      </c>
      <c r="W58" s="65">
        <f>+Assumptions!$G$167*W34</f>
        <v>1575.9452874294902</v>
      </c>
      <c r="X58" s="65">
        <f>+Assumptions!$G$167*X34</f>
        <v>1605.9025893122505</v>
      </c>
      <c r="Y58" s="65">
        <f>+Assumptions!$G$167*Y34</f>
        <v>1635.9778967439124</v>
      </c>
      <c r="Z58" s="65">
        <f>+Assumptions!$G$167*Z34</f>
        <v>1666.1715714304144</v>
      </c>
      <c r="AA58" s="65">
        <f>+Assumptions!$G$167*AA34</f>
        <v>1696.4839760726929</v>
      </c>
      <c r="AB58" s="65">
        <f>+Assumptions!$G$167*AB34</f>
        <v>1726.9154743692552</v>
      </c>
      <c r="AC58" s="65">
        <f>+Assumptions!$G$167*AC34</f>
        <v>1757.4664310187636</v>
      </c>
      <c r="AD58" s="65">
        <f>+Assumptions!$G$167*AD34</f>
        <v>1788.1372117226251</v>
      </c>
      <c r="AE58" s="65">
        <f>+Assumptions!$G$167*AE34</f>
        <v>1818.928183187586</v>
      </c>
      <c r="AF58" s="65">
        <f>+Assumptions!$G$167*AF34</f>
        <v>1849.8397131283323</v>
      </c>
      <c r="AG58" s="65">
        <f>+Assumptions!$G$167*AG34</f>
        <v>1880.8721702701</v>
      </c>
      <c r="AH58" s="65">
        <f>+Assumptions!$G$167*AH34</f>
        <v>1912.0259243512889</v>
      </c>
      <c r="AI58" s="65">
        <f>+Assumptions!$G$167*AI34</f>
        <v>1999.2541292247647</v>
      </c>
      <c r="AJ58" s="65">
        <f>+Assumptions!$G$167*AJ34</f>
        <v>2086.832507240425</v>
      </c>
      <c r="AK58" s="65">
        <f>+Assumptions!$G$167*AK34</f>
        <v>2174.7621316023501</v>
      </c>
      <c r="AL58" s="65">
        <f>+Assumptions!$G$167*AL34</f>
        <v>2179.2276311058763</v>
      </c>
      <c r="AM58" s="65">
        <f>+Assumptions!$G$167*AM34</f>
        <v>2183.7023249751392</v>
      </c>
      <c r="AN58" s="65">
        <f>+Assumptions!$G$167*AN34</f>
        <v>2188.1862321838034</v>
      </c>
      <c r="AO58" s="65">
        <f>+Assumptions!$G$167*AO34</f>
        <v>2192.6793717447608</v>
      </c>
      <c r="AP58" s="65">
        <f>+Assumptions!$G$167*AP34</f>
        <v>2197.1817627102096</v>
      </c>
      <c r="AQ58" s="65">
        <f>+Assumptions!$G$167*AQ34</f>
        <v>2201.693424171739</v>
      </c>
      <c r="AR58" s="65">
        <f>+Assumptions!$G$167*AR34</f>
        <v>2206.2143752604061</v>
      </c>
      <c r="AS58" s="65">
        <f>+Assumptions!$G$167*AS34</f>
        <v>2210.7446351468216</v>
      </c>
      <c r="AT58" s="65">
        <f>+Assumptions!$G$167*AT34</f>
        <v>2215.2842230412307</v>
      </c>
      <c r="AU58" s="65">
        <f>+Assumptions!$G$167*AU34</f>
        <v>2219.8331581935936</v>
      </c>
      <c r="AV58" s="65">
        <f>+Assumptions!$G$167*AV34</f>
        <v>2224.3914598936699</v>
      </c>
      <c r="AW58" s="65">
        <f>+Assumptions!$G$167*AW34</f>
        <v>2228.9591474711001</v>
      </c>
      <c r="AX58" s="65">
        <f>+Assumptions!$G$167*AX34</f>
        <v>2233.5362402954879</v>
      </c>
      <c r="AY58" s="65">
        <f>+Assumptions!$G$167*AY34</f>
        <v>2238.122757776483</v>
      </c>
      <c r="AZ58" s="65">
        <f>+Assumptions!$G$167*AZ34</f>
        <v>2242.7187193638642</v>
      </c>
      <c r="BA58" s="65">
        <f>+Assumptions!$G$167*BA34</f>
        <v>2247.3241445476219</v>
      </c>
      <c r="BB58" s="65">
        <f>+Assumptions!$G$167*BB34</f>
        <v>2251.9390528580439</v>
      </c>
      <c r="BC58" s="65">
        <f>+Assumptions!$G$167*BC34</f>
        <v>2256.5634638657943</v>
      </c>
      <c r="BD58" s="65">
        <f>+Assumptions!$G$167*BD34</f>
        <v>2261.1973971820016</v>
      </c>
      <c r="BE58" s="65">
        <f>+Assumptions!$G$167*BE34</f>
        <v>2265.8408724583392</v>
      </c>
      <c r="BF58" s="65">
        <f>+Assumptions!$G$167*BF34</f>
        <v>2270.4939093871117</v>
      </c>
      <c r="BG58" s="65">
        <f>+Assumptions!$G$167*BG34</f>
        <v>2275.1565277013378</v>
      </c>
      <c r="BH58" s="65">
        <f>+Assumptions!$G$167*BH34</f>
        <v>2279.8287471748349</v>
      </c>
      <c r="BI58" s="65">
        <f>+Assumptions!$G$167*BI34</f>
        <v>2284.5105876223029</v>
      </c>
      <c r="BJ58" s="65">
        <f>+Assumptions!$G$167*BJ34</f>
        <v>2289.2020688994103</v>
      </c>
      <c r="BK58" s="65">
        <f>+Assumptions!$G$167*BK34</f>
        <v>2293.9032109028776</v>
      </c>
      <c r="BL58" s="65">
        <f>+Assumptions!$G$167*BL34</f>
        <v>2298.6140335705627</v>
      </c>
      <c r="BM58" s="65">
        <f>+Assumptions!$G$167*BM34</f>
        <v>2303.3345568815475</v>
      </c>
      <c r="BN58" s="65">
        <f>+Assumptions!$G$167*BN34</f>
        <v>2308.0648008562212</v>
      </c>
      <c r="BO58" s="65">
        <f>+Assumptions!$G$167*BO34</f>
        <v>2312.8047855563655</v>
      </c>
      <c r="BP58" s="65">
        <f>+Assumptions!$G$167*BP34</f>
        <v>2317.554531085244</v>
      </c>
      <c r="BQ58" s="65">
        <f>+Assumptions!$G$167*BQ34</f>
        <v>2322.3140575876837</v>
      </c>
      <c r="BR58" s="65">
        <f>+Assumptions!$G$167*BR34</f>
        <v>2327.0833852501632</v>
      </c>
      <c r="BS58" s="65">
        <f>+Assumptions!$G$167*BS34</f>
        <v>2331.8625343008994</v>
      </c>
      <c r="BT58" s="65">
        <f>+Assumptions!$G$167*BT34</f>
        <v>2336.6515250099324</v>
      </c>
      <c r="BU58" s="65">
        <f>+Assumptions!$G$167*BU34</f>
        <v>2341.4503776892138</v>
      </c>
      <c r="BV58" s="65">
        <f>+Assumptions!$G$167*BV34</f>
        <v>2346.2591126926914</v>
      </c>
      <c r="BW58" s="65">
        <f>+Assumptions!$G$167*BW34</f>
        <v>2351.0777504163993</v>
      </c>
      <c r="BX58" s="65">
        <f>+Assumptions!$G$167*BX34</f>
        <v>2355.90631129854</v>
      </c>
      <c r="BY58" s="65">
        <f>+Assumptions!$G$167*BY34</f>
        <v>2360.7448158195775</v>
      </c>
      <c r="BZ58" s="65">
        <f>+Assumptions!$G$167*BZ34</f>
        <v>2365.5932845023221</v>
      </c>
      <c r="CA58" s="65">
        <f>+Assumptions!$G$167*CA34</f>
        <v>2370.4517379120166</v>
      </c>
      <c r="CB58" s="65">
        <f>+Assumptions!$G$167*CB34</f>
        <v>2375.3201966564257</v>
      </c>
      <c r="CC58" s="65">
        <f>+Assumptions!$G$167*CC34</f>
        <v>2380.1986813859248</v>
      </c>
      <c r="CD58" s="65">
        <f>+Assumptions!$G$167*CD34</f>
        <v>2385.0872127935886</v>
      </c>
      <c r="CE58" s="65">
        <f>+Assumptions!$G$167*CE34</f>
        <v>2389.9858116152759</v>
      </c>
      <c r="CF58" s="65">
        <f>+Assumptions!$G$167*CF34</f>
        <v>2394.8944986297224</v>
      </c>
      <c r="CG58" s="65">
        <f>+Assumptions!$G$167*CG34</f>
        <v>2399.8132946586279</v>
      </c>
      <c r="CH58" s="65">
        <f>+Assumptions!$G$167*CH34</f>
        <v>2404.7422205667426</v>
      </c>
      <c r="CI58" s="65">
        <f>+Assumptions!$G$167*CI34</f>
        <v>2409.6812972619628</v>
      </c>
      <c r="CJ58" s="65">
        <f>+Assumptions!$G$167*CJ34</f>
        <v>2414.6305456954124</v>
      </c>
      <c r="CK58" s="65">
        <f>+Assumptions!$G$167*CK34</f>
        <v>2419.5899868615393</v>
      </c>
      <c r="CL58" s="65">
        <f>+Assumptions!$G$167*CL34</f>
        <v>2424.5596417981992</v>
      </c>
      <c r="CM58" s="65">
        <f>+Assumptions!$G$167*CM34</f>
        <v>2429.5395315867509</v>
      </c>
      <c r="CN58" s="65">
        <f>+Assumptions!$G$167*CN34</f>
        <v>2434.5296773521422</v>
      </c>
      <c r="CO58" s="65">
        <f>+Assumptions!$G$167*CO34</f>
        <v>2439.5301002630026</v>
      </c>
      <c r="CP58" s="65">
        <f>+Assumptions!$G$167*CP34</f>
        <v>2444.5408215317325</v>
      </c>
      <c r="CQ58" s="65">
        <f>+Assumptions!$G$167*CQ34</f>
        <v>2449.5618624145941</v>
      </c>
      <c r="CR58" s="65">
        <f>+Assumptions!$G$167*CR34</f>
        <v>2454.5932442118024</v>
      </c>
      <c r="CS58" s="65">
        <f>+Assumptions!$G$167*CS34</f>
        <v>2459.6349882676172</v>
      </c>
      <c r="CT58" s="65">
        <f>+Assumptions!$G$167*CT34</f>
        <v>2464.6871159704319</v>
      </c>
      <c r="CU58" s="65">
        <f>+Assumptions!$G$167*CU34</f>
        <v>2469.7496487528679</v>
      </c>
      <c r="CV58" s="65">
        <f>+Assumptions!$G$167*CV34</f>
        <v>2474.822608091863</v>
      </c>
      <c r="CW58" s="65">
        <f>+Assumptions!$G$167*CW34</f>
        <v>2479.906015508765</v>
      </c>
      <c r="CX58" s="65">
        <f>+Assumptions!$G$167*CX34</f>
        <v>2484.9998925694249</v>
      </c>
      <c r="CY58" s="65">
        <f>+Assumptions!$G$167*CY34</f>
        <v>2490.1042608842868</v>
      </c>
      <c r="CZ58" s="65">
        <f>+Assumptions!$G$167*CZ34</f>
        <v>2495.219142108479</v>
      </c>
      <c r="DA58" s="65">
        <f>+Assumptions!$G$167*DA34</f>
        <v>2500.3445579419126</v>
      </c>
      <c r="DB58" s="65">
        <f>+Assumptions!$G$167*DB34</f>
        <v>2505.4805301293663</v>
      </c>
      <c r="DC58" s="65">
        <f>+Assumptions!$G$167*DC34</f>
        <v>2510.6270804605865</v>
      </c>
      <c r="DD58" s="65">
        <f>+Assumptions!$G$167*DD34</f>
        <v>2515.7842307703741</v>
      </c>
      <c r="DE58" s="65">
        <f>+Assumptions!$G$167*DE34</f>
        <v>2520.9520029386831</v>
      </c>
      <c r="DF58" s="65">
        <f>+Assumptions!$G$167*DF34</f>
        <v>2526.1304188907111</v>
      </c>
      <c r="DG58" s="65">
        <f>+Assumptions!$G$167*DG34</f>
        <v>2531.3195005969933</v>
      </c>
      <c r="DH58" s="65">
        <f>+Assumptions!$G$167*DH34</f>
        <v>2536.519270073497</v>
      </c>
      <c r="DI58" s="65">
        <f>+Assumptions!$G$167*DI34</f>
        <v>2541.7297493817164</v>
      </c>
      <c r="DJ58" s="65">
        <f>+Assumptions!$G$167*DJ34</f>
        <v>2546.9509606287647</v>
      </c>
      <c r="DK58" s="65">
        <f>+Assumptions!$G$167*DK34</f>
        <v>2552.182925967471</v>
      </c>
      <c r="DL58" s="65">
        <f>+Assumptions!$G$167*DL34</f>
        <v>2557.425667596473</v>
      </c>
      <c r="DM58" s="65">
        <f>+Assumptions!$G$167*DM34</f>
        <v>2562.6792077603131</v>
      </c>
      <c r="DN58" s="65">
        <f>+Assumptions!$G$167*DN34</f>
        <v>2567.9435687495325</v>
      </c>
      <c r="DO58" s="65">
        <f>+Assumptions!$G$167*DO34</f>
        <v>2573.2187729007687</v>
      </c>
      <c r="DP58" s="65">
        <f>+Assumptions!$G$167*DP34</f>
        <v>2578.5048425968471</v>
      </c>
      <c r="DQ58" s="65">
        <f>+Assumptions!$G$167*DQ34</f>
        <v>2583.8018002668796</v>
      </c>
      <c r="DR58" s="65">
        <f>+Assumptions!$G$167*DR34</f>
        <v>2589.1096683863593</v>
      </c>
      <c r="DS58" s="65">
        <f>+Assumptions!$G$167*DS34</f>
        <v>2594.4284694772591</v>
      </c>
      <c r="DT58" s="65">
        <f>+Assumptions!$G$167*DT34</f>
        <v>2599.7582261081234</v>
      </c>
      <c r="DU58" s="65">
        <f>+Assumptions!$G$167*DU34</f>
        <v>2605.0989608941677</v>
      </c>
      <c r="DV58" s="65">
        <f>+Assumptions!$G$167*DV34</f>
        <v>2610.4506964973748</v>
      </c>
      <c r="DW58" s="65">
        <f>+Assumptions!$G$167*DW34</f>
        <v>2615.8134556265909</v>
      </c>
      <c r="DX58" s="65">
        <f>+Assumptions!$G$167*DX34</f>
        <v>2621.1872610376226</v>
      </c>
      <c r="DY58" s="65">
        <f>+Assumptions!$G$167*DY34</f>
        <v>2626.5721355333362</v>
      </c>
      <c r="DZ58" s="65">
        <f>+Assumptions!$G$167*DZ34</f>
        <v>2631.9681019637533</v>
      </c>
      <c r="EA58" s="65">
        <f>+Assumptions!$G$167*EA34</f>
        <v>2637.3751832261455</v>
      </c>
      <c r="EB58" s="65">
        <f>+Assumptions!$G$167*EB34</f>
        <v>2642.7934022651411</v>
      </c>
      <c r="EC58" s="65">
        <f>+Assumptions!$G$167*EC34</f>
        <v>2648.2227820728126</v>
      </c>
      <c r="ED58" s="65">
        <f>+Assumptions!$G$167*ED34</f>
        <v>2653.663345688783</v>
      </c>
      <c r="EE58" s="65">
        <f>+Assumptions!$G$167*EE34</f>
        <v>2659.1151162003198</v>
      </c>
      <c r="EF58" s="65">
        <f>+Assumptions!$G$167*EF34</f>
        <v>2664.5781167424352</v>
      </c>
      <c r="EG58" s="65">
        <f>+Assumptions!$G$167*EG34</f>
        <v>2670.0523704979873</v>
      </c>
      <c r="EH58" s="65">
        <f>+Assumptions!$G$167*EH34</f>
        <v>2675.5379006977719</v>
      </c>
      <c r="EI58" s="65">
        <f>+Assumptions!$G$167*EI34</f>
        <v>2681.0347306206304</v>
      </c>
    </row>
    <row r="59" spans="2:139" x14ac:dyDescent="0.45">
      <c r="B59" s="71" t="s">
        <v>146</v>
      </c>
      <c r="C59" s="71"/>
      <c r="D59" s="71"/>
      <c r="E59" s="71"/>
      <c r="F59" s="71"/>
      <c r="G59" s="71"/>
      <c r="H59" s="72">
        <f t="shared" ref="H59:AM59" si="210">SUM(H58:H58)</f>
        <v>1359.3678800000007</v>
      </c>
      <c r="I59" s="72">
        <f t="shared" si="210"/>
        <v>1309.7548486979174</v>
      </c>
      <c r="J59" s="72">
        <f t="shared" si="210"/>
        <v>1259.9334458069798</v>
      </c>
      <c r="K59" s="72">
        <f t="shared" si="210"/>
        <v>1209.9030246483885</v>
      </c>
      <c r="L59" s="72">
        <f t="shared" si="210"/>
        <v>1238.4460663855475</v>
      </c>
      <c r="M59" s="72">
        <f t="shared" si="210"/>
        <v>1282.7837047821633</v>
      </c>
      <c r="N59" s="72">
        <f t="shared" si="210"/>
        <v>1311.5806279324054</v>
      </c>
      <c r="O59" s="72">
        <f t="shared" si="210"/>
        <v>1340.4919937347984</v>
      </c>
      <c r="P59" s="72">
        <f t="shared" si="210"/>
        <v>1369.5181540855972</v>
      </c>
      <c r="Q59" s="72">
        <f t="shared" si="210"/>
        <v>1398.6594618506431</v>
      </c>
      <c r="R59" s="72">
        <f t="shared" si="210"/>
        <v>1427.9162708678743</v>
      </c>
      <c r="S59" s="72">
        <f t="shared" si="210"/>
        <v>1457.2889359498474</v>
      </c>
      <c r="T59" s="72">
        <f t="shared" si="210"/>
        <v>1486.7778128862619</v>
      </c>
      <c r="U59" s="72">
        <f t="shared" si="210"/>
        <v>1516.383258446491</v>
      </c>
      <c r="V59" s="72">
        <f t="shared" si="210"/>
        <v>1546.1056303821199</v>
      </c>
      <c r="W59" s="72">
        <f t="shared" si="210"/>
        <v>1575.9452874294902</v>
      </c>
      <c r="X59" s="72">
        <f t="shared" si="210"/>
        <v>1605.9025893122505</v>
      </c>
      <c r="Y59" s="72">
        <f t="shared" si="210"/>
        <v>1635.9778967439124</v>
      </c>
      <c r="Z59" s="72">
        <f t="shared" si="210"/>
        <v>1666.1715714304144</v>
      </c>
      <c r="AA59" s="72">
        <f t="shared" si="210"/>
        <v>1696.4839760726929</v>
      </c>
      <c r="AB59" s="72">
        <f t="shared" si="210"/>
        <v>1726.9154743692552</v>
      </c>
      <c r="AC59" s="72">
        <f t="shared" si="210"/>
        <v>1757.4664310187636</v>
      </c>
      <c r="AD59" s="72">
        <f t="shared" si="210"/>
        <v>1788.1372117226251</v>
      </c>
      <c r="AE59" s="72">
        <f t="shared" si="210"/>
        <v>1818.928183187586</v>
      </c>
      <c r="AF59" s="72">
        <f t="shared" si="210"/>
        <v>1849.8397131283323</v>
      </c>
      <c r="AG59" s="72">
        <f t="shared" si="210"/>
        <v>1880.8721702701</v>
      </c>
      <c r="AH59" s="72">
        <f t="shared" si="210"/>
        <v>1912.0259243512889</v>
      </c>
      <c r="AI59" s="72">
        <f t="shared" si="210"/>
        <v>1999.2541292247647</v>
      </c>
      <c r="AJ59" s="72">
        <f t="shared" si="210"/>
        <v>2086.832507240425</v>
      </c>
      <c r="AK59" s="72">
        <f t="shared" si="210"/>
        <v>2174.7621316023501</v>
      </c>
      <c r="AL59" s="72">
        <f t="shared" si="210"/>
        <v>2179.2276311058763</v>
      </c>
      <c r="AM59" s="72">
        <f t="shared" si="210"/>
        <v>2183.7023249751392</v>
      </c>
      <c r="AN59" s="72">
        <f t="shared" ref="AN59:BS59" si="211">SUM(AN58:AN58)</f>
        <v>2188.1862321838034</v>
      </c>
      <c r="AO59" s="72">
        <f t="shared" si="211"/>
        <v>2192.6793717447608</v>
      </c>
      <c r="AP59" s="72">
        <f t="shared" si="211"/>
        <v>2197.1817627102096</v>
      </c>
      <c r="AQ59" s="72">
        <f t="shared" si="211"/>
        <v>2201.693424171739</v>
      </c>
      <c r="AR59" s="72">
        <f t="shared" si="211"/>
        <v>2206.2143752604061</v>
      </c>
      <c r="AS59" s="72">
        <f t="shared" si="211"/>
        <v>2210.7446351468216</v>
      </c>
      <c r="AT59" s="72">
        <f t="shared" si="211"/>
        <v>2215.2842230412307</v>
      </c>
      <c r="AU59" s="72">
        <f t="shared" si="211"/>
        <v>2219.8331581935936</v>
      </c>
      <c r="AV59" s="72">
        <f t="shared" si="211"/>
        <v>2224.3914598936699</v>
      </c>
      <c r="AW59" s="72">
        <f t="shared" si="211"/>
        <v>2228.9591474711001</v>
      </c>
      <c r="AX59" s="72">
        <f t="shared" si="211"/>
        <v>2233.5362402954879</v>
      </c>
      <c r="AY59" s="72">
        <f t="shared" si="211"/>
        <v>2238.122757776483</v>
      </c>
      <c r="AZ59" s="72">
        <f t="shared" si="211"/>
        <v>2242.7187193638642</v>
      </c>
      <c r="BA59" s="72">
        <f t="shared" si="211"/>
        <v>2247.3241445476219</v>
      </c>
      <c r="BB59" s="72">
        <f t="shared" si="211"/>
        <v>2251.9390528580439</v>
      </c>
      <c r="BC59" s="72">
        <f t="shared" si="211"/>
        <v>2256.5634638657943</v>
      </c>
      <c r="BD59" s="72">
        <f t="shared" si="211"/>
        <v>2261.1973971820016</v>
      </c>
      <c r="BE59" s="72">
        <f t="shared" si="211"/>
        <v>2265.8408724583392</v>
      </c>
      <c r="BF59" s="72">
        <f t="shared" si="211"/>
        <v>2270.4939093871117</v>
      </c>
      <c r="BG59" s="72">
        <f t="shared" si="211"/>
        <v>2275.1565277013378</v>
      </c>
      <c r="BH59" s="72">
        <f t="shared" si="211"/>
        <v>2279.8287471748349</v>
      </c>
      <c r="BI59" s="72">
        <f t="shared" si="211"/>
        <v>2284.5105876223029</v>
      </c>
      <c r="BJ59" s="72">
        <f t="shared" si="211"/>
        <v>2289.2020688994103</v>
      </c>
      <c r="BK59" s="72">
        <f t="shared" si="211"/>
        <v>2293.9032109028776</v>
      </c>
      <c r="BL59" s="72">
        <f t="shared" si="211"/>
        <v>2298.6140335705627</v>
      </c>
      <c r="BM59" s="72">
        <f t="shared" si="211"/>
        <v>2303.3345568815475</v>
      </c>
      <c r="BN59" s="72">
        <f t="shared" si="211"/>
        <v>2308.0648008562212</v>
      </c>
      <c r="BO59" s="72">
        <f t="shared" si="211"/>
        <v>2312.8047855563655</v>
      </c>
      <c r="BP59" s="72">
        <f t="shared" si="211"/>
        <v>2317.554531085244</v>
      </c>
      <c r="BQ59" s="72">
        <f t="shared" si="211"/>
        <v>2322.3140575876837</v>
      </c>
      <c r="BR59" s="72">
        <f t="shared" si="211"/>
        <v>2327.0833852501632</v>
      </c>
      <c r="BS59" s="72">
        <f t="shared" si="211"/>
        <v>2331.8625343008994</v>
      </c>
      <c r="BT59" s="72">
        <f t="shared" ref="BT59:CY59" si="212">SUM(BT58:BT58)</f>
        <v>2336.6515250099324</v>
      </c>
      <c r="BU59" s="72">
        <f t="shared" si="212"/>
        <v>2341.4503776892138</v>
      </c>
      <c r="BV59" s="72">
        <f t="shared" si="212"/>
        <v>2346.2591126926914</v>
      </c>
      <c r="BW59" s="72">
        <f t="shared" si="212"/>
        <v>2351.0777504163993</v>
      </c>
      <c r="BX59" s="72">
        <f t="shared" si="212"/>
        <v>2355.90631129854</v>
      </c>
      <c r="BY59" s="72">
        <f t="shared" si="212"/>
        <v>2360.7448158195775</v>
      </c>
      <c r="BZ59" s="72">
        <f t="shared" si="212"/>
        <v>2365.5932845023221</v>
      </c>
      <c r="CA59" s="72">
        <f t="shared" si="212"/>
        <v>2370.4517379120166</v>
      </c>
      <c r="CB59" s="72">
        <f t="shared" si="212"/>
        <v>2375.3201966564257</v>
      </c>
      <c r="CC59" s="72">
        <f t="shared" si="212"/>
        <v>2380.1986813859248</v>
      </c>
      <c r="CD59" s="72">
        <f t="shared" si="212"/>
        <v>2385.0872127935886</v>
      </c>
      <c r="CE59" s="72">
        <f t="shared" si="212"/>
        <v>2389.9858116152759</v>
      </c>
      <c r="CF59" s="72">
        <f t="shared" si="212"/>
        <v>2394.8944986297224</v>
      </c>
      <c r="CG59" s="72">
        <f t="shared" si="212"/>
        <v>2399.8132946586279</v>
      </c>
      <c r="CH59" s="72">
        <f t="shared" si="212"/>
        <v>2404.7422205667426</v>
      </c>
      <c r="CI59" s="72">
        <f t="shared" si="212"/>
        <v>2409.6812972619628</v>
      </c>
      <c r="CJ59" s="72">
        <f t="shared" si="212"/>
        <v>2414.6305456954124</v>
      </c>
      <c r="CK59" s="72">
        <f t="shared" si="212"/>
        <v>2419.5899868615393</v>
      </c>
      <c r="CL59" s="72">
        <f t="shared" si="212"/>
        <v>2424.5596417981992</v>
      </c>
      <c r="CM59" s="72">
        <f t="shared" si="212"/>
        <v>2429.5395315867509</v>
      </c>
      <c r="CN59" s="72">
        <f t="shared" si="212"/>
        <v>2434.5296773521422</v>
      </c>
      <c r="CO59" s="72">
        <f t="shared" si="212"/>
        <v>2439.5301002630026</v>
      </c>
      <c r="CP59" s="72">
        <f t="shared" si="212"/>
        <v>2444.5408215317325</v>
      </c>
      <c r="CQ59" s="72">
        <f t="shared" si="212"/>
        <v>2449.5618624145941</v>
      </c>
      <c r="CR59" s="72">
        <f t="shared" si="212"/>
        <v>2454.5932442118024</v>
      </c>
      <c r="CS59" s="72">
        <f t="shared" si="212"/>
        <v>2459.6349882676172</v>
      </c>
      <c r="CT59" s="72">
        <f t="shared" si="212"/>
        <v>2464.6871159704319</v>
      </c>
      <c r="CU59" s="72">
        <f t="shared" si="212"/>
        <v>2469.7496487528679</v>
      </c>
      <c r="CV59" s="72">
        <f t="shared" si="212"/>
        <v>2474.822608091863</v>
      </c>
      <c r="CW59" s="72">
        <f t="shared" si="212"/>
        <v>2479.906015508765</v>
      </c>
      <c r="CX59" s="72">
        <f t="shared" si="212"/>
        <v>2484.9998925694249</v>
      </c>
      <c r="CY59" s="72">
        <f t="shared" si="212"/>
        <v>2490.1042608842868</v>
      </c>
      <c r="CZ59" s="72">
        <f t="shared" ref="CZ59:EI59" si="213">SUM(CZ58:CZ58)</f>
        <v>2495.219142108479</v>
      </c>
      <c r="DA59" s="72">
        <f t="shared" si="213"/>
        <v>2500.3445579419126</v>
      </c>
      <c r="DB59" s="72">
        <f t="shared" si="213"/>
        <v>2505.4805301293663</v>
      </c>
      <c r="DC59" s="72">
        <f t="shared" si="213"/>
        <v>2510.6270804605865</v>
      </c>
      <c r="DD59" s="72">
        <f t="shared" si="213"/>
        <v>2515.7842307703741</v>
      </c>
      <c r="DE59" s="72">
        <f t="shared" si="213"/>
        <v>2520.9520029386831</v>
      </c>
      <c r="DF59" s="72">
        <f t="shared" si="213"/>
        <v>2526.1304188907111</v>
      </c>
      <c r="DG59" s="72">
        <f t="shared" si="213"/>
        <v>2531.3195005969933</v>
      </c>
      <c r="DH59" s="72">
        <f t="shared" si="213"/>
        <v>2536.519270073497</v>
      </c>
      <c r="DI59" s="72">
        <f t="shared" si="213"/>
        <v>2541.7297493817164</v>
      </c>
      <c r="DJ59" s="72">
        <f t="shared" si="213"/>
        <v>2546.9509606287647</v>
      </c>
      <c r="DK59" s="72">
        <f t="shared" si="213"/>
        <v>2552.182925967471</v>
      </c>
      <c r="DL59" s="72">
        <f t="shared" si="213"/>
        <v>2557.425667596473</v>
      </c>
      <c r="DM59" s="72">
        <f t="shared" si="213"/>
        <v>2562.6792077603131</v>
      </c>
      <c r="DN59" s="72">
        <f t="shared" si="213"/>
        <v>2567.9435687495325</v>
      </c>
      <c r="DO59" s="72">
        <f t="shared" si="213"/>
        <v>2573.2187729007687</v>
      </c>
      <c r="DP59" s="72">
        <f t="shared" si="213"/>
        <v>2578.5048425968471</v>
      </c>
      <c r="DQ59" s="72">
        <f t="shared" si="213"/>
        <v>2583.8018002668796</v>
      </c>
      <c r="DR59" s="72">
        <f t="shared" si="213"/>
        <v>2589.1096683863593</v>
      </c>
      <c r="DS59" s="72">
        <f t="shared" si="213"/>
        <v>2594.4284694772591</v>
      </c>
      <c r="DT59" s="72">
        <f t="shared" si="213"/>
        <v>2599.7582261081234</v>
      </c>
      <c r="DU59" s="72">
        <f t="shared" si="213"/>
        <v>2605.0989608941677</v>
      </c>
      <c r="DV59" s="72">
        <f t="shared" si="213"/>
        <v>2610.4506964973748</v>
      </c>
      <c r="DW59" s="72">
        <f t="shared" si="213"/>
        <v>2615.8134556265909</v>
      </c>
      <c r="DX59" s="72">
        <f t="shared" si="213"/>
        <v>2621.1872610376226</v>
      </c>
      <c r="DY59" s="72">
        <f t="shared" si="213"/>
        <v>2626.5721355333362</v>
      </c>
      <c r="DZ59" s="72">
        <f t="shared" si="213"/>
        <v>2631.9681019637533</v>
      </c>
      <c r="EA59" s="72">
        <f t="shared" si="213"/>
        <v>2637.3751832261455</v>
      </c>
      <c r="EB59" s="72">
        <f t="shared" si="213"/>
        <v>2642.7934022651411</v>
      </c>
      <c r="EC59" s="72">
        <f t="shared" si="213"/>
        <v>2648.2227820728126</v>
      </c>
      <c r="ED59" s="72">
        <f t="shared" si="213"/>
        <v>2653.663345688783</v>
      </c>
      <c r="EE59" s="72">
        <f t="shared" si="213"/>
        <v>2659.1151162003198</v>
      </c>
      <c r="EF59" s="72">
        <f t="shared" si="213"/>
        <v>2664.5781167424352</v>
      </c>
      <c r="EG59" s="72">
        <f t="shared" si="213"/>
        <v>2670.0523704979873</v>
      </c>
      <c r="EH59" s="72">
        <f t="shared" si="213"/>
        <v>2675.5379006977719</v>
      </c>
      <c r="EI59" s="72">
        <f t="shared" si="213"/>
        <v>2681.0347306206304</v>
      </c>
    </row>
    <row r="61" spans="2:139" x14ac:dyDescent="0.45">
      <c r="B61" s="123" t="s">
        <v>19</v>
      </c>
      <c r="C61" s="123"/>
      <c r="D61" s="123"/>
      <c r="E61" s="123"/>
      <c r="F61" s="123"/>
      <c r="G61" s="123"/>
      <c r="H61" s="125" cm="1">
        <f t="array" ref="H61">IFERROR(INDEX('Retail Assumptions'!$L$49:$EO$49,,MATCH(H16,'Retail Assumptions'!$L$5:$EO$5,0)),0)</f>
        <v>0</v>
      </c>
      <c r="I61" s="125" cm="1">
        <f t="array" ref="I61">IFERROR(INDEX('Retail Assumptions'!$L$49:$EO$49,,MATCH(I16,'Retail Assumptions'!$L$5:$EO$5,0)),0)</f>
        <v>0</v>
      </c>
      <c r="J61" s="125" cm="1">
        <f t="array" ref="J61">IFERROR(INDEX('Retail Assumptions'!$L$49:$EO$49,,MATCH(J16,'Retail Assumptions'!$L$5:$EO$5,0)),0)</f>
        <v>0</v>
      </c>
      <c r="K61" s="125" cm="1">
        <f t="array" ref="K61">IFERROR(INDEX('Retail Assumptions'!$L$49:$EO$49,,MATCH(K16,'Retail Assumptions'!$L$5:$EO$5,0)),0)</f>
        <v>0</v>
      </c>
      <c r="L61" s="125" cm="1">
        <f t="array" ref="L61">IFERROR(INDEX('Retail Assumptions'!$L$49:$EO$49,,MATCH(L16,'Retail Assumptions'!$L$5:$EO$5,0)),0)</f>
        <v>0</v>
      </c>
      <c r="M61" s="125" cm="1">
        <f t="array" ref="M61">IFERROR(INDEX('Retail Assumptions'!$L$49:$EO$49,,MATCH(M16,'Retail Assumptions'!$L$5:$EO$5,0)),0)</f>
        <v>0</v>
      </c>
      <c r="N61" s="125" cm="1">
        <f t="array" ref="N61">IFERROR(INDEX('Retail Assumptions'!$L$49:$EO$49,,MATCH(N16,'Retail Assumptions'!$L$5:$EO$5,0)),0)</f>
        <v>0</v>
      </c>
      <c r="O61" s="125" cm="1">
        <f t="array" ref="O61">IFERROR(INDEX('Retail Assumptions'!$L$49:$EO$49,,MATCH(O16,'Retail Assumptions'!$L$5:$EO$5,0)),0)</f>
        <v>0</v>
      </c>
      <c r="P61" s="125" cm="1">
        <f t="array" ref="P61">IFERROR(INDEX('Retail Assumptions'!$L$49:$EO$49,,MATCH(P16,'Retail Assumptions'!$L$5:$EO$5,0)),0)</f>
        <v>0</v>
      </c>
      <c r="Q61" s="125" cm="1">
        <f t="array" ref="Q61">IFERROR(INDEX('Retail Assumptions'!$L$49:$EO$49,,MATCH(Q16,'Retail Assumptions'!$L$5:$EO$5,0)),0)</f>
        <v>0</v>
      </c>
      <c r="R61" s="125" cm="1">
        <f t="array" ref="R61">IFERROR(INDEX('Retail Assumptions'!$L$49:$EO$49,,MATCH(R16,'Retail Assumptions'!$L$5:$EO$5,0)),0)</f>
        <v>0</v>
      </c>
      <c r="S61" s="125" cm="1">
        <f t="array" ref="S61">IFERROR(INDEX('Retail Assumptions'!$L$49:$EO$49,,MATCH(S16,'Retail Assumptions'!$L$5:$EO$5,0)),0)</f>
        <v>0</v>
      </c>
      <c r="T61" s="125" cm="1">
        <f t="array" ref="T61">IFERROR(INDEX('Retail Assumptions'!$L$49:$EO$49,,MATCH(T16,'Retail Assumptions'!$L$5:$EO$5,0)),0)</f>
        <v>0</v>
      </c>
      <c r="U61" s="125" cm="1">
        <f t="array" ref="U61">IFERROR(INDEX('Retail Assumptions'!$L$49:$EO$49,,MATCH(U16,'Retail Assumptions'!$L$5:$EO$5,0)),0)</f>
        <v>0</v>
      </c>
      <c r="V61" s="125" cm="1">
        <f t="array" ref="V61">IFERROR(INDEX('Retail Assumptions'!$L$49:$EO$49,,MATCH(V16,'Retail Assumptions'!$L$5:$EO$5,0)),0)</f>
        <v>0</v>
      </c>
      <c r="W61" s="125" cm="1">
        <f t="array" ref="W61">IFERROR(INDEX('Retail Assumptions'!$L$49:$EO$49,,MATCH(W16,'Retail Assumptions'!$L$5:$EO$5,0)),0)</f>
        <v>0</v>
      </c>
      <c r="X61" s="125" cm="1">
        <f t="array" ref="X61">IFERROR(INDEX('Retail Assumptions'!$L$49:$EO$49,,MATCH(X16,'Retail Assumptions'!$L$5:$EO$5,0)),0)</f>
        <v>0</v>
      </c>
      <c r="Y61" s="125" cm="1">
        <f t="array" ref="Y61">IFERROR(INDEX('Retail Assumptions'!$L$49:$EO$49,,MATCH(Y16,'Retail Assumptions'!$L$5:$EO$5,0)),0)</f>
        <v>0</v>
      </c>
      <c r="Z61" s="125" cm="1">
        <f t="array" ref="Z61">IFERROR(INDEX('Retail Assumptions'!$L$49:$EO$49,,MATCH(Z16,'Retail Assumptions'!$L$5:$EO$5,0)),0)</f>
        <v>0</v>
      </c>
      <c r="AA61" s="125" cm="1">
        <f t="array" ref="AA61">IFERROR(INDEX('Retail Assumptions'!$L$49:$EO$49,,MATCH(AA16,'Retail Assumptions'!$L$5:$EO$5,0)),0)</f>
        <v>0</v>
      </c>
      <c r="AB61" s="125" cm="1">
        <f t="array" ref="AB61">IFERROR(INDEX('Retail Assumptions'!$L$49:$EO$49,,MATCH(AB16,'Retail Assumptions'!$L$5:$EO$5,0)),0)</f>
        <v>0</v>
      </c>
      <c r="AC61" s="125" cm="1">
        <f t="array" ref="AC61">IFERROR(INDEX('Retail Assumptions'!$L$49:$EO$49,,MATCH(AC16,'Retail Assumptions'!$L$5:$EO$5,0)),0)</f>
        <v>0</v>
      </c>
      <c r="AD61" s="125" cm="1">
        <f t="array" ref="AD61">IFERROR(INDEX('Retail Assumptions'!$L$49:$EO$49,,MATCH(AD16,'Retail Assumptions'!$L$5:$EO$5,0)),0)</f>
        <v>0</v>
      </c>
      <c r="AE61" s="125" cm="1">
        <f t="array" ref="AE61">IFERROR(INDEX('Retail Assumptions'!$L$49:$EO$49,,MATCH(AE16,'Retail Assumptions'!$L$5:$EO$5,0)),0)</f>
        <v>0</v>
      </c>
      <c r="AF61" s="125" cm="1">
        <f t="array" ref="AF61">IFERROR(INDEX('Retail Assumptions'!$L$49:$EO$49,,MATCH(AF16,'Retail Assumptions'!$L$5:$EO$5,0)),0)</f>
        <v>0</v>
      </c>
      <c r="AG61" s="125" cm="1">
        <f t="array" ref="AG61">IFERROR(INDEX('Retail Assumptions'!$L$49:$EO$49,,MATCH(AG16,'Retail Assumptions'!$L$5:$EO$5,0)),0)</f>
        <v>0</v>
      </c>
      <c r="AH61" s="125" cm="1">
        <f t="array" ref="AH61">IFERROR(INDEX('Retail Assumptions'!$L$49:$EO$49,,MATCH(AH16,'Retail Assumptions'!$L$5:$EO$5,0)),0)</f>
        <v>0</v>
      </c>
      <c r="AI61" s="125" cm="1">
        <f t="array" ref="AI61">IFERROR(INDEX('Retail Assumptions'!$L$49:$EO$49,,MATCH(AI16,'Retail Assumptions'!$L$5:$EO$5,0)),0)</f>
        <v>0</v>
      </c>
      <c r="AJ61" s="125" cm="1">
        <f t="array" ref="AJ61">IFERROR(INDEX('Retail Assumptions'!$L$49:$EO$49,,MATCH(AJ16,'Retail Assumptions'!$L$5:$EO$5,0)),0)</f>
        <v>0</v>
      </c>
      <c r="AK61" s="125" cm="1">
        <f t="array" ref="AK61">IFERROR(INDEX('Retail Assumptions'!$L$49:$EO$49,,MATCH(AK16,'Retail Assumptions'!$L$5:$EO$5,0)),0)</f>
        <v>0</v>
      </c>
      <c r="AL61" s="125" cm="1">
        <f t="array" ref="AL61">IFERROR(INDEX('Retail Assumptions'!$L$49:$EO$49,,MATCH(AL16,'Retail Assumptions'!$L$5:$EO$5,0)),0)</f>
        <v>0</v>
      </c>
      <c r="AM61" s="125" cm="1">
        <f t="array" ref="AM61">IFERROR(INDEX('Retail Assumptions'!$L$49:$EO$49,,MATCH(AM16,'Retail Assumptions'!$L$5:$EO$5,0)),0)</f>
        <v>0</v>
      </c>
      <c r="AN61" s="125" cm="1">
        <f t="array" ref="AN61">IFERROR(INDEX('Retail Assumptions'!$L$49:$EO$49,,MATCH(AN16,'Retail Assumptions'!$L$5:$EO$5,0)),0)</f>
        <v>0</v>
      </c>
      <c r="AO61" s="125" cm="1">
        <f t="array" ref="AO61">IFERROR(INDEX('Retail Assumptions'!$L$49:$EO$49,,MATCH(AO16,'Retail Assumptions'!$L$5:$EO$5,0)),0)</f>
        <v>0</v>
      </c>
      <c r="AP61" s="125" cm="1">
        <f t="array" ref="AP61">IFERROR(INDEX('Retail Assumptions'!$L$49:$EO$49,,MATCH(AP16,'Retail Assumptions'!$L$5:$EO$5,0)),0)</f>
        <v>0</v>
      </c>
      <c r="AQ61" s="125" cm="1">
        <f t="array" ref="AQ61">IFERROR(INDEX('Retail Assumptions'!$L$49:$EO$49,,MATCH(AQ16,'Retail Assumptions'!$L$5:$EO$5,0)),0)</f>
        <v>0</v>
      </c>
      <c r="AR61" s="125" cm="1">
        <f t="array" ref="AR61">IFERROR(INDEX('Retail Assumptions'!$L$49:$EO$49,,MATCH(AR16,'Retail Assumptions'!$L$5:$EO$5,0)),0)</f>
        <v>0</v>
      </c>
      <c r="AS61" s="125" cm="1">
        <f t="array" ref="AS61">IFERROR(INDEX('Retail Assumptions'!$L$49:$EO$49,,MATCH(AS16,'Retail Assumptions'!$L$5:$EO$5,0)),0)</f>
        <v>0</v>
      </c>
      <c r="AT61" s="125" cm="1">
        <f t="array" ref="AT61">IFERROR(INDEX('Retail Assumptions'!$L$49:$EO$49,,MATCH(AT16,'Retail Assumptions'!$L$5:$EO$5,0)),0)</f>
        <v>0</v>
      </c>
      <c r="AU61" s="125" cm="1">
        <f t="array" ref="AU61">IFERROR(INDEX('Retail Assumptions'!$L$49:$EO$49,,MATCH(AU16,'Retail Assumptions'!$L$5:$EO$5,0)),0)</f>
        <v>0</v>
      </c>
      <c r="AV61" s="125" cm="1">
        <f t="array" ref="AV61">IFERROR(INDEX('Retail Assumptions'!$L$49:$EO$49,,MATCH(AV16,'Retail Assumptions'!$L$5:$EO$5,0)),0)</f>
        <v>0</v>
      </c>
      <c r="AW61" s="125" cm="1">
        <f t="array" ref="AW61">IFERROR(INDEX('Retail Assumptions'!$L$49:$EO$49,,MATCH(AW16,'Retail Assumptions'!$L$5:$EO$5,0)),0)</f>
        <v>0</v>
      </c>
      <c r="AX61" s="125" cm="1">
        <f t="array" ref="AX61">IFERROR(INDEX('Retail Assumptions'!$L$49:$EO$49,,MATCH(AX16,'Retail Assumptions'!$L$5:$EO$5,0)),0)</f>
        <v>0</v>
      </c>
      <c r="AY61" s="125" cm="1">
        <f t="array" ref="AY61">IFERROR(INDEX('Retail Assumptions'!$L$49:$EO$49,,MATCH(AY16,'Retail Assumptions'!$L$5:$EO$5,0)),0)</f>
        <v>0</v>
      </c>
      <c r="AZ61" s="125" cm="1">
        <f t="array" ref="AZ61">IFERROR(INDEX('Retail Assumptions'!$L$49:$EO$49,,MATCH(AZ16,'Retail Assumptions'!$L$5:$EO$5,0)),0)</f>
        <v>0</v>
      </c>
      <c r="BA61" s="125" cm="1">
        <f t="array" ref="BA61">IFERROR(INDEX('Retail Assumptions'!$L$49:$EO$49,,MATCH(BA16,'Retail Assumptions'!$L$5:$EO$5,0)),0)</f>
        <v>0</v>
      </c>
      <c r="BB61" s="125" cm="1">
        <f t="array" ref="BB61">IFERROR(INDEX('Retail Assumptions'!$L$49:$EO$49,,MATCH(BB16,'Retail Assumptions'!$L$5:$EO$5,0)),0)</f>
        <v>0</v>
      </c>
      <c r="BC61" s="125" cm="1">
        <f t="array" ref="BC61">IFERROR(INDEX('Retail Assumptions'!$L$49:$EO$49,,MATCH(BC16,'Retail Assumptions'!$L$5:$EO$5,0)),0)</f>
        <v>0</v>
      </c>
      <c r="BD61" s="125" cm="1">
        <f t="array" ref="BD61">IFERROR(INDEX('Retail Assumptions'!$L$49:$EO$49,,MATCH(BD16,'Retail Assumptions'!$L$5:$EO$5,0)),0)</f>
        <v>0</v>
      </c>
      <c r="BE61" s="125" cm="1">
        <f t="array" ref="BE61">IFERROR(INDEX('Retail Assumptions'!$L$49:$EO$49,,MATCH(BE16,'Retail Assumptions'!$L$5:$EO$5,0)),0)</f>
        <v>0</v>
      </c>
      <c r="BF61" s="125" cm="1">
        <f t="array" ref="BF61">IFERROR(INDEX('Retail Assumptions'!$L$49:$EO$49,,MATCH(BF16,'Retail Assumptions'!$L$5:$EO$5,0)),0)</f>
        <v>0</v>
      </c>
      <c r="BG61" s="125" cm="1">
        <f t="array" ref="BG61">IFERROR(INDEX('Retail Assumptions'!$L$49:$EO$49,,MATCH(BG16,'Retail Assumptions'!$L$5:$EO$5,0)),0)</f>
        <v>0</v>
      </c>
      <c r="BH61" s="125" cm="1">
        <f t="array" ref="BH61">IFERROR(INDEX('Retail Assumptions'!$L$49:$EO$49,,MATCH(BH16,'Retail Assumptions'!$L$5:$EO$5,0)),0)</f>
        <v>0</v>
      </c>
      <c r="BI61" s="125" cm="1">
        <f t="array" ref="BI61">IFERROR(INDEX('Retail Assumptions'!$L$49:$EO$49,,MATCH(BI16,'Retail Assumptions'!$L$5:$EO$5,0)),0)</f>
        <v>0</v>
      </c>
      <c r="BJ61" s="125" cm="1">
        <f t="array" ref="BJ61">IFERROR(INDEX('Retail Assumptions'!$L$49:$EO$49,,MATCH(BJ16,'Retail Assumptions'!$L$5:$EO$5,0)),0)</f>
        <v>0</v>
      </c>
      <c r="BK61" s="125" cm="1">
        <f t="array" ref="BK61">IFERROR(INDEX('Retail Assumptions'!$L$49:$EO$49,,MATCH(BK16,'Retail Assumptions'!$L$5:$EO$5,0)),0)</f>
        <v>0</v>
      </c>
      <c r="BL61" s="125" cm="1">
        <f t="array" ref="BL61">IFERROR(INDEX('Retail Assumptions'!$L$49:$EO$49,,MATCH(BL16,'Retail Assumptions'!$L$5:$EO$5,0)),0)</f>
        <v>0</v>
      </c>
      <c r="BM61" s="125" cm="1">
        <f t="array" ref="BM61">IFERROR(INDEX('Retail Assumptions'!$L$49:$EO$49,,MATCH(BM16,'Retail Assumptions'!$L$5:$EO$5,0)),0)</f>
        <v>0</v>
      </c>
      <c r="BN61" s="125" cm="1">
        <f t="array" ref="BN61">IFERROR(INDEX('Retail Assumptions'!$L$49:$EO$49,,MATCH(BN16,'Retail Assumptions'!$L$5:$EO$5,0)),0)</f>
        <v>0</v>
      </c>
      <c r="BO61" s="125" cm="1">
        <f t="array" ref="BO61">IFERROR(INDEX('Retail Assumptions'!$L$49:$EO$49,,MATCH(BO16,'Retail Assumptions'!$L$5:$EO$5,0)),0)</f>
        <v>0</v>
      </c>
      <c r="BP61" s="125" cm="1">
        <f t="array" ref="BP61">IFERROR(INDEX('Retail Assumptions'!$L$49:$EO$49,,MATCH(BP16,'Retail Assumptions'!$L$5:$EO$5,0)),0)</f>
        <v>0</v>
      </c>
      <c r="BQ61" s="125" cm="1">
        <f t="array" ref="BQ61">IFERROR(INDEX('Retail Assumptions'!$L$49:$EO$49,,MATCH(BQ16,'Retail Assumptions'!$L$5:$EO$5,0)),0)</f>
        <v>0</v>
      </c>
      <c r="BR61" s="125" cm="1">
        <f t="array" ref="BR61">IFERROR(INDEX('Retail Assumptions'!$L$49:$EO$49,,MATCH(BR16,'Retail Assumptions'!$L$5:$EO$5,0)),0)</f>
        <v>0</v>
      </c>
      <c r="BS61" s="125" cm="1">
        <f t="array" ref="BS61">IFERROR(INDEX('Retail Assumptions'!$L$49:$EO$49,,MATCH(BS16,'Retail Assumptions'!$L$5:$EO$5,0)),0)</f>
        <v>0</v>
      </c>
      <c r="BT61" s="125" cm="1">
        <f t="array" ref="BT61">IFERROR(INDEX('Retail Assumptions'!$L$49:$EO$49,,MATCH(BT16,'Retail Assumptions'!$L$5:$EO$5,0)),0)</f>
        <v>0</v>
      </c>
      <c r="BU61" s="125" cm="1">
        <f t="array" ref="BU61">IFERROR(INDEX('Retail Assumptions'!$L$49:$EO$49,,MATCH(BU16,'Retail Assumptions'!$L$5:$EO$5,0)),0)</f>
        <v>0</v>
      </c>
      <c r="BV61" s="125" cm="1">
        <f t="array" ref="BV61">IFERROR(INDEX('Retail Assumptions'!$L$49:$EO$49,,MATCH(BV16,'Retail Assumptions'!$L$5:$EO$5,0)),0)</f>
        <v>0</v>
      </c>
      <c r="BW61" s="125" cm="1">
        <f t="array" ref="BW61">IFERROR(INDEX('Retail Assumptions'!$L$49:$EO$49,,MATCH(BW16,'Retail Assumptions'!$L$5:$EO$5,0)),0)</f>
        <v>0</v>
      </c>
      <c r="BX61" s="125" cm="1">
        <f t="array" ref="BX61">IFERROR(INDEX('Retail Assumptions'!$L$49:$EO$49,,MATCH(BX16,'Retail Assumptions'!$L$5:$EO$5,0)),0)</f>
        <v>0</v>
      </c>
      <c r="BY61" s="125" cm="1">
        <f t="array" ref="BY61">IFERROR(INDEX('Retail Assumptions'!$L$49:$EO$49,,MATCH(BY16,'Retail Assumptions'!$L$5:$EO$5,0)),0)</f>
        <v>0</v>
      </c>
      <c r="BZ61" s="125" cm="1">
        <f t="array" ref="BZ61">IFERROR(INDEX('Retail Assumptions'!$L$49:$EO$49,,MATCH(BZ16,'Retail Assumptions'!$L$5:$EO$5,0)),0)</f>
        <v>0</v>
      </c>
      <c r="CA61" s="125" cm="1">
        <f t="array" ref="CA61">IFERROR(INDEX('Retail Assumptions'!$L$49:$EO$49,,MATCH(CA16,'Retail Assumptions'!$L$5:$EO$5,0)),0)</f>
        <v>0</v>
      </c>
      <c r="CB61" s="125" cm="1">
        <f t="array" ref="CB61">IFERROR(INDEX('Retail Assumptions'!$L$49:$EO$49,,MATCH(CB16,'Retail Assumptions'!$L$5:$EO$5,0)),0)</f>
        <v>0</v>
      </c>
      <c r="CC61" s="125" cm="1">
        <f t="array" ref="CC61">IFERROR(INDEX('Retail Assumptions'!$L$49:$EO$49,,MATCH(CC16,'Retail Assumptions'!$L$5:$EO$5,0)),0)</f>
        <v>0</v>
      </c>
      <c r="CD61" s="125" cm="1">
        <f t="array" ref="CD61">IFERROR(INDEX('Retail Assumptions'!$L$49:$EO$49,,MATCH(CD16,'Retail Assumptions'!$L$5:$EO$5,0)),0)</f>
        <v>0</v>
      </c>
      <c r="CE61" s="125" cm="1">
        <f t="array" ref="CE61">IFERROR(INDEX('Retail Assumptions'!$L$49:$EO$49,,MATCH(CE16,'Retail Assumptions'!$L$5:$EO$5,0)),0)</f>
        <v>0</v>
      </c>
      <c r="CF61" s="125" cm="1">
        <f t="array" ref="CF61">IFERROR(INDEX('Retail Assumptions'!$L$49:$EO$49,,MATCH(CF16,'Retail Assumptions'!$L$5:$EO$5,0)),0)</f>
        <v>0</v>
      </c>
      <c r="CG61" s="125" cm="1">
        <f t="array" ref="CG61">IFERROR(INDEX('Retail Assumptions'!$L$49:$EO$49,,MATCH(CG16,'Retail Assumptions'!$L$5:$EO$5,0)),0)</f>
        <v>0</v>
      </c>
      <c r="CH61" s="125" cm="1">
        <f t="array" ref="CH61">IFERROR(INDEX('Retail Assumptions'!$L$49:$EO$49,,MATCH(CH16,'Retail Assumptions'!$L$5:$EO$5,0)),0)</f>
        <v>0</v>
      </c>
      <c r="CI61" s="125" cm="1">
        <f t="array" ref="CI61">IFERROR(INDEX('Retail Assumptions'!$L$49:$EO$49,,MATCH(CI16,'Retail Assumptions'!$L$5:$EO$5,0)),0)</f>
        <v>0</v>
      </c>
      <c r="CJ61" s="125" cm="1">
        <f t="array" ref="CJ61">IFERROR(INDEX('Retail Assumptions'!$L$49:$EO$49,,MATCH(CJ16,'Retail Assumptions'!$L$5:$EO$5,0)),0)</f>
        <v>0</v>
      </c>
      <c r="CK61" s="125" cm="1">
        <f t="array" ref="CK61">IFERROR(INDEX('Retail Assumptions'!$L$49:$EO$49,,MATCH(CK16,'Retail Assumptions'!$L$5:$EO$5,0)),0)</f>
        <v>0</v>
      </c>
      <c r="CL61" s="125" cm="1">
        <f t="array" ref="CL61">IFERROR(INDEX('Retail Assumptions'!$L$49:$EO$49,,MATCH(CL16,'Retail Assumptions'!$L$5:$EO$5,0)),0)</f>
        <v>0</v>
      </c>
      <c r="CM61" s="125" cm="1">
        <f t="array" ref="CM61">IFERROR(INDEX('Retail Assumptions'!$L$49:$EO$49,,MATCH(CM16,'Retail Assumptions'!$L$5:$EO$5,0)),0)</f>
        <v>0</v>
      </c>
      <c r="CN61" s="125" cm="1">
        <f t="array" ref="CN61">IFERROR(INDEX('Retail Assumptions'!$L$49:$EO$49,,MATCH(CN16,'Retail Assumptions'!$L$5:$EO$5,0)),0)</f>
        <v>0</v>
      </c>
      <c r="CO61" s="125" cm="1">
        <f t="array" ref="CO61">IFERROR(INDEX('Retail Assumptions'!$L$49:$EO$49,,MATCH(CO16,'Retail Assumptions'!$L$5:$EO$5,0)),0)</f>
        <v>0</v>
      </c>
      <c r="CP61" s="125" cm="1">
        <f t="array" ref="CP61">IFERROR(INDEX('Retail Assumptions'!$L$49:$EO$49,,MATCH(CP16,'Retail Assumptions'!$L$5:$EO$5,0)),0)</f>
        <v>0</v>
      </c>
      <c r="CQ61" s="125" cm="1">
        <f t="array" ref="CQ61">IFERROR(INDEX('Retail Assumptions'!$L$49:$EO$49,,MATCH(CQ16,'Retail Assumptions'!$L$5:$EO$5,0)),0)</f>
        <v>0</v>
      </c>
      <c r="CR61" s="125" cm="1">
        <f t="array" ref="CR61">IFERROR(INDEX('Retail Assumptions'!$L$49:$EO$49,,MATCH(CR16,'Retail Assumptions'!$L$5:$EO$5,0)),0)</f>
        <v>0</v>
      </c>
      <c r="CS61" s="125" cm="1">
        <f t="array" ref="CS61">IFERROR(INDEX('Retail Assumptions'!$L$49:$EO$49,,MATCH(CS16,'Retail Assumptions'!$L$5:$EO$5,0)),0)</f>
        <v>0</v>
      </c>
      <c r="CT61" s="125" cm="1">
        <f t="array" ref="CT61">IFERROR(INDEX('Retail Assumptions'!$L$49:$EO$49,,MATCH(CT16,'Retail Assumptions'!$L$5:$EO$5,0)),0)</f>
        <v>0</v>
      </c>
      <c r="CU61" s="125" cm="1">
        <f t="array" ref="CU61">IFERROR(INDEX('Retail Assumptions'!$L$49:$EO$49,,MATCH(CU16,'Retail Assumptions'!$L$5:$EO$5,0)),0)</f>
        <v>0</v>
      </c>
      <c r="CV61" s="125" cm="1">
        <f t="array" ref="CV61">IFERROR(INDEX('Retail Assumptions'!$L$49:$EO$49,,MATCH(CV16,'Retail Assumptions'!$L$5:$EO$5,0)),0)</f>
        <v>0</v>
      </c>
      <c r="CW61" s="125" cm="1">
        <f t="array" ref="CW61">IFERROR(INDEX('Retail Assumptions'!$L$49:$EO$49,,MATCH(CW16,'Retail Assumptions'!$L$5:$EO$5,0)),0)</f>
        <v>0</v>
      </c>
      <c r="CX61" s="125" cm="1">
        <f t="array" ref="CX61">IFERROR(INDEX('Retail Assumptions'!$L$49:$EO$49,,MATCH(CX16,'Retail Assumptions'!$L$5:$EO$5,0)),0)</f>
        <v>0</v>
      </c>
      <c r="CY61" s="125" cm="1">
        <f t="array" ref="CY61">IFERROR(INDEX('Retail Assumptions'!$L$49:$EO$49,,MATCH(CY16,'Retail Assumptions'!$L$5:$EO$5,0)),0)</f>
        <v>0</v>
      </c>
      <c r="CZ61" s="125" cm="1">
        <f t="array" ref="CZ61">IFERROR(INDEX('Retail Assumptions'!$L$49:$EO$49,,MATCH(CZ16,'Retail Assumptions'!$L$5:$EO$5,0)),0)</f>
        <v>0</v>
      </c>
      <c r="DA61" s="125" cm="1">
        <f t="array" ref="DA61">IFERROR(INDEX('Retail Assumptions'!$L$49:$EO$49,,MATCH(DA16,'Retail Assumptions'!$L$5:$EO$5,0)),0)</f>
        <v>0</v>
      </c>
      <c r="DB61" s="125" cm="1">
        <f t="array" ref="DB61">IFERROR(INDEX('Retail Assumptions'!$L$49:$EO$49,,MATCH(DB16,'Retail Assumptions'!$L$5:$EO$5,0)),0)</f>
        <v>0</v>
      </c>
      <c r="DC61" s="125" cm="1">
        <f t="array" ref="DC61">IFERROR(INDEX('Retail Assumptions'!$L$49:$EO$49,,MATCH(DC16,'Retail Assumptions'!$L$5:$EO$5,0)),0)</f>
        <v>0</v>
      </c>
      <c r="DD61" s="125" cm="1">
        <f t="array" ref="DD61">IFERROR(INDEX('Retail Assumptions'!$L$49:$EO$49,,MATCH(DD16,'Retail Assumptions'!$L$5:$EO$5,0)),0)</f>
        <v>0</v>
      </c>
      <c r="DE61" s="125" cm="1">
        <f t="array" ref="DE61">IFERROR(INDEX('Retail Assumptions'!$L$49:$EO$49,,MATCH(DE16,'Retail Assumptions'!$L$5:$EO$5,0)),0)</f>
        <v>0</v>
      </c>
      <c r="DF61" s="125" cm="1">
        <f t="array" ref="DF61">IFERROR(INDEX('Retail Assumptions'!$L$49:$EO$49,,MATCH(DF16,'Retail Assumptions'!$L$5:$EO$5,0)),0)</f>
        <v>0</v>
      </c>
      <c r="DG61" s="125" cm="1">
        <f t="array" ref="DG61">IFERROR(INDEX('Retail Assumptions'!$L$49:$EO$49,,MATCH(DG16,'Retail Assumptions'!$L$5:$EO$5,0)),0)</f>
        <v>0</v>
      </c>
      <c r="DH61" s="125" cm="1">
        <f t="array" ref="DH61">IFERROR(INDEX('Retail Assumptions'!$L$49:$EO$49,,MATCH(DH16,'Retail Assumptions'!$L$5:$EO$5,0)),0)</f>
        <v>0</v>
      </c>
      <c r="DI61" s="125" cm="1">
        <f t="array" ref="DI61">IFERROR(INDEX('Retail Assumptions'!$L$49:$EO$49,,MATCH(DI16,'Retail Assumptions'!$L$5:$EO$5,0)),0)</f>
        <v>0</v>
      </c>
      <c r="DJ61" s="125" cm="1">
        <f t="array" ref="DJ61">IFERROR(INDEX('Retail Assumptions'!$L$49:$EO$49,,MATCH(DJ16,'Retail Assumptions'!$L$5:$EO$5,0)),0)</f>
        <v>0</v>
      </c>
      <c r="DK61" s="125" cm="1">
        <f t="array" ref="DK61">IFERROR(INDEX('Retail Assumptions'!$L$49:$EO$49,,MATCH(DK16,'Retail Assumptions'!$L$5:$EO$5,0)),0)</f>
        <v>0</v>
      </c>
      <c r="DL61" s="125" cm="1">
        <f t="array" ref="DL61">IFERROR(INDEX('Retail Assumptions'!$L$49:$EO$49,,MATCH(DL16,'Retail Assumptions'!$L$5:$EO$5,0)),0)</f>
        <v>0</v>
      </c>
      <c r="DM61" s="125" cm="1">
        <f t="array" ref="DM61">IFERROR(INDEX('Retail Assumptions'!$L$49:$EO$49,,MATCH(DM16,'Retail Assumptions'!$L$5:$EO$5,0)),0)</f>
        <v>0</v>
      </c>
      <c r="DN61" s="125" cm="1">
        <f t="array" ref="DN61">IFERROR(INDEX('Retail Assumptions'!$L$49:$EO$49,,MATCH(DN16,'Retail Assumptions'!$L$5:$EO$5,0)),0)</f>
        <v>0</v>
      </c>
      <c r="DO61" s="125" cm="1">
        <f t="array" ref="DO61">IFERROR(INDEX('Retail Assumptions'!$L$49:$EO$49,,MATCH(DO16,'Retail Assumptions'!$L$5:$EO$5,0)),0)</f>
        <v>0</v>
      </c>
      <c r="DP61" s="125" cm="1">
        <f t="array" ref="DP61">IFERROR(INDEX('Retail Assumptions'!$L$49:$EO$49,,MATCH(DP16,'Retail Assumptions'!$L$5:$EO$5,0)),0)</f>
        <v>0</v>
      </c>
      <c r="DQ61" s="125" cm="1">
        <f t="array" ref="DQ61">IFERROR(INDEX('Retail Assumptions'!$L$49:$EO$49,,MATCH(DQ16,'Retail Assumptions'!$L$5:$EO$5,0)),0)</f>
        <v>0</v>
      </c>
      <c r="DR61" s="125" cm="1">
        <f t="array" ref="DR61">IFERROR(INDEX('Retail Assumptions'!$L$49:$EO$49,,MATCH(DR16,'Retail Assumptions'!$L$5:$EO$5,0)),0)</f>
        <v>0</v>
      </c>
      <c r="DS61" s="125" cm="1">
        <f t="array" ref="DS61">IFERROR(INDEX('Retail Assumptions'!$L$49:$EO$49,,MATCH(DS16,'Retail Assumptions'!$L$5:$EO$5,0)),0)</f>
        <v>0</v>
      </c>
      <c r="DT61" s="125" cm="1">
        <f t="array" ref="DT61">IFERROR(INDEX('Retail Assumptions'!$L$49:$EO$49,,MATCH(DT16,'Retail Assumptions'!$L$5:$EO$5,0)),0)</f>
        <v>0</v>
      </c>
      <c r="DU61" s="125" cm="1">
        <f t="array" ref="DU61">IFERROR(INDEX('Retail Assumptions'!$L$49:$EO$49,,MATCH(DU16,'Retail Assumptions'!$L$5:$EO$5,0)),0)</f>
        <v>0</v>
      </c>
      <c r="DV61" s="125" cm="1">
        <f t="array" ref="DV61">IFERROR(INDEX('Retail Assumptions'!$L$49:$EO$49,,MATCH(DV16,'Retail Assumptions'!$L$5:$EO$5,0)),0)</f>
        <v>0</v>
      </c>
      <c r="DW61" s="125" cm="1">
        <f t="array" ref="DW61">IFERROR(INDEX('Retail Assumptions'!$L$49:$EO$49,,MATCH(DW16,'Retail Assumptions'!$L$5:$EO$5,0)),0)</f>
        <v>0</v>
      </c>
      <c r="DX61" s="125" cm="1">
        <f t="array" ref="DX61">IFERROR(INDEX('Retail Assumptions'!$L$49:$EO$49,,MATCH(DX16,'Retail Assumptions'!$L$5:$EO$5,0)),0)</f>
        <v>0</v>
      </c>
      <c r="DY61" s="125" cm="1">
        <f t="array" ref="DY61">IFERROR(INDEX('Retail Assumptions'!$L$49:$EO$49,,MATCH(DY16,'Retail Assumptions'!$L$5:$EO$5,0)),0)</f>
        <v>0</v>
      </c>
      <c r="DZ61" s="125" cm="1">
        <f t="array" ref="DZ61">IFERROR(INDEX('Retail Assumptions'!$L$49:$EO$49,,MATCH(DZ16,'Retail Assumptions'!$L$5:$EO$5,0)),0)</f>
        <v>0</v>
      </c>
      <c r="EA61" s="125" cm="1">
        <f t="array" ref="EA61">IFERROR(INDEX('Retail Assumptions'!$L$49:$EO$49,,MATCH(EA16,'Retail Assumptions'!$L$5:$EO$5,0)),0)</f>
        <v>0</v>
      </c>
      <c r="EB61" s="125" cm="1">
        <f t="array" ref="EB61">IFERROR(INDEX('Retail Assumptions'!$L$49:$EO$49,,MATCH(EB16,'Retail Assumptions'!$L$5:$EO$5,0)),0)</f>
        <v>0</v>
      </c>
      <c r="EC61" s="125" cm="1">
        <f t="array" ref="EC61">IFERROR(INDEX('Retail Assumptions'!$L$49:$EO$49,,MATCH(EC16,'Retail Assumptions'!$L$5:$EO$5,0)),0)</f>
        <v>0</v>
      </c>
      <c r="ED61" s="125" cm="1">
        <f t="array" ref="ED61">IFERROR(INDEX('Retail Assumptions'!$L$49:$EO$49,,MATCH(ED16,'Retail Assumptions'!$L$5:$EO$5,0)),0)</f>
        <v>0</v>
      </c>
      <c r="EE61" s="125" cm="1">
        <f t="array" ref="EE61">IFERROR(INDEX('Retail Assumptions'!$L$49:$EO$49,,MATCH(EE16,'Retail Assumptions'!$L$5:$EO$5,0)),0)</f>
        <v>0</v>
      </c>
      <c r="EF61" s="125" cm="1">
        <f t="array" ref="EF61">IFERROR(INDEX('Retail Assumptions'!$L$49:$EO$49,,MATCH(EF16,'Retail Assumptions'!$L$5:$EO$5,0)),0)</f>
        <v>0</v>
      </c>
      <c r="EG61" s="125" cm="1">
        <f t="array" ref="EG61">IFERROR(INDEX('Retail Assumptions'!$L$49:$EO$49,,MATCH(EG16,'Retail Assumptions'!$L$5:$EO$5,0)),0)</f>
        <v>0</v>
      </c>
      <c r="EH61" s="125" cm="1">
        <f t="array" ref="EH61">IFERROR(INDEX('Retail Assumptions'!$L$49:$EO$49,,MATCH(EH16,'Retail Assumptions'!$L$5:$EO$5,0)),0)</f>
        <v>0</v>
      </c>
      <c r="EI61" s="125" cm="1">
        <f t="array" ref="EI61">IFERROR(INDEX('Retail Assumptions'!$L$49:$EO$49,,MATCH(EI16,'Retail Assumptions'!$L$5:$EO$5,0)),0)</f>
        <v>0</v>
      </c>
    </row>
    <row r="62" spans="2:139" x14ac:dyDescent="0.45">
      <c r="B62" s="58" t="s">
        <v>173</v>
      </c>
      <c r="H62" s="65">
        <f>SUM(I61:T61)</f>
        <v>0</v>
      </c>
      <c r="I62" s="65">
        <f t="shared" ref="I62" si="214">SUM(J61:U61)</f>
        <v>0</v>
      </c>
      <c r="J62" s="65">
        <f t="shared" ref="J62" si="215">SUM(K61:V61)</f>
        <v>0</v>
      </c>
      <c r="K62" s="65">
        <f t="shared" ref="K62" si="216">SUM(L61:W61)</f>
        <v>0</v>
      </c>
      <c r="L62" s="65">
        <f t="shared" ref="L62" si="217">SUM(M61:X61)</f>
        <v>0</v>
      </c>
      <c r="M62" s="65">
        <f t="shared" ref="M62" si="218">SUM(N61:Y61)</f>
        <v>0</v>
      </c>
      <c r="N62" s="65">
        <f t="shared" ref="N62" si="219">SUM(O61:Z61)</f>
        <v>0</v>
      </c>
      <c r="O62" s="65">
        <f t="shared" ref="O62" si="220">SUM(P61:AA61)</f>
        <v>0</v>
      </c>
      <c r="P62" s="65">
        <f t="shared" ref="P62" si="221">SUM(Q61:AB61)</f>
        <v>0</v>
      </c>
      <c r="Q62" s="65">
        <f t="shared" ref="Q62" si="222">SUM(R61:AC61)</f>
        <v>0</v>
      </c>
      <c r="R62" s="65">
        <f t="shared" ref="R62" si="223">SUM(S61:AD61)</f>
        <v>0</v>
      </c>
      <c r="S62" s="65">
        <f t="shared" ref="S62" si="224">SUM(T61:AE61)</f>
        <v>0</v>
      </c>
      <c r="T62" s="65">
        <f t="shared" ref="T62" si="225">SUM(U61:AF61)</f>
        <v>0</v>
      </c>
      <c r="U62" s="65">
        <f t="shared" ref="U62" si="226">SUM(V61:AG61)</f>
        <v>0</v>
      </c>
      <c r="V62" s="65">
        <f t="shared" ref="V62" si="227">SUM(W61:AH61)</f>
        <v>0</v>
      </c>
      <c r="W62" s="65">
        <f t="shared" ref="W62" si="228">SUM(X61:AI61)</f>
        <v>0</v>
      </c>
      <c r="X62" s="65">
        <f t="shared" ref="X62" si="229">SUM(Y61:AJ61)</f>
        <v>0</v>
      </c>
      <c r="Y62" s="65">
        <f t="shared" ref="Y62" si="230">SUM(Z61:AK61)</f>
        <v>0</v>
      </c>
      <c r="Z62" s="65">
        <f t="shared" ref="Z62" si="231">SUM(AA61:AL61)</f>
        <v>0</v>
      </c>
      <c r="AA62" s="65">
        <f t="shared" ref="AA62" si="232">SUM(AB61:AM61)</f>
        <v>0</v>
      </c>
      <c r="AB62" s="65">
        <f t="shared" ref="AB62" si="233">SUM(AC61:AN61)</f>
        <v>0</v>
      </c>
      <c r="AC62" s="65">
        <f t="shared" ref="AC62" si="234">SUM(AD61:AO61)</f>
        <v>0</v>
      </c>
      <c r="AD62" s="65">
        <f t="shared" ref="AD62" si="235">SUM(AE61:AP61)</f>
        <v>0</v>
      </c>
      <c r="AE62" s="65">
        <f t="shared" ref="AE62" si="236">SUM(AF61:AQ61)</f>
        <v>0</v>
      </c>
      <c r="AF62" s="65">
        <f t="shared" ref="AF62" si="237">SUM(AG61:AR61)</f>
        <v>0</v>
      </c>
      <c r="AG62" s="65">
        <f t="shared" ref="AG62" si="238">SUM(AH61:AS61)</f>
        <v>0</v>
      </c>
      <c r="AH62" s="65">
        <f t="shared" ref="AH62" si="239">SUM(AI61:AT61)</f>
        <v>0</v>
      </c>
      <c r="AI62" s="65">
        <f t="shared" ref="AI62" si="240">SUM(AJ61:AU61)</f>
        <v>0</v>
      </c>
      <c r="AJ62" s="65">
        <f t="shared" ref="AJ62" si="241">SUM(AK61:AV61)</f>
        <v>0</v>
      </c>
      <c r="AK62" s="65">
        <f t="shared" ref="AK62" si="242">SUM(AL61:AW61)</f>
        <v>0</v>
      </c>
      <c r="AL62" s="65">
        <f t="shared" ref="AL62" si="243">SUM(AM61:AX61)</f>
        <v>0</v>
      </c>
      <c r="AM62" s="65">
        <f t="shared" ref="AM62" si="244">SUM(AN61:AY61)</f>
        <v>0</v>
      </c>
      <c r="AN62" s="65">
        <f t="shared" ref="AN62" si="245">SUM(AO61:AZ61)</f>
        <v>0</v>
      </c>
      <c r="AO62" s="65">
        <f t="shared" ref="AO62" si="246">SUM(AP61:BA61)</f>
        <v>0</v>
      </c>
      <c r="AP62" s="65">
        <f t="shared" ref="AP62" si="247">SUM(AQ61:BB61)</f>
        <v>0</v>
      </c>
      <c r="AQ62" s="65">
        <f t="shared" ref="AQ62" si="248">SUM(AR61:BC61)</f>
        <v>0</v>
      </c>
      <c r="AR62" s="65">
        <f t="shared" ref="AR62" si="249">SUM(AS61:BD61)</f>
        <v>0</v>
      </c>
      <c r="AS62" s="65">
        <f t="shared" ref="AS62" si="250">SUM(AT61:BE61)</f>
        <v>0</v>
      </c>
      <c r="AT62" s="65">
        <f t="shared" ref="AT62" si="251">SUM(AU61:BF61)</f>
        <v>0</v>
      </c>
      <c r="AU62" s="65">
        <f t="shared" ref="AU62" si="252">SUM(AV61:BG61)</f>
        <v>0</v>
      </c>
      <c r="AV62" s="65">
        <f t="shared" ref="AV62" si="253">SUM(AW61:BH61)</f>
        <v>0</v>
      </c>
      <c r="AW62" s="65">
        <f t="shared" ref="AW62" si="254">SUM(AX61:BI61)</f>
        <v>0</v>
      </c>
      <c r="AX62" s="65">
        <f t="shared" ref="AX62" si="255">SUM(AY61:BJ61)</f>
        <v>0</v>
      </c>
      <c r="AY62" s="65">
        <f t="shared" ref="AY62" si="256">SUM(AZ61:BK61)</f>
        <v>0</v>
      </c>
      <c r="AZ62" s="65">
        <f t="shared" ref="AZ62" si="257">SUM(BA61:BL61)</f>
        <v>0</v>
      </c>
      <c r="BA62" s="65">
        <f t="shared" ref="BA62" si="258">SUM(BB61:BM61)</f>
        <v>0</v>
      </c>
      <c r="BB62" s="65">
        <f t="shared" ref="BB62" si="259">SUM(BC61:BN61)</f>
        <v>0</v>
      </c>
      <c r="BC62" s="65">
        <f t="shared" ref="BC62" si="260">SUM(BD61:BO61)</f>
        <v>0</v>
      </c>
      <c r="BD62" s="65">
        <f t="shared" ref="BD62" si="261">SUM(BE61:BP61)</f>
        <v>0</v>
      </c>
      <c r="BE62" s="65">
        <f t="shared" ref="BE62" si="262">SUM(BF61:BQ61)</f>
        <v>0</v>
      </c>
      <c r="BF62" s="65">
        <f t="shared" ref="BF62" si="263">SUM(BG61:BR61)</f>
        <v>0</v>
      </c>
      <c r="BG62" s="65">
        <f t="shared" ref="BG62" si="264">SUM(BH61:BS61)</f>
        <v>0</v>
      </c>
      <c r="BH62" s="65">
        <f t="shared" ref="BH62" si="265">SUM(BI61:BT61)</f>
        <v>0</v>
      </c>
      <c r="BI62" s="65">
        <f t="shared" ref="BI62" si="266">SUM(BJ61:BU61)</f>
        <v>0</v>
      </c>
      <c r="BJ62" s="65">
        <f t="shared" ref="BJ62" si="267">SUM(BK61:BV61)</f>
        <v>0</v>
      </c>
      <c r="BK62" s="65">
        <f t="shared" ref="BK62" si="268">SUM(BL61:BW61)</f>
        <v>0</v>
      </c>
      <c r="BL62" s="65">
        <f t="shared" ref="BL62" si="269">SUM(BM61:BX61)</f>
        <v>0</v>
      </c>
      <c r="BM62" s="65">
        <f t="shared" ref="BM62" si="270">SUM(BN61:BY61)</f>
        <v>0</v>
      </c>
      <c r="BN62" s="65">
        <f t="shared" ref="BN62" si="271">SUM(BO61:BZ61)</f>
        <v>0</v>
      </c>
      <c r="BO62" s="65">
        <f t="shared" ref="BO62" si="272">SUM(BP61:CA61)</f>
        <v>0</v>
      </c>
      <c r="BP62" s="65">
        <f t="shared" ref="BP62" si="273">SUM(BQ61:CB61)</f>
        <v>0</v>
      </c>
      <c r="BQ62" s="65">
        <f t="shared" ref="BQ62" si="274">SUM(BR61:CC61)</f>
        <v>0</v>
      </c>
      <c r="BR62" s="65">
        <f t="shared" ref="BR62" si="275">SUM(BS61:CD61)</f>
        <v>0</v>
      </c>
      <c r="BS62" s="65">
        <f t="shared" ref="BS62" si="276">SUM(BT61:CE61)</f>
        <v>0</v>
      </c>
      <c r="BT62" s="65">
        <f t="shared" ref="BT62" si="277">SUM(BU61:CF61)</f>
        <v>0</v>
      </c>
      <c r="BU62" s="65">
        <f t="shared" ref="BU62" si="278">SUM(BV61:CG61)</f>
        <v>0</v>
      </c>
      <c r="BV62" s="65">
        <f t="shared" ref="BV62" si="279">SUM(BW61:CH61)</f>
        <v>0</v>
      </c>
      <c r="BW62" s="65">
        <f t="shared" ref="BW62" si="280">SUM(BX61:CI61)</f>
        <v>0</v>
      </c>
      <c r="BX62" s="65">
        <f t="shared" ref="BX62" si="281">SUM(BY61:CJ61)</f>
        <v>0</v>
      </c>
      <c r="BY62" s="65">
        <f t="shared" ref="BY62" si="282">SUM(BZ61:CK61)</f>
        <v>0</v>
      </c>
      <c r="BZ62" s="65">
        <f t="shared" ref="BZ62" si="283">SUM(CA61:CL61)</f>
        <v>0</v>
      </c>
      <c r="CA62" s="65">
        <f t="shared" ref="CA62" si="284">SUM(CB61:CM61)</f>
        <v>0</v>
      </c>
      <c r="CB62" s="65">
        <f t="shared" ref="CB62" si="285">SUM(CC61:CN61)</f>
        <v>0</v>
      </c>
      <c r="CC62" s="65">
        <f t="shared" ref="CC62" si="286">SUM(CD61:CO61)</f>
        <v>0</v>
      </c>
      <c r="CD62" s="65">
        <f t="shared" ref="CD62" si="287">SUM(CE61:CP61)</f>
        <v>0</v>
      </c>
      <c r="CE62" s="65">
        <f t="shared" ref="CE62" si="288">SUM(CF61:CQ61)</f>
        <v>0</v>
      </c>
      <c r="CF62" s="65">
        <f t="shared" ref="CF62" si="289">SUM(CG61:CR61)</f>
        <v>0</v>
      </c>
      <c r="CG62" s="65">
        <f t="shared" ref="CG62" si="290">SUM(CH61:CS61)</f>
        <v>0</v>
      </c>
      <c r="CH62" s="65">
        <f t="shared" ref="CH62" si="291">SUM(CI61:CT61)</f>
        <v>0</v>
      </c>
      <c r="CI62" s="65">
        <f t="shared" ref="CI62" si="292">SUM(CJ61:CU61)</f>
        <v>0</v>
      </c>
      <c r="CJ62" s="65">
        <f t="shared" ref="CJ62" si="293">SUM(CK61:CV61)</f>
        <v>0</v>
      </c>
      <c r="CK62" s="65">
        <f t="shared" ref="CK62" si="294">SUM(CL61:CW61)</f>
        <v>0</v>
      </c>
      <c r="CL62" s="65">
        <f t="shared" ref="CL62" si="295">SUM(CM61:CX61)</f>
        <v>0</v>
      </c>
      <c r="CM62" s="65">
        <f t="shared" ref="CM62" si="296">SUM(CN61:CY61)</f>
        <v>0</v>
      </c>
      <c r="CN62" s="65">
        <f t="shared" ref="CN62:CX62" si="297">SUM(CO61:EI61)</f>
        <v>0</v>
      </c>
      <c r="CO62" s="65">
        <f t="shared" si="297"/>
        <v>0</v>
      </c>
      <c r="CP62" s="65">
        <f t="shared" si="297"/>
        <v>0</v>
      </c>
      <c r="CQ62" s="65">
        <f t="shared" si="297"/>
        <v>0</v>
      </c>
      <c r="CR62" s="65">
        <f t="shared" si="297"/>
        <v>0</v>
      </c>
      <c r="CS62" s="65">
        <f t="shared" si="297"/>
        <v>0</v>
      </c>
      <c r="CT62" s="65">
        <f t="shared" si="297"/>
        <v>0</v>
      </c>
      <c r="CU62" s="65">
        <f t="shared" si="297"/>
        <v>0</v>
      </c>
      <c r="CV62" s="65">
        <f t="shared" si="297"/>
        <v>0</v>
      </c>
      <c r="CW62" s="65">
        <f t="shared" si="297"/>
        <v>0</v>
      </c>
      <c r="CX62" s="65">
        <f t="shared" si="297"/>
        <v>0</v>
      </c>
      <c r="CY62" s="65">
        <f>SUM(EJ61:ET61)</f>
        <v>0</v>
      </c>
      <c r="CZ62" s="65">
        <f t="shared" ref="CZ62" si="298">SUM(EJ61:EU61)</f>
        <v>0</v>
      </c>
      <c r="DA62" s="65">
        <f t="shared" ref="DA62" si="299">SUM(EK61:EV61)</f>
        <v>0</v>
      </c>
      <c r="DB62" s="65">
        <f t="shared" ref="DB62" si="300">SUM(EL61:EW61)</f>
        <v>0</v>
      </c>
      <c r="DC62" s="65">
        <f t="shared" ref="DC62" si="301">SUM(EM61:EX61)</f>
        <v>0</v>
      </c>
      <c r="DD62" s="65">
        <f t="shared" ref="DD62" si="302">SUM(EN61:EY61)</f>
        <v>0</v>
      </c>
      <c r="DE62" s="65">
        <f t="shared" ref="DE62" si="303">SUM(EO61:EZ61)</f>
        <v>0</v>
      </c>
      <c r="DF62" s="65">
        <f t="shared" ref="DF62" si="304">SUM(EP61:FA61)</f>
        <v>0</v>
      </c>
      <c r="DG62" s="65">
        <f t="shared" ref="DG62" si="305">SUM(EQ61:FB61)</f>
        <v>0</v>
      </c>
      <c r="DH62" s="65">
        <f t="shared" ref="DH62" si="306">SUM(ER61:FC61)</f>
        <v>0</v>
      </c>
      <c r="DI62" s="65">
        <f t="shared" ref="DI62" si="307">SUM(ES61:FD61)</f>
        <v>0</v>
      </c>
      <c r="DJ62" s="65">
        <f t="shared" ref="DJ62" si="308">SUM(ET61:FE61)</f>
        <v>0</v>
      </c>
      <c r="DK62" s="65">
        <f t="shared" ref="DK62" si="309">SUM(EU61:FF61)</f>
        <v>0</v>
      </c>
      <c r="DL62" s="65">
        <f t="shared" ref="DL62" si="310">SUM(EV61:FG61)</f>
        <v>0</v>
      </c>
      <c r="DM62" s="65">
        <f t="shared" ref="DM62" si="311">SUM(EW61:FH61)</f>
        <v>0</v>
      </c>
      <c r="DN62" s="65">
        <f t="shared" ref="DN62" si="312">SUM(EX61:FI61)</f>
        <v>0</v>
      </c>
      <c r="DO62" s="65">
        <f t="shared" ref="DO62" si="313">SUM(EY61:FJ61)</f>
        <v>0</v>
      </c>
      <c r="DP62" s="65">
        <f t="shared" ref="DP62" si="314">SUM(EZ61:FK61)</f>
        <v>0</v>
      </c>
      <c r="DQ62" s="65">
        <f t="shared" ref="DQ62" si="315">SUM(FA61:FL61)</f>
        <v>0</v>
      </c>
      <c r="DR62" s="65">
        <f t="shared" ref="DR62" si="316">SUM(FB61:FM61)</f>
        <v>0</v>
      </c>
      <c r="DS62" s="65">
        <f t="shared" ref="DS62" si="317">SUM(FC61:FN61)</f>
        <v>0</v>
      </c>
      <c r="DT62" s="65">
        <f t="shared" ref="DT62" si="318">SUM(FD61:FO61)</f>
        <v>0</v>
      </c>
      <c r="DU62" s="65">
        <f t="shared" ref="DU62" si="319">SUM(FE61:FP61)</f>
        <v>0</v>
      </c>
      <c r="DV62" s="65">
        <f t="shared" ref="DV62" si="320">SUM(FF61:FQ61)</f>
        <v>0</v>
      </c>
      <c r="DW62" s="65">
        <f t="shared" ref="DW62" si="321">SUM(FG61:FR61)</f>
        <v>0</v>
      </c>
      <c r="DX62" s="65">
        <f t="shared" ref="DX62" si="322">SUM(FH61:FS61)</f>
        <v>0</v>
      </c>
      <c r="DY62" s="65">
        <f t="shared" ref="DY62" si="323">SUM(FI61:FT61)</f>
        <v>0</v>
      </c>
      <c r="DZ62" s="65">
        <f t="shared" ref="DZ62" si="324">SUM(FJ61:FU61)</f>
        <v>0</v>
      </c>
      <c r="EA62" s="65">
        <f t="shared" ref="EA62" si="325">SUM(FK61:FV61)</f>
        <v>0</v>
      </c>
      <c r="EB62" s="65">
        <f t="shared" ref="EB62" si="326">SUM(FL61:FW61)</f>
        <v>0</v>
      </c>
      <c r="EC62" s="65">
        <f t="shared" ref="EC62" si="327">SUM(FM61:FX61)</f>
        <v>0</v>
      </c>
      <c r="ED62" s="65">
        <f t="shared" ref="ED62" si="328">SUM(FN61:FY61)</f>
        <v>0</v>
      </c>
      <c r="EE62" s="65">
        <f t="shared" ref="EE62" si="329">SUM(FO61:FZ61)</f>
        <v>0</v>
      </c>
      <c r="EF62" s="65">
        <f t="shared" ref="EF62" si="330">SUM(FP61:GA61)</f>
        <v>0</v>
      </c>
      <c r="EG62" s="65">
        <f t="shared" ref="EG62" si="331">SUM(FQ61:GB61)</f>
        <v>0</v>
      </c>
      <c r="EH62" s="65">
        <f t="shared" ref="EH62" si="332">SUM(FR61:GC61)</f>
        <v>0</v>
      </c>
      <c r="EI62" s="65">
        <f t="shared" ref="EI62" si="333">SUM(FS61:GD61)</f>
        <v>0</v>
      </c>
    </row>
    <row r="64" spans="2:139" x14ac:dyDescent="0.45">
      <c r="B64" s="67" t="s">
        <v>152</v>
      </c>
    </row>
    <row r="65" spans="2:139" x14ac:dyDescent="0.45">
      <c r="B65" s="71" t="s">
        <v>150</v>
      </c>
      <c r="C65" s="71"/>
      <c r="D65" s="71"/>
      <c r="E65" s="71"/>
      <c r="F65" s="71"/>
      <c r="G65" s="71"/>
      <c r="H65" s="72">
        <f>(H61&gt;0)*'Retail Assumptions'!$J$57/12*'NOI Walk'!H12</f>
        <v>0</v>
      </c>
      <c r="I65" s="72">
        <f>(I61&gt;0)*'Retail Assumptions'!$J$57/12*'NOI Walk'!I12</f>
        <v>0</v>
      </c>
      <c r="J65" s="72">
        <f>(J61&gt;0)*'Retail Assumptions'!$J$57/12*'NOI Walk'!J12</f>
        <v>0</v>
      </c>
      <c r="K65" s="72">
        <f>(K61&gt;0)*'Retail Assumptions'!$J$57/12*'NOI Walk'!K12</f>
        <v>0</v>
      </c>
      <c r="L65" s="72">
        <f>(L61&gt;0)*'Retail Assumptions'!$J$57/12*'NOI Walk'!L12</f>
        <v>0</v>
      </c>
      <c r="M65" s="72">
        <f>(M61&gt;0)*'Retail Assumptions'!$J$57/12*'NOI Walk'!M12</f>
        <v>0</v>
      </c>
      <c r="N65" s="72">
        <f>(N61&gt;0)*'Retail Assumptions'!$J$57/12*'NOI Walk'!N12</f>
        <v>0</v>
      </c>
      <c r="O65" s="72">
        <f>(O61&gt;0)*'Retail Assumptions'!$J$57/12*'NOI Walk'!O12</f>
        <v>0</v>
      </c>
      <c r="P65" s="72">
        <f>(P61&gt;0)*'Retail Assumptions'!$J$57/12*'NOI Walk'!P12</f>
        <v>0</v>
      </c>
      <c r="Q65" s="72">
        <f>(Q61&gt;0)*'Retail Assumptions'!$J$57/12*'NOI Walk'!Q12</f>
        <v>0</v>
      </c>
      <c r="R65" s="72">
        <f>(R61&gt;0)*'Retail Assumptions'!$J$57/12*'NOI Walk'!R12</f>
        <v>0</v>
      </c>
      <c r="S65" s="72">
        <f>(S61&gt;0)*'Retail Assumptions'!$J$57/12*'NOI Walk'!S12</f>
        <v>0</v>
      </c>
      <c r="T65" s="72">
        <f>(T61&gt;0)*'Retail Assumptions'!$J$57/12*'NOI Walk'!T12</f>
        <v>0</v>
      </c>
      <c r="U65" s="72">
        <f>(U61&gt;0)*'Retail Assumptions'!$J$57/12*'NOI Walk'!U12</f>
        <v>0</v>
      </c>
      <c r="V65" s="72">
        <f>(V61&gt;0)*'Retail Assumptions'!$J$57/12*'NOI Walk'!V12</f>
        <v>0</v>
      </c>
      <c r="W65" s="72">
        <f>(W61&gt;0)*'Retail Assumptions'!$J$57/12*'NOI Walk'!W12</f>
        <v>0</v>
      </c>
      <c r="X65" s="72">
        <f>(X61&gt;0)*'Retail Assumptions'!$J$57/12*'NOI Walk'!X12</f>
        <v>0</v>
      </c>
      <c r="Y65" s="72">
        <f>(Y61&gt;0)*'Retail Assumptions'!$J$57/12*'NOI Walk'!Y12</f>
        <v>0</v>
      </c>
      <c r="Z65" s="72">
        <f>(Z61&gt;0)*'Retail Assumptions'!$J$57/12*'NOI Walk'!Z12</f>
        <v>0</v>
      </c>
      <c r="AA65" s="72">
        <f>(AA61&gt;0)*'Retail Assumptions'!$J$57/12*'NOI Walk'!AA12</f>
        <v>0</v>
      </c>
      <c r="AB65" s="72">
        <f>(AB61&gt;0)*'Retail Assumptions'!$J$57/12*'NOI Walk'!AB12</f>
        <v>0</v>
      </c>
      <c r="AC65" s="72">
        <f>(AC61&gt;0)*'Retail Assumptions'!$J$57/12*'NOI Walk'!AC12</f>
        <v>0</v>
      </c>
      <c r="AD65" s="72">
        <f>(AD61&gt;0)*'Retail Assumptions'!$J$57/12*'NOI Walk'!AD12</f>
        <v>0</v>
      </c>
      <c r="AE65" s="72">
        <f>(AE61&gt;0)*'Retail Assumptions'!$J$57/12*'NOI Walk'!AE12</f>
        <v>0</v>
      </c>
      <c r="AF65" s="72">
        <f>(AF61&gt;0)*'Retail Assumptions'!$J$57/12*'NOI Walk'!AF12</f>
        <v>0</v>
      </c>
      <c r="AG65" s="72">
        <f>(AG61&gt;0)*'Retail Assumptions'!$J$57/12*'NOI Walk'!AG12</f>
        <v>0</v>
      </c>
      <c r="AH65" s="72">
        <f>(AH61&gt;0)*'Retail Assumptions'!$J$57/12*'NOI Walk'!AH12</f>
        <v>0</v>
      </c>
      <c r="AI65" s="72">
        <f>(AI61&gt;0)*'Retail Assumptions'!$J$57/12*'NOI Walk'!AI12</f>
        <v>0</v>
      </c>
      <c r="AJ65" s="72">
        <f>(AJ61&gt;0)*'Retail Assumptions'!$J$57/12*'NOI Walk'!AJ12</f>
        <v>0</v>
      </c>
      <c r="AK65" s="72">
        <f>(AK61&gt;0)*'Retail Assumptions'!$J$57/12*'NOI Walk'!AK12</f>
        <v>0</v>
      </c>
      <c r="AL65" s="72">
        <f>(AL61&gt;0)*'Retail Assumptions'!$J$57/12*'NOI Walk'!AL12</f>
        <v>0</v>
      </c>
      <c r="AM65" s="72">
        <f>(AM61&gt;0)*'Retail Assumptions'!$J$57/12*'NOI Walk'!AM12</f>
        <v>0</v>
      </c>
      <c r="AN65" s="72">
        <f>(AN61&gt;0)*'Retail Assumptions'!$J$57/12*'NOI Walk'!AN12</f>
        <v>0</v>
      </c>
      <c r="AO65" s="72">
        <f>(AO61&gt;0)*'Retail Assumptions'!$J$57/12*'NOI Walk'!AO12</f>
        <v>0</v>
      </c>
      <c r="AP65" s="72">
        <f>(AP61&gt;0)*'Retail Assumptions'!$J$57/12*'NOI Walk'!AP12</f>
        <v>0</v>
      </c>
      <c r="AQ65" s="72">
        <f>(AQ61&gt;0)*'Retail Assumptions'!$J$57/12*'NOI Walk'!AQ12</f>
        <v>0</v>
      </c>
      <c r="AR65" s="72">
        <f>(AR61&gt;0)*'Retail Assumptions'!$J$57/12*'NOI Walk'!AR12</f>
        <v>0</v>
      </c>
      <c r="AS65" s="72">
        <f>(AS61&gt;0)*'Retail Assumptions'!$J$57/12*'NOI Walk'!AS12</f>
        <v>0</v>
      </c>
      <c r="AT65" s="72">
        <f>(AT61&gt;0)*'Retail Assumptions'!$J$57/12*'NOI Walk'!AT12</f>
        <v>0</v>
      </c>
      <c r="AU65" s="72">
        <f>(AU61&gt;0)*'Retail Assumptions'!$J$57/12*'NOI Walk'!AU12</f>
        <v>0</v>
      </c>
      <c r="AV65" s="72">
        <f>(AV61&gt;0)*'Retail Assumptions'!$J$57/12*'NOI Walk'!AV12</f>
        <v>0</v>
      </c>
      <c r="AW65" s="72">
        <f>(AW61&gt;0)*'Retail Assumptions'!$J$57/12*'NOI Walk'!AW12</f>
        <v>0</v>
      </c>
      <c r="AX65" s="72">
        <f>(AX61&gt;0)*'Retail Assumptions'!$J$57/12*'NOI Walk'!AX12</f>
        <v>0</v>
      </c>
      <c r="AY65" s="72">
        <f>(AY61&gt;0)*'Retail Assumptions'!$J$57/12*'NOI Walk'!AY12</f>
        <v>0</v>
      </c>
      <c r="AZ65" s="72">
        <f>(AZ61&gt;0)*'Retail Assumptions'!$J$57/12*'NOI Walk'!AZ12</f>
        <v>0</v>
      </c>
      <c r="BA65" s="72">
        <f>(BA61&gt;0)*'Retail Assumptions'!$J$57/12*'NOI Walk'!BA12</f>
        <v>0</v>
      </c>
      <c r="BB65" s="72">
        <f>(BB61&gt;0)*'Retail Assumptions'!$J$57/12*'NOI Walk'!BB12</f>
        <v>0</v>
      </c>
      <c r="BC65" s="72">
        <f>(BC61&gt;0)*'Retail Assumptions'!$J$57/12*'NOI Walk'!BC12</f>
        <v>0</v>
      </c>
      <c r="BD65" s="72">
        <f>(BD61&gt;0)*'Retail Assumptions'!$J$57/12*'NOI Walk'!BD12</f>
        <v>0</v>
      </c>
      <c r="BE65" s="72">
        <f>(BE61&gt;0)*'Retail Assumptions'!$J$57/12*'NOI Walk'!BE12</f>
        <v>0</v>
      </c>
      <c r="BF65" s="72">
        <f>(BF61&gt;0)*'Retail Assumptions'!$J$57/12*'NOI Walk'!BF12</f>
        <v>0</v>
      </c>
      <c r="BG65" s="72">
        <f>(BG61&gt;0)*'Retail Assumptions'!$J$57/12*'NOI Walk'!BG12</f>
        <v>0</v>
      </c>
      <c r="BH65" s="72">
        <f>(BH61&gt;0)*'Retail Assumptions'!$J$57/12*'NOI Walk'!BH12</f>
        <v>0</v>
      </c>
      <c r="BI65" s="72">
        <f>(BI61&gt;0)*'Retail Assumptions'!$J$57/12*'NOI Walk'!BI12</f>
        <v>0</v>
      </c>
      <c r="BJ65" s="72">
        <f>(BJ61&gt;0)*'Retail Assumptions'!$J$57/12*'NOI Walk'!BJ12</f>
        <v>0</v>
      </c>
      <c r="BK65" s="72">
        <f>(BK61&gt;0)*'Retail Assumptions'!$J$57/12*'NOI Walk'!BK12</f>
        <v>0</v>
      </c>
      <c r="BL65" s="72">
        <f>(BL61&gt;0)*'Retail Assumptions'!$J$57/12*'NOI Walk'!BL12</f>
        <v>0</v>
      </c>
      <c r="BM65" s="72">
        <f>(BM61&gt;0)*'Retail Assumptions'!$J$57/12*'NOI Walk'!BM12</f>
        <v>0</v>
      </c>
      <c r="BN65" s="72">
        <f>(BN61&gt;0)*'Retail Assumptions'!$J$57/12*'NOI Walk'!BN12</f>
        <v>0</v>
      </c>
      <c r="BO65" s="72">
        <f>(BO61&gt;0)*'Retail Assumptions'!$J$57/12*'NOI Walk'!BO12</f>
        <v>0</v>
      </c>
      <c r="BP65" s="72">
        <f>(BP61&gt;0)*'Retail Assumptions'!$J$57/12*'NOI Walk'!BP12</f>
        <v>0</v>
      </c>
      <c r="BQ65" s="72">
        <f>(BQ61&gt;0)*'Retail Assumptions'!$J$57/12*'NOI Walk'!BQ12</f>
        <v>0</v>
      </c>
      <c r="BR65" s="72">
        <f>(BR61&gt;0)*'Retail Assumptions'!$J$57/12*'NOI Walk'!BR12</f>
        <v>0</v>
      </c>
      <c r="BS65" s="72">
        <f>(BS61&gt;0)*'Retail Assumptions'!$J$57/12*'NOI Walk'!BS12</f>
        <v>0</v>
      </c>
      <c r="BT65" s="72">
        <f>(BT61&gt;0)*'Retail Assumptions'!$J$57/12*'NOI Walk'!BT12</f>
        <v>0</v>
      </c>
      <c r="BU65" s="72">
        <f>(BU61&gt;0)*'Retail Assumptions'!$J$57/12*'NOI Walk'!BU12</f>
        <v>0</v>
      </c>
      <c r="BV65" s="72">
        <f>(BV61&gt;0)*'Retail Assumptions'!$J$57/12*'NOI Walk'!BV12</f>
        <v>0</v>
      </c>
      <c r="BW65" s="72">
        <f>(BW61&gt;0)*'Retail Assumptions'!$J$57/12*'NOI Walk'!BW12</f>
        <v>0</v>
      </c>
      <c r="BX65" s="72">
        <f>(BX61&gt;0)*'Retail Assumptions'!$J$57/12*'NOI Walk'!BX12</f>
        <v>0</v>
      </c>
      <c r="BY65" s="72">
        <f>(BY61&gt;0)*'Retail Assumptions'!$J$57/12*'NOI Walk'!BY12</f>
        <v>0</v>
      </c>
      <c r="BZ65" s="72">
        <f>(BZ61&gt;0)*'Retail Assumptions'!$J$57/12*'NOI Walk'!BZ12</f>
        <v>0</v>
      </c>
      <c r="CA65" s="72">
        <f>(CA61&gt;0)*'Retail Assumptions'!$J$57/12*'NOI Walk'!CA12</f>
        <v>0</v>
      </c>
      <c r="CB65" s="72">
        <f>(CB61&gt;0)*'Retail Assumptions'!$J$57/12*'NOI Walk'!CB12</f>
        <v>0</v>
      </c>
      <c r="CC65" s="72">
        <f>(CC61&gt;0)*'Retail Assumptions'!$J$57/12*'NOI Walk'!CC12</f>
        <v>0</v>
      </c>
      <c r="CD65" s="72">
        <f>(CD61&gt;0)*'Retail Assumptions'!$J$57/12*'NOI Walk'!CD12</f>
        <v>0</v>
      </c>
      <c r="CE65" s="72">
        <f>(CE61&gt;0)*'Retail Assumptions'!$J$57/12*'NOI Walk'!CE12</f>
        <v>0</v>
      </c>
      <c r="CF65" s="72">
        <f>(CF61&gt;0)*'Retail Assumptions'!$J$57/12*'NOI Walk'!CF12</f>
        <v>0</v>
      </c>
      <c r="CG65" s="72">
        <f>(CG61&gt;0)*'Retail Assumptions'!$J$57/12*'NOI Walk'!CG12</f>
        <v>0</v>
      </c>
      <c r="CH65" s="72">
        <f>(CH61&gt;0)*'Retail Assumptions'!$J$57/12*'NOI Walk'!CH12</f>
        <v>0</v>
      </c>
      <c r="CI65" s="72">
        <f>(CI61&gt;0)*'Retail Assumptions'!$J$57/12*'NOI Walk'!CI12</f>
        <v>0</v>
      </c>
      <c r="CJ65" s="72">
        <f>(CJ61&gt;0)*'Retail Assumptions'!$J$57/12*'NOI Walk'!CJ12</f>
        <v>0</v>
      </c>
      <c r="CK65" s="72">
        <f>(CK61&gt;0)*'Retail Assumptions'!$J$57/12*'NOI Walk'!CK12</f>
        <v>0</v>
      </c>
      <c r="CL65" s="72">
        <f>(CL61&gt;0)*'Retail Assumptions'!$J$57/12*'NOI Walk'!CL12</f>
        <v>0</v>
      </c>
      <c r="CM65" s="72">
        <f>(CM61&gt;0)*'Retail Assumptions'!$J$57/12*'NOI Walk'!CM12</f>
        <v>0</v>
      </c>
      <c r="CN65" s="72">
        <f>(CN61&gt;0)*'Retail Assumptions'!$J$57/12*'NOI Walk'!CN12</f>
        <v>0</v>
      </c>
      <c r="CO65" s="72">
        <f>(CO61&gt;0)*'Retail Assumptions'!$J$57/12*'NOI Walk'!CO12</f>
        <v>0</v>
      </c>
      <c r="CP65" s="72">
        <f>(CP61&gt;0)*'Retail Assumptions'!$J$57/12*'NOI Walk'!CP12</f>
        <v>0</v>
      </c>
      <c r="CQ65" s="72">
        <f>(CQ61&gt;0)*'Retail Assumptions'!$J$57/12*'NOI Walk'!CQ12</f>
        <v>0</v>
      </c>
      <c r="CR65" s="72">
        <f>(CR61&gt;0)*'Retail Assumptions'!$J$57/12*'NOI Walk'!CR12</f>
        <v>0</v>
      </c>
      <c r="CS65" s="72">
        <f>(CS61&gt;0)*'Retail Assumptions'!$J$57/12*'NOI Walk'!CS12</f>
        <v>0</v>
      </c>
      <c r="CT65" s="72">
        <f>(CT61&gt;0)*'Retail Assumptions'!$J$57/12*'NOI Walk'!CT12</f>
        <v>0</v>
      </c>
      <c r="CU65" s="72">
        <f>(CU61&gt;0)*'Retail Assumptions'!$J$57/12*'NOI Walk'!CU12</f>
        <v>0</v>
      </c>
      <c r="CV65" s="72">
        <f>(CV61&gt;0)*'Retail Assumptions'!$J$57/12*'NOI Walk'!CV12</f>
        <v>0</v>
      </c>
      <c r="CW65" s="72">
        <f>(CW61&gt;0)*'Retail Assumptions'!$J$57/12*'NOI Walk'!CW12</f>
        <v>0</v>
      </c>
      <c r="CX65" s="72">
        <f>(CX61&gt;0)*'Retail Assumptions'!$J$57/12*'NOI Walk'!CX12</f>
        <v>0</v>
      </c>
      <c r="CY65" s="72">
        <f>(CY61&gt;0)*'Retail Assumptions'!$J$57/12*'NOI Walk'!CY12</f>
        <v>0</v>
      </c>
      <c r="CZ65" s="72">
        <f>(CZ61&gt;0)*'Retail Assumptions'!$J$57/12*'NOI Walk'!CZ12</f>
        <v>0</v>
      </c>
      <c r="DA65" s="72">
        <f>(DA61&gt;0)*'Retail Assumptions'!$J$57/12*'NOI Walk'!DA12</f>
        <v>0</v>
      </c>
      <c r="DB65" s="72">
        <f>(DB61&gt;0)*'Retail Assumptions'!$J$57/12*'NOI Walk'!DB12</f>
        <v>0</v>
      </c>
      <c r="DC65" s="72">
        <f>(DC61&gt;0)*'Retail Assumptions'!$J$57/12*'NOI Walk'!DC12</f>
        <v>0</v>
      </c>
      <c r="DD65" s="72">
        <f>(DD61&gt;0)*'Retail Assumptions'!$J$57/12*'NOI Walk'!DD12</f>
        <v>0</v>
      </c>
      <c r="DE65" s="72">
        <f>(DE61&gt;0)*'Retail Assumptions'!$J$57/12*'NOI Walk'!DE12</f>
        <v>0</v>
      </c>
      <c r="DF65" s="72">
        <f>(DF61&gt;0)*'Retail Assumptions'!$J$57/12*'NOI Walk'!DF12</f>
        <v>0</v>
      </c>
      <c r="DG65" s="72">
        <f>(DG61&gt;0)*'Retail Assumptions'!$J$57/12*'NOI Walk'!DG12</f>
        <v>0</v>
      </c>
      <c r="DH65" s="72">
        <f>(DH61&gt;0)*'Retail Assumptions'!$J$57/12*'NOI Walk'!DH12</f>
        <v>0</v>
      </c>
      <c r="DI65" s="72">
        <f>(DI61&gt;0)*'Retail Assumptions'!$J$57/12*'NOI Walk'!DI12</f>
        <v>0</v>
      </c>
      <c r="DJ65" s="72">
        <f>(DJ61&gt;0)*'Retail Assumptions'!$J$57/12*'NOI Walk'!DJ12</f>
        <v>0</v>
      </c>
      <c r="DK65" s="72">
        <f>(DK61&gt;0)*'Retail Assumptions'!$J$57/12*'NOI Walk'!DK12</f>
        <v>0</v>
      </c>
      <c r="DL65" s="72">
        <f>(DL61&gt;0)*'Retail Assumptions'!$J$57/12*'NOI Walk'!DL12</f>
        <v>0</v>
      </c>
      <c r="DM65" s="72">
        <f>(DM61&gt;0)*'Retail Assumptions'!$J$57/12*'NOI Walk'!DM12</f>
        <v>0</v>
      </c>
      <c r="DN65" s="72">
        <f>(DN61&gt;0)*'Retail Assumptions'!$J$57/12*'NOI Walk'!DN12</f>
        <v>0</v>
      </c>
      <c r="DO65" s="72">
        <f>(DO61&gt;0)*'Retail Assumptions'!$J$57/12*'NOI Walk'!DO12</f>
        <v>0</v>
      </c>
      <c r="DP65" s="72">
        <f>(DP61&gt;0)*'Retail Assumptions'!$J$57/12*'NOI Walk'!DP12</f>
        <v>0</v>
      </c>
      <c r="DQ65" s="72">
        <f>(DQ61&gt;0)*'Retail Assumptions'!$J$57/12*'NOI Walk'!DQ12</f>
        <v>0</v>
      </c>
      <c r="DR65" s="72">
        <f>(DR61&gt;0)*'Retail Assumptions'!$J$57/12*'NOI Walk'!DR12</f>
        <v>0</v>
      </c>
      <c r="DS65" s="72">
        <f>(DS61&gt;0)*'Retail Assumptions'!$J$57/12*'NOI Walk'!DS12</f>
        <v>0</v>
      </c>
      <c r="DT65" s="72">
        <f>(DT61&gt;0)*'Retail Assumptions'!$J$57/12*'NOI Walk'!DT12</f>
        <v>0</v>
      </c>
      <c r="DU65" s="72">
        <f>(DU61&gt;0)*'Retail Assumptions'!$J$57/12*'NOI Walk'!DU12</f>
        <v>0</v>
      </c>
      <c r="DV65" s="72">
        <f>(DV61&gt;0)*'Retail Assumptions'!$J$57/12*'NOI Walk'!DV12</f>
        <v>0</v>
      </c>
      <c r="DW65" s="72">
        <f>(DW61&gt;0)*'Retail Assumptions'!$J$57/12*'NOI Walk'!DW12</f>
        <v>0</v>
      </c>
      <c r="DX65" s="72">
        <f>(DX61&gt;0)*'Retail Assumptions'!$J$57/12*'NOI Walk'!DX12</f>
        <v>0</v>
      </c>
      <c r="DY65" s="72">
        <f>(DY61&gt;0)*'Retail Assumptions'!$J$57/12*'NOI Walk'!DY12</f>
        <v>0</v>
      </c>
      <c r="DZ65" s="72">
        <f>(DZ61&gt;0)*'Retail Assumptions'!$J$57/12*'NOI Walk'!DZ12</f>
        <v>0</v>
      </c>
      <c r="EA65" s="72">
        <f>(EA61&gt;0)*'Retail Assumptions'!$J$57/12*'NOI Walk'!EA12</f>
        <v>0</v>
      </c>
      <c r="EB65" s="72">
        <f>(EB61&gt;0)*'Retail Assumptions'!$J$57/12*'NOI Walk'!EB12</f>
        <v>0</v>
      </c>
      <c r="EC65" s="72">
        <f>(EC61&gt;0)*'Retail Assumptions'!$J$57/12*'NOI Walk'!EC12</f>
        <v>0</v>
      </c>
      <c r="ED65" s="72">
        <f>(ED61&gt;0)*'Retail Assumptions'!$J$57/12*'NOI Walk'!ED12</f>
        <v>0</v>
      </c>
      <c r="EE65" s="72">
        <f>(EE61&gt;0)*'Retail Assumptions'!$J$57/12*'NOI Walk'!EE12</f>
        <v>0</v>
      </c>
      <c r="EF65" s="72">
        <f>(EF61&gt;0)*'Retail Assumptions'!$J$57/12*'NOI Walk'!EF12</f>
        <v>0</v>
      </c>
      <c r="EG65" s="72">
        <f>(EG61&gt;0)*'Retail Assumptions'!$J$57/12*'NOI Walk'!EG12</f>
        <v>0</v>
      </c>
      <c r="EH65" s="72">
        <f>(EH61&gt;0)*'Retail Assumptions'!$J$57/12*'NOI Walk'!EH12</f>
        <v>0</v>
      </c>
      <c r="EI65" s="72">
        <f>(EI61&gt;0)*'Retail Assumptions'!$J$57/12*'NOI Walk'!EI12</f>
        <v>0</v>
      </c>
    </row>
    <row r="67" spans="2:139" x14ac:dyDescent="0.45">
      <c r="B67" s="123" t="s">
        <v>162</v>
      </c>
      <c r="C67" s="123"/>
      <c r="D67" s="123"/>
      <c r="E67" s="123"/>
      <c r="F67" s="123"/>
      <c r="G67" s="123"/>
      <c r="H67" s="125">
        <f t="shared" ref="H67:AM67" si="334">+H61+H54</f>
        <v>80459.49491555561</v>
      </c>
      <c r="I67" s="125">
        <f t="shared" si="334"/>
        <v>75837.50810152918</v>
      </c>
      <c r="J67" s="125">
        <f t="shared" si="334"/>
        <v>71196.086942984344</v>
      </c>
      <c r="K67" s="125">
        <f t="shared" si="334"/>
        <v>66535.170775306193</v>
      </c>
      <c r="L67" s="125">
        <f t="shared" si="334"/>
        <v>69219.13678611799</v>
      </c>
      <c r="M67" s="125">
        <f t="shared" si="334"/>
        <v>73435.037491167575</v>
      </c>
      <c r="N67" s="125">
        <f t="shared" si="334"/>
        <v>76143.347400286555</v>
      </c>
      <c r="O67" s="125">
        <f t="shared" si="334"/>
        <v>78862.616593936764</v>
      </c>
      <c r="P67" s="125">
        <f t="shared" si="334"/>
        <v>81592.878969966987</v>
      </c>
      <c r="Q67" s="125">
        <f t="shared" si="334"/>
        <v>84334.168519882529</v>
      </c>
      <c r="R67" s="125">
        <f t="shared" si="334"/>
        <v>87086.519329087954</v>
      </c>
      <c r="S67" s="125">
        <f t="shared" si="334"/>
        <v>89849.965577130846</v>
      </c>
      <c r="T67" s="125">
        <f t="shared" si="334"/>
        <v>92624.541537946352</v>
      </c>
      <c r="U67" s="125">
        <f t="shared" si="334"/>
        <v>95410.281580101902</v>
      </c>
      <c r="V67" s="125">
        <f t="shared" si="334"/>
        <v>98207.220167042513</v>
      </c>
      <c r="W67" s="125">
        <f t="shared" si="334"/>
        <v>101015.3918573374</v>
      </c>
      <c r="X67" s="125">
        <f t="shared" si="334"/>
        <v>103834.83130492628</v>
      </c>
      <c r="Y67" s="125">
        <f t="shared" si="334"/>
        <v>106665.57325936688</v>
      </c>
      <c r="Z67" s="125">
        <f t="shared" si="334"/>
        <v>109507.65256608292</v>
      </c>
      <c r="AA67" s="125">
        <f t="shared" si="334"/>
        <v>112361.10416661281</v>
      </c>
      <c r="AB67" s="125">
        <f t="shared" si="334"/>
        <v>115225.96309885863</v>
      </c>
      <c r="AC67" s="125">
        <f t="shared" si="334"/>
        <v>118102.26449733601</v>
      </c>
      <c r="AD67" s="125">
        <f t="shared" si="334"/>
        <v>120990.04359342477</v>
      </c>
      <c r="AE67" s="125">
        <f t="shared" si="334"/>
        <v>123889.33571561983</v>
      </c>
      <c r="AF67" s="125">
        <f t="shared" si="334"/>
        <v>126800.17628978292</v>
      </c>
      <c r="AG67" s="125">
        <f t="shared" si="334"/>
        <v>129722.60083939495</v>
      </c>
      <c r="AH67" s="125">
        <f t="shared" si="334"/>
        <v>132656.64498580893</v>
      </c>
      <c r="AI67" s="125">
        <f t="shared" si="334"/>
        <v>140741.40304303775</v>
      </c>
      <c r="AJ67" s="125">
        <f t="shared" si="334"/>
        <v>148859.01999642252</v>
      </c>
      <c r="AK67" s="125">
        <f t="shared" si="334"/>
        <v>157009.59729925761</v>
      </c>
      <c r="AL67" s="125">
        <f t="shared" si="334"/>
        <v>157352.84686865599</v>
      </c>
      <c r="AM67" s="125">
        <f t="shared" si="334"/>
        <v>157696.83845172683</v>
      </c>
      <c r="AN67" s="125">
        <f t="shared" ref="AN67:BS67" si="335">+AN61+AN54</f>
        <v>158041.57363918249</v>
      </c>
      <c r="AO67" s="125">
        <f t="shared" si="335"/>
        <v>158387.05402512426</v>
      </c>
      <c r="AP67" s="125">
        <f t="shared" si="335"/>
        <v>158733.28120704924</v>
      </c>
      <c r="AQ67" s="125">
        <f t="shared" si="335"/>
        <v>159080.25678585787</v>
      </c>
      <c r="AR67" s="125">
        <f t="shared" si="335"/>
        <v>159427.98236586057</v>
      </c>
      <c r="AS67" s="125">
        <f t="shared" si="335"/>
        <v>159776.45955478557</v>
      </c>
      <c r="AT67" s="125">
        <f t="shared" si="335"/>
        <v>160125.68996378582</v>
      </c>
      <c r="AU67" s="125">
        <f t="shared" si="335"/>
        <v>160475.6752074463</v>
      </c>
      <c r="AV67" s="125">
        <f t="shared" si="335"/>
        <v>160826.41690379148</v>
      </c>
      <c r="AW67" s="125">
        <f t="shared" si="335"/>
        <v>161177.91667429238</v>
      </c>
      <c r="AX67" s="125">
        <f t="shared" si="335"/>
        <v>161530.17614387398</v>
      </c>
      <c r="AY67" s="125">
        <f t="shared" si="335"/>
        <v>161883.19694092253</v>
      </c>
      <c r="AZ67" s="125">
        <f t="shared" si="335"/>
        <v>162236.98069729286</v>
      </c>
      <c r="BA67" s="125">
        <f t="shared" si="335"/>
        <v>162591.52904831566</v>
      </c>
      <c r="BB67" s="125">
        <f t="shared" si="335"/>
        <v>162946.84363280522</v>
      </c>
      <c r="BC67" s="125">
        <f t="shared" si="335"/>
        <v>163302.92609306631</v>
      </c>
      <c r="BD67" s="125">
        <f t="shared" si="335"/>
        <v>163659.77807490193</v>
      </c>
      <c r="BE67" s="125">
        <f t="shared" si="335"/>
        <v>164017.4012276204</v>
      </c>
      <c r="BF67" s="125">
        <f t="shared" si="335"/>
        <v>164375.79720404325</v>
      </c>
      <c r="BG67" s="125">
        <f t="shared" si="335"/>
        <v>164734.96766051234</v>
      </c>
      <c r="BH67" s="125">
        <f t="shared" si="335"/>
        <v>165094.91425689735</v>
      </c>
      <c r="BI67" s="125">
        <f t="shared" si="335"/>
        <v>165455.63865660332</v>
      </c>
      <c r="BJ67" s="125">
        <f t="shared" si="335"/>
        <v>165817.1425265781</v>
      </c>
      <c r="BK67" s="125">
        <f t="shared" si="335"/>
        <v>166179.42753732001</v>
      </c>
      <c r="BL67" s="125">
        <f t="shared" si="335"/>
        <v>166542.49536288503</v>
      </c>
      <c r="BM67" s="125">
        <f t="shared" si="335"/>
        <v>166906.3476808948</v>
      </c>
      <c r="BN67" s="125">
        <f t="shared" si="335"/>
        <v>167270.98617254378</v>
      </c>
      <c r="BO67" s="125">
        <f t="shared" si="335"/>
        <v>167636.4125226069</v>
      </c>
      <c r="BP67" s="125">
        <f t="shared" si="335"/>
        <v>168002.62841944752</v>
      </c>
      <c r="BQ67" s="125">
        <f t="shared" si="335"/>
        <v>168369.63555502449</v>
      </c>
      <c r="BR67" s="125">
        <f t="shared" si="335"/>
        <v>168737.43562489998</v>
      </c>
      <c r="BS67" s="125">
        <f t="shared" si="335"/>
        <v>169106.03032824746</v>
      </c>
      <c r="BT67" s="125">
        <f t="shared" ref="BT67:CY67" si="336">+BT61+BT54</f>
        <v>169475.42136785877</v>
      </c>
      <c r="BU67" s="125">
        <f t="shared" si="336"/>
        <v>169845.61045015222</v>
      </c>
      <c r="BV67" s="125">
        <f t="shared" si="336"/>
        <v>170216.59928518004</v>
      </c>
      <c r="BW67" s="125">
        <f t="shared" si="336"/>
        <v>170588.38958663636</v>
      </c>
      <c r="BX67" s="125">
        <f t="shared" si="336"/>
        <v>170960.98307186441</v>
      </c>
      <c r="BY67" s="125">
        <f t="shared" si="336"/>
        <v>171334.38146186492</v>
      </c>
      <c r="BZ67" s="125">
        <f t="shared" si="336"/>
        <v>171708.58648130344</v>
      </c>
      <c r="CA67" s="125">
        <f t="shared" si="336"/>
        <v>172083.59985851802</v>
      </c>
      <c r="CB67" s="125">
        <f t="shared" si="336"/>
        <v>172459.42332552746</v>
      </c>
      <c r="CC67" s="125">
        <f t="shared" si="336"/>
        <v>172836.05861803866</v>
      </c>
      <c r="CD67" s="125">
        <f t="shared" si="336"/>
        <v>173213.50747545471</v>
      </c>
      <c r="CE67" s="125">
        <f t="shared" si="336"/>
        <v>173591.77164088254</v>
      </c>
      <c r="CF67" s="125">
        <f t="shared" si="336"/>
        <v>173970.8528611408</v>
      </c>
      <c r="CG67" s="125">
        <f t="shared" si="336"/>
        <v>174350.75288676808</v>
      </c>
      <c r="CH67" s="125">
        <f t="shared" si="336"/>
        <v>174731.47347203002</v>
      </c>
      <c r="CI67" s="125">
        <f t="shared" si="336"/>
        <v>175113.01637492809</v>
      </c>
      <c r="CJ67" s="125">
        <f t="shared" si="336"/>
        <v>175495.38335720691</v>
      </c>
      <c r="CK67" s="125">
        <f t="shared" si="336"/>
        <v>175878.57618436246</v>
      </c>
      <c r="CL67" s="125">
        <f t="shared" si="336"/>
        <v>176262.59662564978</v>
      </c>
      <c r="CM67" s="125">
        <f t="shared" si="336"/>
        <v>176647.44645409135</v>
      </c>
      <c r="CN67" s="125">
        <f t="shared" si="336"/>
        <v>177033.12744648458</v>
      </c>
      <c r="CO67" s="125">
        <f t="shared" si="336"/>
        <v>177419.64138341026</v>
      </c>
      <c r="CP67" s="125">
        <f t="shared" si="336"/>
        <v>177806.99004924021</v>
      </c>
      <c r="CQ67" s="125">
        <f t="shared" si="336"/>
        <v>178195.17523214553</v>
      </c>
      <c r="CR67" s="125">
        <f t="shared" si="336"/>
        <v>178584.19872410467</v>
      </c>
      <c r="CS67" s="125">
        <f t="shared" si="336"/>
        <v>178974.06232091127</v>
      </c>
      <c r="CT67" s="125">
        <f t="shared" si="336"/>
        <v>179364.76782218256</v>
      </c>
      <c r="CU67" s="125">
        <f t="shared" si="336"/>
        <v>179756.31703136722</v>
      </c>
      <c r="CV67" s="125">
        <f t="shared" si="336"/>
        <v>180148.71175575367</v>
      </c>
      <c r="CW67" s="125">
        <f t="shared" si="336"/>
        <v>180541.95380647795</v>
      </c>
      <c r="CX67" s="125">
        <f t="shared" si="336"/>
        <v>180936.04499853213</v>
      </c>
      <c r="CY67" s="125">
        <f t="shared" si="336"/>
        <v>181330.98715077253</v>
      </c>
      <c r="CZ67" s="125">
        <f t="shared" ref="CZ67:EI67" si="337">+CZ61+CZ54</f>
        <v>181726.78208592752</v>
      </c>
      <c r="DA67" s="125">
        <f t="shared" si="337"/>
        <v>182123.43163060624</v>
      </c>
      <c r="DB67" s="125">
        <f t="shared" si="337"/>
        <v>182520.93761530629</v>
      </c>
      <c r="DC67" s="125">
        <f t="shared" si="337"/>
        <v>182919.30187442258</v>
      </c>
      <c r="DD67" s="125">
        <f t="shared" si="337"/>
        <v>183318.52624625491</v>
      </c>
      <c r="DE67" s="125">
        <f t="shared" si="337"/>
        <v>183718.61257301673</v>
      </c>
      <c r="DF67" s="125">
        <f t="shared" si="337"/>
        <v>184119.56270084338</v>
      </c>
      <c r="DG67" s="125">
        <f t="shared" si="337"/>
        <v>184521.37847980013</v>
      </c>
      <c r="DH67" s="125">
        <f t="shared" si="337"/>
        <v>184924.06176389084</v>
      </c>
      <c r="DI67" s="125">
        <f t="shared" si="337"/>
        <v>185327.61441106608</v>
      </c>
      <c r="DJ67" s="125">
        <f t="shared" si="337"/>
        <v>185732.03828323149</v>
      </c>
      <c r="DK67" s="125">
        <f t="shared" si="337"/>
        <v>186137.33524625644</v>
      </c>
      <c r="DL67" s="125">
        <f t="shared" si="337"/>
        <v>186543.50716998195</v>
      </c>
      <c r="DM67" s="125">
        <f t="shared" si="337"/>
        <v>186950.55592822965</v>
      </c>
      <c r="DN67" s="125">
        <f t="shared" si="337"/>
        <v>187358.48339880971</v>
      </c>
      <c r="DO67" s="125">
        <f t="shared" si="337"/>
        <v>187767.29146352981</v>
      </c>
      <c r="DP67" s="125">
        <f t="shared" si="337"/>
        <v>188176.98200820296</v>
      </c>
      <c r="DQ67" s="125">
        <f t="shared" si="337"/>
        <v>188587.55692265666</v>
      </c>
      <c r="DR67" s="125">
        <f t="shared" si="337"/>
        <v>188999.01810074077</v>
      </c>
      <c r="DS67" s="125">
        <f t="shared" si="337"/>
        <v>189411.36744033685</v>
      </c>
      <c r="DT67" s="125">
        <f t="shared" si="337"/>
        <v>189824.60684336576</v>
      </c>
      <c r="DU67" s="125">
        <f t="shared" si="337"/>
        <v>190238.73821579682</v>
      </c>
      <c r="DV67" s="125">
        <f t="shared" si="337"/>
        <v>190653.76346765633</v>
      </c>
      <c r="DW67" s="125">
        <f t="shared" si="337"/>
        <v>191069.68451303599</v>
      </c>
      <c r="DX67" s="125">
        <f t="shared" si="337"/>
        <v>191486.5032701015</v>
      </c>
      <c r="DY67" s="125">
        <f t="shared" si="337"/>
        <v>191904.22166110144</v>
      </c>
      <c r="DZ67" s="125">
        <f t="shared" si="337"/>
        <v>192322.84161237584</v>
      </c>
      <c r="EA67" s="125">
        <f t="shared" si="337"/>
        <v>192742.3650543644</v>
      </c>
      <c r="EB67" s="125">
        <f t="shared" si="337"/>
        <v>193162.79392161599</v>
      </c>
      <c r="EC67" s="125">
        <f t="shared" si="337"/>
        <v>193584.13015279663</v>
      </c>
      <c r="ED67" s="125">
        <f t="shared" si="337"/>
        <v>194006.37569069862</v>
      </c>
      <c r="EE67" s="125">
        <f t="shared" si="337"/>
        <v>194429.53248224917</v>
      </c>
      <c r="EF67" s="125">
        <f t="shared" si="337"/>
        <v>194853.60247851908</v>
      </c>
      <c r="EG67" s="125">
        <f t="shared" si="337"/>
        <v>195278.58763473178</v>
      </c>
      <c r="EH67" s="125">
        <f t="shared" si="337"/>
        <v>195704.4899102716</v>
      </c>
      <c r="EI67" s="125">
        <f t="shared" si="337"/>
        <v>196131.31126869319</v>
      </c>
    </row>
    <row r="68" spans="2:139" x14ac:dyDescent="0.45">
      <c r="B68" s="58" t="s">
        <v>231</v>
      </c>
      <c r="H68" s="65">
        <f t="shared" ref="H68:AM68" si="338">+H62+H55</f>
        <v>949248.43964218826</v>
      </c>
      <c r="I68" s="65">
        <f t="shared" si="338"/>
        <v>968825.43222345598</v>
      </c>
      <c r="J68" s="65">
        <f t="shared" si="338"/>
        <v>995840.79158204654</v>
      </c>
      <c r="K68" s="65">
        <f t="shared" si="338"/>
        <v>1030325.2458421681</v>
      </c>
      <c r="L68" s="65">
        <f t="shared" si="338"/>
        <v>1064945.180594363</v>
      </c>
      <c r="M68" s="65">
        <f t="shared" si="338"/>
        <v>1098179.963663005</v>
      </c>
      <c r="N68" s="65">
        <f t="shared" si="338"/>
        <v>1131548.5232080782</v>
      </c>
      <c r="O68" s="65">
        <f t="shared" si="338"/>
        <v>1165051.2722506628</v>
      </c>
      <c r="P68" s="65">
        <f t="shared" si="338"/>
        <v>1198688.6249519133</v>
      </c>
      <c r="Q68" s="65">
        <f t="shared" si="338"/>
        <v>1232460.9966160126</v>
      </c>
      <c r="R68" s="65">
        <f t="shared" si="338"/>
        <v>1266368.8036931397</v>
      </c>
      <c r="S68" s="65">
        <f t="shared" si="338"/>
        <v>1300412.4637824404</v>
      </c>
      <c r="T68" s="65">
        <f t="shared" si="338"/>
        <v>1334592.3956350067</v>
      </c>
      <c r="U68" s="65">
        <f t="shared" si="338"/>
        <v>1368909.0191568637</v>
      </c>
      <c r="V68" s="65">
        <f t="shared" si="338"/>
        <v>1403362.7554119653</v>
      </c>
      <c r="W68" s="65">
        <f t="shared" si="338"/>
        <v>1443093.0852197283</v>
      </c>
      <c r="X68" s="65">
        <f t="shared" si="338"/>
        <v>1488121.5997309901</v>
      </c>
      <c r="Y68" s="65">
        <f t="shared" si="338"/>
        <v>1538469.9568003463</v>
      </c>
      <c r="Z68" s="65">
        <f t="shared" si="338"/>
        <v>1586319.4913541004</v>
      </c>
      <c r="AA68" s="65">
        <f t="shared" si="338"/>
        <v>1631659.573124148</v>
      </c>
      <c r="AB68" s="65">
        <f t="shared" si="338"/>
        <v>1674479.5383952127</v>
      </c>
      <c r="AC68" s="65">
        <f t="shared" si="338"/>
        <v>1714768.689911627</v>
      </c>
      <c r="AD68" s="65">
        <f t="shared" si="338"/>
        <v>1752516.2967838589</v>
      </c>
      <c r="AE68" s="65">
        <f t="shared" si="338"/>
        <v>1787711.5943948017</v>
      </c>
      <c r="AF68" s="65">
        <f t="shared" si="338"/>
        <v>1820343.7843058184</v>
      </c>
      <c r="AG68" s="65">
        <f t="shared" si="338"/>
        <v>1850402.0341625395</v>
      </c>
      <c r="AH68" s="65">
        <f t="shared" si="338"/>
        <v>1877875.4776004159</v>
      </c>
      <c r="AI68" s="65">
        <f t="shared" si="338"/>
        <v>1897614.1555554906</v>
      </c>
      <c r="AJ68" s="65">
        <f t="shared" si="338"/>
        <v>1909585.9655965103</v>
      </c>
      <c r="AK68" s="65">
        <f t="shared" si="338"/>
        <v>1913758.7054604182</v>
      </c>
      <c r="AL68" s="65">
        <f t="shared" si="338"/>
        <v>1917940.4625919911</v>
      </c>
      <c r="AM68" s="65">
        <f t="shared" si="338"/>
        <v>1922131.2563173019</v>
      </c>
      <c r="AN68" s="65">
        <f t="shared" ref="AN68:BS68" si="339">+AN62+AN55</f>
        <v>1926331.1060035878</v>
      </c>
      <c r="AO68" s="65">
        <f t="shared" si="339"/>
        <v>1930540.0310593352</v>
      </c>
      <c r="AP68" s="65">
        <f t="shared" si="339"/>
        <v>1934758.0509343678</v>
      </c>
      <c r="AQ68" s="65">
        <f t="shared" si="339"/>
        <v>1938985.1851199351</v>
      </c>
      <c r="AR68" s="65">
        <f t="shared" si="339"/>
        <v>1943221.4531487995</v>
      </c>
      <c r="AS68" s="65">
        <f t="shared" si="339"/>
        <v>1947466.8745953238</v>
      </c>
      <c r="AT68" s="65">
        <f t="shared" si="339"/>
        <v>1951721.4690755596</v>
      </c>
      <c r="AU68" s="65">
        <f t="shared" si="339"/>
        <v>1955985.2562473374</v>
      </c>
      <c r="AV68" s="65">
        <f t="shared" si="339"/>
        <v>1960258.2558103532</v>
      </c>
      <c r="AW68" s="65">
        <f t="shared" si="339"/>
        <v>1964540.4875062571</v>
      </c>
      <c r="AX68" s="65">
        <f t="shared" si="339"/>
        <v>1968831.9711187435</v>
      </c>
      <c r="AY68" s="65">
        <f t="shared" si="339"/>
        <v>1973132.7264736395</v>
      </c>
      <c r="AZ68" s="65">
        <f t="shared" si="339"/>
        <v>1977442.7734389948</v>
      </c>
      <c r="BA68" s="65">
        <f t="shared" si="339"/>
        <v>1981762.1319251696</v>
      </c>
      <c r="BB68" s="65">
        <f t="shared" si="339"/>
        <v>1986090.8218849266</v>
      </c>
      <c r="BC68" s="65">
        <f t="shared" si="339"/>
        <v>1990428.8633135187</v>
      </c>
      <c r="BD68" s="65">
        <f t="shared" si="339"/>
        <v>1994776.276248781</v>
      </c>
      <c r="BE68" s="65">
        <f t="shared" si="339"/>
        <v>1999133.0807712201</v>
      </c>
      <c r="BF68" s="65">
        <f t="shared" si="339"/>
        <v>2003499.2970041034</v>
      </c>
      <c r="BG68" s="65">
        <f t="shared" si="339"/>
        <v>2007874.9451135513</v>
      </c>
      <c r="BH68" s="65">
        <f t="shared" si="339"/>
        <v>2012260.0453086288</v>
      </c>
      <c r="BI68" s="65">
        <f t="shared" si="339"/>
        <v>2016654.6178414342</v>
      </c>
      <c r="BJ68" s="65">
        <f t="shared" si="339"/>
        <v>2021058.6830071909</v>
      </c>
      <c r="BK68" s="65">
        <f t="shared" si="339"/>
        <v>2025472.261144341</v>
      </c>
      <c r="BL68" s="65">
        <f t="shared" si="339"/>
        <v>2029895.3726346334</v>
      </c>
      <c r="BM68" s="65">
        <f t="shared" si="339"/>
        <v>2034328.0379032188</v>
      </c>
      <c r="BN68" s="65">
        <f t="shared" si="339"/>
        <v>2038770.2774187399</v>
      </c>
      <c r="BO68" s="65">
        <f t="shared" si="339"/>
        <v>2043222.1116934239</v>
      </c>
      <c r="BP68" s="65">
        <f t="shared" si="339"/>
        <v>2047683.5612831744</v>
      </c>
      <c r="BQ68" s="65">
        <f t="shared" si="339"/>
        <v>2052154.6467876658</v>
      </c>
      <c r="BR68" s="65">
        <f t="shared" si="339"/>
        <v>2056635.3888504331</v>
      </c>
      <c r="BS68" s="65">
        <f t="shared" si="339"/>
        <v>2061125.8081589681</v>
      </c>
      <c r="BT68" s="65">
        <f t="shared" ref="BT68:CY68" si="340">+BT62+BT55</f>
        <v>2065625.9254448093</v>
      </c>
      <c r="BU68" s="65">
        <f t="shared" si="340"/>
        <v>2070135.7614836388</v>
      </c>
      <c r="BV68" s="65">
        <f t="shared" si="340"/>
        <v>2074655.3370953731</v>
      </c>
      <c r="BW68" s="65">
        <f t="shared" si="340"/>
        <v>2079184.6731442572</v>
      </c>
      <c r="BX68" s="65">
        <f t="shared" si="340"/>
        <v>2083723.7905389594</v>
      </c>
      <c r="BY68" s="65">
        <f t="shared" si="340"/>
        <v>2088272.7102326655</v>
      </c>
      <c r="BZ68" s="65">
        <f t="shared" si="340"/>
        <v>2092831.4532231728</v>
      </c>
      <c r="CA68" s="65">
        <f t="shared" si="340"/>
        <v>2097400.0405529845</v>
      </c>
      <c r="CB68" s="65">
        <f t="shared" si="340"/>
        <v>2101978.4933094028</v>
      </c>
      <c r="CC68" s="65">
        <f t="shared" si="340"/>
        <v>2106566.8326246282</v>
      </c>
      <c r="CD68" s="65">
        <f t="shared" si="340"/>
        <v>2111165.0796758509</v>
      </c>
      <c r="CE68" s="65">
        <f t="shared" si="340"/>
        <v>2115773.2556853462</v>
      </c>
      <c r="CF68" s="65">
        <f t="shared" si="340"/>
        <v>2120391.3819205733</v>
      </c>
      <c r="CG68" s="65">
        <f t="shared" si="340"/>
        <v>2125019.4796942668</v>
      </c>
      <c r="CH68" s="65">
        <f t="shared" si="340"/>
        <v>2129657.5703645358</v>
      </c>
      <c r="CI68" s="65">
        <f t="shared" si="340"/>
        <v>2134305.6753349579</v>
      </c>
      <c r="CJ68" s="65">
        <f t="shared" si="340"/>
        <v>2138963.8160546776</v>
      </c>
      <c r="CK68" s="65">
        <f t="shared" si="340"/>
        <v>2143632.0140185016</v>
      </c>
      <c r="CL68" s="65">
        <f t="shared" si="340"/>
        <v>2148310.2907669949</v>
      </c>
      <c r="CM68" s="65">
        <f t="shared" si="340"/>
        <v>2152998.6678865794</v>
      </c>
      <c r="CN68" s="65">
        <f t="shared" si="340"/>
        <v>8783080.2714019213</v>
      </c>
      <c r="CO68" s="65">
        <f t="shared" si="340"/>
        <v>8605420.2181953844</v>
      </c>
      <c r="CP68" s="65">
        <f t="shared" si="340"/>
        <v>8427372.4156366494</v>
      </c>
      <c r="CQ68" s="65">
        <f t="shared" si="340"/>
        <v>8248936.0265408223</v>
      </c>
      <c r="CR68" s="65">
        <f t="shared" si="340"/>
        <v>8070110.2119299322</v>
      </c>
      <c r="CS68" s="65">
        <f t="shared" si="340"/>
        <v>7890894.1310290908</v>
      </c>
      <c r="CT68" s="65">
        <f t="shared" si="340"/>
        <v>7711286.9412626764</v>
      </c>
      <c r="CU68" s="65">
        <f t="shared" si="340"/>
        <v>7531287.7982505048</v>
      </c>
      <c r="CV68" s="65">
        <f t="shared" si="340"/>
        <v>7350895.8558039777</v>
      </c>
      <c r="CW68" s="65">
        <f t="shared" si="340"/>
        <v>7170110.2659222428</v>
      </c>
      <c r="CX68" s="65">
        <f t="shared" si="340"/>
        <v>6988930.1787883285</v>
      </c>
      <c r="CY68" s="65">
        <f t="shared" si="340"/>
        <v>6807354.7427652804</v>
      </c>
      <c r="CZ68" s="65">
        <f t="shared" ref="CZ68:EI68" si="341">+CZ62+CZ55</f>
        <v>6625383.104392291</v>
      </c>
      <c r="DA68" s="65">
        <f t="shared" si="341"/>
        <v>6443014.4083808102</v>
      </c>
      <c r="DB68" s="65">
        <f t="shared" si="341"/>
        <v>6260247.7976106619</v>
      </c>
      <c r="DC68" s="65">
        <f t="shared" si="341"/>
        <v>6077082.4131261399</v>
      </c>
      <c r="DD68" s="65">
        <f t="shared" si="341"/>
        <v>5893517.394132101</v>
      </c>
      <c r="DE68" s="65">
        <f t="shared" si="341"/>
        <v>5709551.8779900549</v>
      </c>
      <c r="DF68" s="65">
        <f t="shared" si="341"/>
        <v>5525185.0002142331</v>
      </c>
      <c r="DG68" s="65">
        <f t="shared" si="341"/>
        <v>5340415.894467663</v>
      </c>
      <c r="DH68" s="65">
        <f t="shared" si="341"/>
        <v>5155243.6925582243</v>
      </c>
      <c r="DI68" s="65">
        <f t="shared" si="341"/>
        <v>4969667.5244347015</v>
      </c>
      <c r="DJ68" s="65">
        <f t="shared" si="341"/>
        <v>4783686.5181828253</v>
      </c>
      <c r="DK68" s="65">
        <f t="shared" si="341"/>
        <v>4597299.8000213094</v>
      </c>
      <c r="DL68" s="65">
        <f t="shared" si="341"/>
        <v>4410506.494297877</v>
      </c>
      <c r="DM68" s="65">
        <f t="shared" si="341"/>
        <v>4223305.7234852733</v>
      </c>
      <c r="DN68" s="65">
        <f t="shared" si="341"/>
        <v>4035696.6081772847</v>
      </c>
      <c r="DO68" s="65">
        <f t="shared" si="341"/>
        <v>3847678.2670847257</v>
      </c>
      <c r="DP68" s="65">
        <f t="shared" si="341"/>
        <v>3659249.817031445</v>
      </c>
      <c r="DQ68" s="65">
        <f t="shared" si="341"/>
        <v>3470410.3729503024</v>
      </c>
      <c r="DR68" s="65">
        <f t="shared" si="341"/>
        <v>3281159.047879145</v>
      </c>
      <c r="DS68" s="65">
        <f t="shared" si="341"/>
        <v>3091494.9529567733</v>
      </c>
      <c r="DT68" s="65">
        <f t="shared" si="341"/>
        <v>2901417.1974189035</v>
      </c>
      <c r="DU68" s="65">
        <f t="shared" si="341"/>
        <v>2710924.8885941114</v>
      </c>
      <c r="DV68" s="65">
        <f t="shared" si="341"/>
        <v>2520017.1318997783</v>
      </c>
      <c r="DW68" s="65">
        <f t="shared" si="341"/>
        <v>2328693.0308380211</v>
      </c>
      <c r="DX68" s="65">
        <f t="shared" si="341"/>
        <v>2136951.6869916166</v>
      </c>
      <c r="DY68" s="65">
        <f t="shared" si="341"/>
        <v>1944792.2000199195</v>
      </c>
      <c r="DZ68" s="65">
        <f t="shared" si="341"/>
        <v>1752213.667654763</v>
      </c>
      <c r="EA68" s="65">
        <f t="shared" si="341"/>
        <v>1559215.1856963628</v>
      </c>
      <c r="EB68" s="65">
        <f t="shared" si="341"/>
        <v>1365795.8480092047</v>
      </c>
      <c r="EC68" s="65">
        <f t="shared" si="341"/>
        <v>1171954.7465179234</v>
      </c>
      <c r="ED68" s="65">
        <f t="shared" si="341"/>
        <v>977690.97120317607</v>
      </c>
      <c r="EE68" s="65">
        <f t="shared" si="341"/>
        <v>783003.61009750469</v>
      </c>
      <c r="EF68" s="65">
        <f t="shared" si="341"/>
        <v>587891.74928119103</v>
      </c>
      <c r="EG68" s="65">
        <f t="shared" si="341"/>
        <v>392354.47287810163</v>
      </c>
      <c r="EH68" s="65">
        <f t="shared" si="341"/>
        <v>196390.8630515252</v>
      </c>
      <c r="EI68" s="65">
        <f t="shared" si="341"/>
        <v>0</v>
      </c>
    </row>
    <row r="69" spans="2:139" x14ac:dyDescent="0.45">
      <c r="H69" s="65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  <c r="BI69" s="63"/>
      <c r="BJ69" s="63"/>
      <c r="BK69" s="63"/>
      <c r="BL69" s="63"/>
      <c r="BM69" s="63"/>
      <c r="BN69" s="63"/>
      <c r="BO69" s="63"/>
      <c r="BP69" s="63"/>
      <c r="BQ69" s="63"/>
      <c r="BR69" s="63"/>
      <c r="BS69" s="63"/>
      <c r="BT69" s="63"/>
      <c r="BU69" s="63"/>
      <c r="BV69" s="63"/>
      <c r="BW69" s="63"/>
      <c r="BX69" s="63"/>
      <c r="BY69" s="63"/>
      <c r="BZ69" s="63"/>
      <c r="CA69" s="63"/>
      <c r="CB69" s="63"/>
      <c r="CC69" s="63"/>
      <c r="CD69" s="63"/>
      <c r="CE69" s="63"/>
      <c r="CF69" s="63"/>
      <c r="CG69" s="63"/>
      <c r="CH69" s="63"/>
      <c r="CI69" s="63"/>
      <c r="CJ69" s="63"/>
      <c r="CK69" s="63"/>
      <c r="CL69" s="63"/>
      <c r="CM69" s="63"/>
      <c r="CN69" s="63"/>
      <c r="CO69" s="63"/>
      <c r="CP69" s="63"/>
      <c r="CQ69" s="63"/>
      <c r="CR69" s="63"/>
      <c r="CS69" s="63"/>
      <c r="CT69" s="63"/>
      <c r="CU69" s="63"/>
      <c r="CV69" s="63"/>
      <c r="CW69" s="63"/>
      <c r="CX69" s="63"/>
      <c r="CY69" s="63"/>
      <c r="CZ69" s="63"/>
      <c r="DA69" s="63"/>
      <c r="DB69" s="63"/>
      <c r="DC69" s="63"/>
      <c r="DD69" s="63"/>
      <c r="DE69" s="63"/>
      <c r="DF69" s="63"/>
      <c r="DG69" s="63"/>
      <c r="DH69" s="63"/>
      <c r="DI69" s="63"/>
      <c r="DJ69" s="63"/>
      <c r="DK69" s="63"/>
      <c r="DL69" s="63"/>
      <c r="DM69" s="63"/>
      <c r="DN69" s="63"/>
      <c r="DO69" s="63"/>
      <c r="DP69" s="63"/>
      <c r="DQ69" s="63"/>
      <c r="DR69" s="63"/>
      <c r="DS69" s="63"/>
      <c r="DT69" s="63"/>
      <c r="DU69" s="63"/>
      <c r="DV69" s="63"/>
      <c r="DW69" s="63"/>
      <c r="DX69" s="63"/>
      <c r="DY69" s="63"/>
      <c r="DZ69" s="63"/>
      <c r="EA69" s="63"/>
      <c r="EB69" s="63"/>
      <c r="EC69" s="63"/>
      <c r="ED69" s="63"/>
      <c r="EE69" s="63"/>
      <c r="EF69" s="63"/>
      <c r="EG69" s="63"/>
      <c r="EH69" s="63"/>
      <c r="EI69" s="63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A3C2A-57CD-4F2B-98C5-2EACE2F53594}">
  <sheetPr>
    <tabColor theme="4"/>
  </sheetPr>
  <dimension ref="B2:T188"/>
  <sheetViews>
    <sheetView showGridLines="0" workbookViewId="0">
      <selection activeCell="F13" sqref="F13"/>
    </sheetView>
  </sheetViews>
  <sheetFormatPr defaultRowHeight="14.25" x14ac:dyDescent="0.45"/>
  <cols>
    <col min="4" max="4" width="10.1328125" bestFit="1" customWidth="1"/>
    <col min="5" max="5" width="10.1328125" customWidth="1"/>
    <col min="8" max="8" width="10.1328125" bestFit="1" customWidth="1"/>
    <col min="15" max="15" width="9.796875" bestFit="1" customWidth="1"/>
    <col min="16" max="16" width="9.86328125" bestFit="1" customWidth="1"/>
    <col min="17" max="17" width="10.59765625" bestFit="1" customWidth="1"/>
    <col min="18" max="18" width="9.796875" bestFit="1" customWidth="1"/>
  </cols>
  <sheetData>
    <row r="2" spans="2:20" x14ac:dyDescent="0.45">
      <c r="B2" s="151" t="str">
        <f>+Assumptions!B27</f>
        <v>Acquisition Loan</v>
      </c>
      <c r="C2" s="3"/>
      <c r="D2" s="3"/>
      <c r="E2" s="3"/>
      <c r="F2" s="4"/>
      <c r="G2" s="152"/>
      <c r="H2" s="217"/>
      <c r="M2" s="151" t="str">
        <f>Assumptions!B33</f>
        <v>Permanent Loan</v>
      </c>
      <c r="N2" s="3"/>
      <c r="O2" s="3"/>
      <c r="P2" s="4"/>
      <c r="Q2" s="152"/>
      <c r="R2" s="217"/>
    </row>
    <row r="3" spans="2:20" x14ac:dyDescent="0.45">
      <c r="B3" s="137" t="str">
        <f>+Assumptions!B28</f>
        <v>Origination</v>
      </c>
      <c r="C3" s="1"/>
      <c r="D3" s="1"/>
      <c r="E3" s="1"/>
      <c r="F3" s="1"/>
      <c r="G3" s="6"/>
      <c r="H3" s="218">
        <f>+Assumptions!G28</f>
        <v>0</v>
      </c>
      <c r="M3" s="137" t="str">
        <f>Assumptions!B35</f>
        <v>Seasoning Period Post Stabilization</v>
      </c>
      <c r="N3" s="1"/>
      <c r="O3" s="1"/>
      <c r="P3" s="1"/>
      <c r="Q3" s="6"/>
      <c r="R3" s="218">
        <f>Assumptions!G35</f>
        <v>3</v>
      </c>
    </row>
    <row r="4" spans="2:20" x14ac:dyDescent="0.45">
      <c r="B4" s="137" t="str">
        <f>+Assumptions!I29</f>
        <v>Rate</v>
      </c>
      <c r="C4" s="1"/>
      <c r="D4" s="1"/>
      <c r="E4" s="1"/>
      <c r="F4" s="1"/>
      <c r="G4" s="6"/>
      <c r="H4" s="220">
        <f>+Assumptions!L29</f>
        <v>0.1</v>
      </c>
      <c r="M4" s="137" t="str">
        <f>Assumptions!B36</f>
        <v>Refinancing Month</v>
      </c>
      <c r="N4" s="1"/>
      <c r="O4" s="1"/>
      <c r="P4" s="1"/>
      <c r="Q4" s="6"/>
      <c r="R4" s="219">
        <f>Assumptions!G36</f>
        <v>33</v>
      </c>
    </row>
    <row r="5" spans="2:20" x14ac:dyDescent="0.45">
      <c r="B5" s="137" t="str">
        <f>+Assumptions!I30</f>
        <v>Amortization</v>
      </c>
      <c r="C5" s="1"/>
      <c r="D5" s="1"/>
      <c r="E5" s="1"/>
      <c r="F5" s="1"/>
      <c r="G5" s="6"/>
      <c r="H5" s="221">
        <f>+Assumptions!L30</f>
        <v>30</v>
      </c>
      <c r="M5" s="137" t="str">
        <f>Assumptions!B37</f>
        <v>Fixed Interest Rate</v>
      </c>
      <c r="N5" s="1"/>
      <c r="O5" s="1"/>
      <c r="P5" s="1"/>
      <c r="Q5" s="6"/>
      <c r="R5" s="220">
        <f>Assumptions!G37</f>
        <v>6.18393E-2</v>
      </c>
    </row>
    <row r="6" spans="2:20" x14ac:dyDescent="0.45">
      <c r="B6" s="137"/>
      <c r="C6" s="1"/>
      <c r="D6" s="1"/>
      <c r="E6" s="1"/>
      <c r="F6" s="1"/>
      <c r="G6" s="6"/>
      <c r="H6" s="221"/>
      <c r="M6" s="137" t="str">
        <f>Assumptions!B39</f>
        <v>Amortization</v>
      </c>
      <c r="N6" s="1"/>
      <c r="O6" s="1"/>
      <c r="P6" s="1"/>
      <c r="Q6" s="6"/>
      <c r="R6" s="221">
        <f>Assumptions!G39</f>
        <v>30</v>
      </c>
    </row>
    <row r="7" spans="2:20" x14ac:dyDescent="0.45">
      <c r="B7" s="137" t="s">
        <v>279</v>
      </c>
      <c r="C7" s="1"/>
      <c r="D7" s="1"/>
      <c r="E7" s="1"/>
      <c r="F7" s="1"/>
      <c r="G7" s="6"/>
      <c r="H7" s="220">
        <f>IF(H5=0,H4,PMT(H4/12,H5*12,-1)*12)</f>
        <v>0.10530858841065584</v>
      </c>
      <c r="M7" s="137" t="s">
        <v>279</v>
      </c>
      <c r="N7" s="1"/>
      <c r="O7" s="1"/>
      <c r="P7" s="1"/>
      <c r="Q7" s="6"/>
      <c r="R7" s="220">
        <f>PMT(R5/12,R6*12,-1)*12</f>
        <v>7.3371188296517925E-2</v>
      </c>
    </row>
    <row r="8" spans="2:20" x14ac:dyDescent="0.45">
      <c r="B8" s="139" t="s">
        <v>433</v>
      </c>
      <c r="C8" s="2"/>
      <c r="D8" s="2"/>
      <c r="E8" s="2"/>
      <c r="F8" s="222"/>
      <c r="G8" s="222"/>
      <c r="H8" s="223">
        <f>+Assumptions!R30</f>
        <v>11250000</v>
      </c>
      <c r="M8" s="139" t="str">
        <f>Assumptions!I37</f>
        <v>Max Perm. Loan</v>
      </c>
      <c r="N8" s="2"/>
      <c r="O8" s="2"/>
      <c r="P8" s="222"/>
      <c r="Q8" s="222"/>
      <c r="R8" s="223">
        <f>IF(Assumptions!G34="Yes",Assumptions!L37,0)</f>
        <v>20678404.454956274</v>
      </c>
    </row>
    <row r="10" spans="2:20" x14ac:dyDescent="0.45">
      <c r="G10" s="228"/>
    </row>
    <row r="11" spans="2:20" x14ac:dyDescent="0.45">
      <c r="B11" s="225" t="s">
        <v>280</v>
      </c>
      <c r="C11" s="225" t="s">
        <v>252</v>
      </c>
      <c r="D11" s="225" t="s">
        <v>281</v>
      </c>
      <c r="E11" s="225" t="s">
        <v>432</v>
      </c>
      <c r="F11" s="225" t="s">
        <v>282</v>
      </c>
      <c r="G11" s="225" t="s">
        <v>283</v>
      </c>
      <c r="H11" s="225" t="s">
        <v>284</v>
      </c>
      <c r="M11" s="225" t="s">
        <v>280</v>
      </c>
      <c r="N11" s="225" t="s">
        <v>252</v>
      </c>
      <c r="O11" s="225" t="s">
        <v>281</v>
      </c>
      <c r="P11" s="225" t="s">
        <v>282</v>
      </c>
      <c r="Q11" s="225" t="s">
        <v>283</v>
      </c>
      <c r="R11" s="225" t="s">
        <v>284</v>
      </c>
    </row>
    <row r="12" spans="2:20" x14ac:dyDescent="0.45">
      <c r="B12" s="226">
        <f>+Assumptions!G28</f>
        <v>0</v>
      </c>
      <c r="C12" s="224">
        <v>0</v>
      </c>
      <c r="D12" s="224"/>
      <c r="E12" s="224"/>
      <c r="F12" s="224"/>
      <c r="G12" s="224"/>
      <c r="H12" s="227">
        <f>+H8</f>
        <v>11250000</v>
      </c>
      <c r="M12" s="226">
        <f>+R4</f>
        <v>33</v>
      </c>
      <c r="N12" s="224">
        <v>0</v>
      </c>
      <c r="O12" s="224"/>
      <c r="P12" s="224"/>
      <c r="Q12" s="224"/>
      <c r="R12" s="227">
        <f>+R8</f>
        <v>20678404.454956274</v>
      </c>
    </row>
    <row r="13" spans="2:20" x14ac:dyDescent="0.45">
      <c r="B13" s="226">
        <f>+B12+1</f>
        <v>1</v>
      </c>
      <c r="C13" s="224">
        <f>+C12+1</f>
        <v>1</v>
      </c>
      <c r="D13" s="227">
        <f>IF(B13&gt;Assumptions!$E$174,0,H12)</f>
        <v>11250000</v>
      </c>
      <c r="E13" s="227" cm="1">
        <f t="array" ref="E13">IFERROR(INDEX(Model!$G$44:$EI$44,,MATCH('Debt Schedule'!B13,Model!$G$4:$EI$4,0)),0)</f>
        <v>0</v>
      </c>
      <c r="F13" s="227">
        <f>IF(AND(Assumptions!$G$34="Yes",'Debt Schedule'!B13&gt;Assumptions!$G$36),0,IF(B13&gt;Assumptions!$E$174,0,-IFERROR(PPMT($H$4/12,C13,$H$5*12,-$H$8),0)))</f>
        <v>-4976.8016349898635</v>
      </c>
      <c r="G13" s="227">
        <f>IF(AND(Assumptions!$G$34="yes",'Debt Schedule'!B13&gt;Assumptions!$G$36),0,IFERROR(IF(B13&gt;Assumptions!$E$174,0,IPMT($H$4/12,C13,$H$5*12,-$H$8)),$H$4/12*D13))</f>
        <v>93750</v>
      </c>
      <c r="H13" s="227">
        <f t="shared" ref="H13:H44" si="0">SUM(D13:F13)</f>
        <v>11245023.19836501</v>
      </c>
      <c r="M13" s="226">
        <f>+M12+1</f>
        <v>34</v>
      </c>
      <c r="N13" s="224">
        <f>+N12+1</f>
        <v>1</v>
      </c>
      <c r="O13" s="227">
        <f>IF(M13&gt;Assumptions!$E$174,0,R12)</f>
        <v>20678404.454956274</v>
      </c>
      <c r="P13" s="227">
        <f>IF(M13&gt;Assumptions!$E$174,0,-PPMT($R$5/12,N13,$R$6*12,-$R$8))</f>
        <v>-19871.754193731202</v>
      </c>
      <c r="Q13" s="227">
        <f>IF(M13&gt;Assumptions!$E$174,0,-IPMT($R$5/12,N13,$R$6*12,-$R$8))</f>
        <v>-106561.50471761479</v>
      </c>
      <c r="R13" s="227">
        <f t="shared" ref="R13" si="1">+P13+O13</f>
        <v>20658532.700762544</v>
      </c>
      <c r="S13" s="228"/>
      <c r="T13" s="228"/>
    </row>
    <row r="14" spans="2:20" x14ac:dyDescent="0.45">
      <c r="B14" s="226">
        <f t="shared" ref="B14:C29" si="2">+B13+1</f>
        <v>2</v>
      </c>
      <c r="C14" s="224">
        <f t="shared" si="2"/>
        <v>2</v>
      </c>
      <c r="D14" s="227">
        <f>IF(B14&gt;Assumptions!$E$174,0,H13)</f>
        <v>11245023.19836501</v>
      </c>
      <c r="E14" s="227" cm="1">
        <f t="array" ref="E14">IFERROR(INDEX(Model!$G$44:$EI$44,,MATCH('Debt Schedule'!B14,Model!$G$4:$EI$4,0)),0)</f>
        <v>0</v>
      </c>
      <c r="F14" s="227">
        <f>IF(AND(Assumptions!$G$34="Yes",'Debt Schedule'!B14&gt;Assumptions!$G$36),0,IF(B14&gt;Assumptions!$E$174,0,-IFERROR(PPMT($H$4/12,C14,$H$5*12,-$H$8),0)))</f>
        <v>-5018.2749819481123</v>
      </c>
      <c r="G14" s="227">
        <f>IF(AND(Assumptions!$G$34="yes",'Debt Schedule'!B14&gt;Assumptions!$G$36),0,IFERROR(IF(B14&gt;Assumptions!$E$174,0,IPMT($H$4/12,C14,$H$5*12,-$H$8)),$H$4/12*D14))</f>
        <v>93708.526653041758</v>
      </c>
      <c r="H14" s="227">
        <f t="shared" si="0"/>
        <v>11240004.923383063</v>
      </c>
      <c r="M14" s="226">
        <f t="shared" ref="M14" si="3">+M13+1</f>
        <v>35</v>
      </c>
      <c r="N14" s="224">
        <f t="shared" ref="N14" si="4">+N13+1</f>
        <v>2</v>
      </c>
      <c r="O14" s="227">
        <f>IF(M14&gt;Assumptions!$E$174,0,R13)</f>
        <v>20658532.700762544</v>
      </c>
      <c r="P14" s="227">
        <f>IF(M14&gt;Assumptions!$E$174,0,-PPMT($R$5/12,N14,$R$6*12,-$R$8))</f>
        <v>-19974.1588078239</v>
      </c>
      <c r="Q14" s="227">
        <f>IF(M14&gt;Assumptions!$E$174,0,-IPMT($R$5/12,N14,$R$6*12,-$R$8))</f>
        <v>-106459.1001035221</v>
      </c>
      <c r="R14" s="227">
        <f t="shared" ref="R14:R77" si="5">+P14+O14</f>
        <v>20638558.541954719</v>
      </c>
    </row>
    <row r="15" spans="2:20" x14ac:dyDescent="0.45">
      <c r="B15" s="226">
        <f t="shared" si="2"/>
        <v>3</v>
      </c>
      <c r="C15" s="224">
        <f t="shared" si="2"/>
        <v>3</v>
      </c>
      <c r="D15" s="227">
        <f>IF(B15&gt;Assumptions!$E$174,0,H14)</f>
        <v>11240004.923383063</v>
      </c>
      <c r="E15" s="227" cm="1">
        <f t="array" ref="E15">IFERROR(INDEX(Model!$G$44:$EI$44,,MATCH('Debt Schedule'!B15,Model!$G$4:$EI$4,0)),0)</f>
        <v>0</v>
      </c>
      <c r="F15" s="227">
        <f>IF(AND(Assumptions!$G$34="Yes",'Debt Schedule'!B15&gt;Assumptions!$G$36),0,IF(B15&gt;Assumptions!$E$174,0,-IFERROR(PPMT($H$4/12,C15,$H$5*12,-$H$8),0)))</f>
        <v>-5060.0939401310134</v>
      </c>
      <c r="G15" s="227">
        <f>IF(AND(Assumptions!$G$34="yes",'Debt Schedule'!B15&gt;Assumptions!$G$36),0,IFERROR(IF(B15&gt;Assumptions!$E$174,0,IPMT($H$4/12,C15,$H$5*12,-$H$8)),$H$4/12*D15))</f>
        <v>93666.707694858851</v>
      </c>
      <c r="H15" s="227">
        <f t="shared" si="0"/>
        <v>11234944.829442931</v>
      </c>
      <c r="M15" s="226">
        <f t="shared" ref="M15:M78" si="6">+M14+1</f>
        <v>36</v>
      </c>
      <c r="N15" s="224">
        <f t="shared" ref="N15:N78" si="7">+N14+1</f>
        <v>3</v>
      </c>
      <c r="O15" s="227">
        <f>IF(M15&gt;Assumptions!$E$174,0,R14)</f>
        <v>20638558.541954719</v>
      </c>
      <c r="P15" s="227">
        <f>IF(M15&gt;Assumptions!$E$174,0,-PPMT($R$5/12,N15,$R$6*12,-$R$8))</f>
        <v>-20077.091141054287</v>
      </c>
      <c r="Q15" s="227">
        <f>IF(M15&gt;Assumptions!$E$174,0,-IPMT($R$5/12,N15,$R$6*12,-$R$8))</f>
        <v>-106356.16777029172</v>
      </c>
      <c r="R15" s="227">
        <f t="shared" si="5"/>
        <v>20618481.450813666</v>
      </c>
    </row>
    <row r="16" spans="2:20" x14ac:dyDescent="0.45">
      <c r="B16" s="226">
        <f t="shared" si="2"/>
        <v>4</v>
      </c>
      <c r="C16" s="224">
        <f t="shared" si="2"/>
        <v>4</v>
      </c>
      <c r="D16" s="227">
        <f>IF(B16&gt;Assumptions!$E$174,0,H15)</f>
        <v>11234944.829442931</v>
      </c>
      <c r="E16" s="227" cm="1">
        <f t="array" ref="E16">IFERROR(INDEX(Model!$G$44:$EI$44,,MATCH('Debt Schedule'!B16,Model!$G$4:$EI$4,0)),0)</f>
        <v>0</v>
      </c>
      <c r="F16" s="227">
        <f>IF(AND(Assumptions!$G$34="Yes",'Debt Schedule'!B16&gt;Assumptions!$G$36),0,IF(B16&gt;Assumptions!$E$174,0,-IFERROR(PPMT($H$4/12,C16,$H$5*12,-$H$8),0)))</f>
        <v>-5102.2613896321036</v>
      </c>
      <c r="G16" s="227">
        <f>IF(AND(Assumptions!$G$34="yes",'Debt Schedule'!B16&gt;Assumptions!$G$36),0,IFERROR(IF(B16&gt;Assumptions!$E$174,0,IPMT($H$4/12,C16,$H$5*12,-$H$8)),$H$4/12*D16))</f>
        <v>93624.540245357755</v>
      </c>
      <c r="H16" s="227">
        <f t="shared" si="0"/>
        <v>11229842.5680533</v>
      </c>
      <c r="M16" s="226">
        <f t="shared" si="6"/>
        <v>37</v>
      </c>
      <c r="N16" s="224">
        <f t="shared" si="7"/>
        <v>4</v>
      </c>
      <c r="O16" s="227">
        <f>IF(M16&gt;Assumptions!$E$174,0,R15)</f>
        <v>20618481.450813666</v>
      </c>
      <c r="P16" s="227">
        <f>IF(M16&gt;Assumptions!$E$174,0,-PPMT($R$5/12,N16,$R$6*12,-$R$8))</f>
        <v>-20180.553912904204</v>
      </c>
      <c r="Q16" s="227">
        <f>IF(M16&gt;Assumptions!$E$174,0,-IPMT($R$5/12,N16,$R$6*12,-$R$8))</f>
        <v>-106252.70499844178</v>
      </c>
      <c r="R16" s="227">
        <f t="shared" si="5"/>
        <v>20598300.896900762</v>
      </c>
    </row>
    <row r="17" spans="2:18" x14ac:dyDescent="0.45">
      <c r="B17" s="226">
        <f t="shared" si="2"/>
        <v>5</v>
      </c>
      <c r="C17" s="224">
        <f t="shared" si="2"/>
        <v>5</v>
      </c>
      <c r="D17" s="227">
        <f>IF(B17&gt;Assumptions!$E$174,0,H16)</f>
        <v>11229842.5680533</v>
      </c>
      <c r="E17" s="227" cm="1">
        <f t="array" ref="E17">IFERROR(INDEX(Model!$G$44:$EI$44,,MATCH('Debt Schedule'!B17,Model!$G$4:$EI$4,0)),0)</f>
        <v>0</v>
      </c>
      <c r="F17" s="227">
        <f>IF(AND(Assumptions!$G$34="Yes",'Debt Schedule'!B17&gt;Assumptions!$G$36),0,IF(B17&gt;Assumptions!$E$174,0,-IFERROR(PPMT($H$4/12,C17,$H$5*12,-$H$8),0)))</f>
        <v>-5144.7802345457048</v>
      </c>
      <c r="G17" s="227">
        <f>IF(AND(Assumptions!$G$34="yes",'Debt Schedule'!B17&gt;Assumptions!$G$36),0,IFERROR(IF(B17&gt;Assumptions!$E$174,0,IPMT($H$4/12,C17,$H$5*12,-$H$8)),$H$4/12*D17))</f>
        <v>93582.021400444166</v>
      </c>
      <c r="H17" s="227">
        <f t="shared" si="0"/>
        <v>11224697.787818754</v>
      </c>
      <c r="M17" s="226">
        <f t="shared" si="6"/>
        <v>38</v>
      </c>
      <c r="N17" s="224">
        <f t="shared" si="7"/>
        <v>5</v>
      </c>
      <c r="O17" s="227">
        <f>IF(M17&gt;Assumptions!$E$174,0,R16)</f>
        <v>20598300.896900762</v>
      </c>
      <c r="P17" s="227">
        <f>IF(M17&gt;Assumptions!$E$174,0,-PPMT($R$5/12,N17,$R$6*12,-$R$8))</f>
        <v>-20284.549856869729</v>
      </c>
      <c r="Q17" s="227">
        <f>IF(M17&gt;Assumptions!$E$174,0,-IPMT($R$5/12,N17,$R$6*12,-$R$8))</f>
        <v>-106148.70905447626</v>
      </c>
      <c r="R17" s="227">
        <f t="shared" si="5"/>
        <v>20578016.347043891</v>
      </c>
    </row>
    <row r="18" spans="2:18" x14ac:dyDescent="0.45">
      <c r="B18" s="226">
        <f t="shared" si="2"/>
        <v>6</v>
      </c>
      <c r="C18" s="224">
        <f t="shared" si="2"/>
        <v>6</v>
      </c>
      <c r="D18" s="227">
        <f>IF(B18&gt;Assumptions!$E$174,0,H17)</f>
        <v>11224697.787818754</v>
      </c>
      <c r="E18" s="227" cm="1">
        <f t="array" ref="E18">IFERROR(INDEX(Model!$G$44:$EI$44,,MATCH('Debt Schedule'!B18,Model!$G$4:$EI$4,0)),0)</f>
        <v>0</v>
      </c>
      <c r="F18" s="227">
        <f>IF(AND(Assumptions!$G$34="Yes",'Debt Schedule'!B18&gt;Assumptions!$G$36),0,IF(B18&gt;Assumptions!$E$174,0,-IFERROR(PPMT($H$4/12,C18,$H$5*12,-$H$8),0)))</f>
        <v>-5187.6534031669189</v>
      </c>
      <c r="G18" s="227">
        <f>IF(AND(Assumptions!$G$34="yes",'Debt Schedule'!B18&gt;Assumptions!$G$36),0,IFERROR(IF(B18&gt;Assumptions!$E$174,0,IPMT($H$4/12,C18,$H$5*12,-$H$8)),$H$4/12*D18))</f>
        <v>93539.148231822954</v>
      </c>
      <c r="H18" s="227">
        <f t="shared" si="0"/>
        <v>11219510.134415587</v>
      </c>
      <c r="M18" s="226">
        <f t="shared" si="6"/>
        <v>39</v>
      </c>
      <c r="N18" s="224">
        <f t="shared" si="7"/>
        <v>6</v>
      </c>
      <c r="O18" s="227">
        <f>IF(M18&gt;Assumptions!$E$174,0,R17)</f>
        <v>20578016.347043891</v>
      </c>
      <c r="P18" s="227">
        <f>IF(M18&gt;Assumptions!$E$174,0,-PPMT($R$5/12,N18,$R$6*12,-$R$8))</f>
        <v>-20389.081720533381</v>
      </c>
      <c r="Q18" s="227">
        <f>IF(M18&gt;Assumptions!$E$174,0,-IPMT($R$5/12,N18,$R$6*12,-$R$8))</f>
        <v>-106044.17719081262</v>
      </c>
      <c r="R18" s="227">
        <f t="shared" si="5"/>
        <v>20557627.265323356</v>
      </c>
    </row>
    <row r="19" spans="2:18" x14ac:dyDescent="0.45">
      <c r="B19" s="226">
        <f t="shared" si="2"/>
        <v>7</v>
      </c>
      <c r="C19" s="224">
        <f t="shared" si="2"/>
        <v>7</v>
      </c>
      <c r="D19" s="227">
        <f>IF(B19&gt;Assumptions!$E$174,0,H18)</f>
        <v>11219510.134415587</v>
      </c>
      <c r="E19" s="227" cm="1">
        <f t="array" ref="E19">IFERROR(INDEX(Model!$G$44:$EI$44,,MATCH('Debt Schedule'!B19,Model!$G$4:$EI$4,0)),0)</f>
        <v>0</v>
      </c>
      <c r="F19" s="227">
        <f>IF(AND(Assumptions!$G$34="Yes",'Debt Schedule'!B19&gt;Assumptions!$G$36),0,IF(B19&gt;Assumptions!$E$174,0,-IFERROR(PPMT($H$4/12,C19,$H$5*12,-$H$8),0)))</f>
        <v>-5230.8838481933099</v>
      </c>
      <c r="G19" s="227">
        <f>IF(AND(Assumptions!$G$34="yes",'Debt Schedule'!B19&gt;Assumptions!$G$36),0,IFERROR(IF(B19&gt;Assumptions!$E$174,0,IPMT($H$4/12,C19,$H$5*12,-$H$8)),$H$4/12*D19))</f>
        <v>93495.917786796563</v>
      </c>
      <c r="H19" s="227">
        <f t="shared" si="0"/>
        <v>11214279.250567393</v>
      </c>
      <c r="M19" s="226">
        <f t="shared" si="6"/>
        <v>40</v>
      </c>
      <c r="N19" s="224">
        <f t="shared" si="7"/>
        <v>7</v>
      </c>
      <c r="O19" s="227">
        <f>IF(M19&gt;Assumptions!$E$174,0,R18)</f>
        <v>20557627.265323356</v>
      </c>
      <c r="P19" s="227">
        <f>IF(M19&gt;Assumptions!$E$174,0,-PPMT($R$5/12,N19,$R$6*12,-$R$8))</f>
        <v>-20494.152265636763</v>
      </c>
      <c r="Q19" s="227">
        <f>IF(M19&gt;Assumptions!$E$174,0,-IPMT($R$5/12,N19,$R$6*12,-$R$8))</f>
        <v>-105939.10664570925</v>
      </c>
      <c r="R19" s="227">
        <f t="shared" si="5"/>
        <v>20537133.113057718</v>
      </c>
    </row>
    <row r="20" spans="2:18" x14ac:dyDescent="0.45">
      <c r="B20" s="226">
        <f t="shared" si="2"/>
        <v>8</v>
      </c>
      <c r="C20" s="224">
        <f t="shared" si="2"/>
        <v>8</v>
      </c>
      <c r="D20" s="227">
        <f>IF(B20&gt;Assumptions!$E$174,0,H19)</f>
        <v>11214279.250567393</v>
      </c>
      <c r="E20" s="227" cm="1">
        <f t="array" ref="E20">IFERROR(INDEX(Model!$G$44:$EI$44,,MATCH('Debt Schedule'!B20,Model!$G$4:$EI$4,0)),0)</f>
        <v>0</v>
      </c>
      <c r="F20" s="227">
        <f>IF(AND(Assumptions!$G$34="Yes",'Debt Schedule'!B20&gt;Assumptions!$G$36),0,IF(B20&gt;Assumptions!$E$174,0,-IFERROR(PPMT($H$4/12,C20,$H$5*12,-$H$8),0)))</f>
        <v>-5274.4745469282543</v>
      </c>
      <c r="G20" s="227">
        <f>IF(AND(Assumptions!$G$34="yes",'Debt Schedule'!B20&gt;Assumptions!$G$36),0,IFERROR(IF(B20&gt;Assumptions!$E$174,0,IPMT($H$4/12,C20,$H$5*12,-$H$8)),$H$4/12*D20))</f>
        <v>93452.327088061604</v>
      </c>
      <c r="H20" s="227">
        <f t="shared" si="0"/>
        <v>11209004.776020465</v>
      </c>
      <c r="M20" s="226">
        <f t="shared" si="6"/>
        <v>41</v>
      </c>
      <c r="N20" s="224">
        <f t="shared" si="7"/>
        <v>8</v>
      </c>
      <c r="O20" s="227">
        <f>IF(M20&gt;Assumptions!$E$174,0,R19)</f>
        <v>20537133.113057718</v>
      </c>
      <c r="P20" s="227">
        <f>IF(M20&gt;Assumptions!$E$174,0,-PPMT($R$5/12,N20,$R$6*12,-$R$8))</f>
        <v>-20599.764268153463</v>
      </c>
      <c r="Q20" s="227">
        <f>IF(M20&gt;Assumptions!$E$174,0,-IPMT($R$5/12,N20,$R$6*12,-$R$8))</f>
        <v>-105833.49464319252</v>
      </c>
      <c r="R20" s="227">
        <f t="shared" si="5"/>
        <v>20516533.348789565</v>
      </c>
    </row>
    <row r="21" spans="2:18" x14ac:dyDescent="0.45">
      <c r="B21" s="226">
        <f t="shared" si="2"/>
        <v>9</v>
      </c>
      <c r="C21" s="224">
        <f t="shared" si="2"/>
        <v>9</v>
      </c>
      <c r="D21" s="227">
        <f>IF(B21&gt;Assumptions!$E$174,0,H20)</f>
        <v>11209004.776020465</v>
      </c>
      <c r="E21" s="227" cm="1">
        <f t="array" ref="E21">IFERROR(INDEX(Model!$G$44:$EI$44,,MATCH('Debt Schedule'!B21,Model!$G$4:$EI$4,0)),0)</f>
        <v>0</v>
      </c>
      <c r="F21" s="227">
        <f>IF(AND(Assumptions!$G$34="Yes",'Debt Schedule'!B21&gt;Assumptions!$G$36),0,IF(B21&gt;Assumptions!$E$174,0,-IFERROR(PPMT($H$4/12,C21,$H$5*12,-$H$8),0)))</f>
        <v>-5318.4285014859906</v>
      </c>
      <c r="G21" s="227">
        <f>IF(AND(Assumptions!$G$34="yes",'Debt Schedule'!B21&gt;Assumptions!$G$36),0,IFERROR(IF(B21&gt;Assumptions!$E$174,0,IPMT($H$4/12,C21,$H$5*12,-$H$8)),$H$4/12*D21))</f>
        <v>93408.373133503876</v>
      </c>
      <c r="H21" s="227">
        <f t="shared" si="0"/>
        <v>11203686.347518979</v>
      </c>
      <c r="M21" s="226">
        <f t="shared" si="6"/>
        <v>42</v>
      </c>
      <c r="N21" s="224">
        <f t="shared" si="7"/>
        <v>9</v>
      </c>
      <c r="O21" s="227">
        <f>IF(M21&gt;Assumptions!$E$174,0,R20)</f>
        <v>20516533.348789565</v>
      </c>
      <c r="P21" s="227">
        <f>IF(M21&gt;Assumptions!$E$174,0,-PPMT($R$5/12,N21,$R$6*12,-$R$8))</f>
        <v>-20705.920518362429</v>
      </c>
      <c r="Q21" s="227">
        <f>IF(M21&gt;Assumptions!$E$174,0,-IPMT($R$5/12,N21,$R$6*12,-$R$8))</f>
        <v>-105727.33839298355</v>
      </c>
      <c r="R21" s="227">
        <f t="shared" si="5"/>
        <v>20495827.428271204</v>
      </c>
    </row>
    <row r="22" spans="2:18" x14ac:dyDescent="0.45">
      <c r="B22" s="226">
        <f t="shared" si="2"/>
        <v>10</v>
      </c>
      <c r="C22" s="224">
        <f t="shared" si="2"/>
        <v>10</v>
      </c>
      <c r="D22" s="227">
        <f>IF(B22&gt;Assumptions!$E$174,0,H21)</f>
        <v>11203686.347518979</v>
      </c>
      <c r="E22" s="227" cm="1">
        <f t="array" ref="E22">IFERROR(INDEX(Model!$G$44:$EI$44,,MATCH('Debt Schedule'!B22,Model!$G$4:$EI$4,0)),0)</f>
        <v>0</v>
      </c>
      <c r="F22" s="227">
        <f>IF(AND(Assumptions!$G$34="Yes",'Debt Schedule'!B22&gt;Assumptions!$G$36),0,IF(B22&gt;Assumptions!$E$174,0,-IFERROR(PPMT($H$4/12,C22,$H$5*12,-$H$8),0)))</f>
        <v>-5362.7487389983726</v>
      </c>
      <c r="G22" s="227">
        <f>IF(AND(Assumptions!$G$34="yes",'Debt Schedule'!B22&gt;Assumptions!$G$36),0,IFERROR(IF(B22&gt;Assumptions!$E$174,0,IPMT($H$4/12,C22,$H$5*12,-$H$8)),$H$4/12*D22))</f>
        <v>93364.052895991481</v>
      </c>
      <c r="H22" s="227">
        <f t="shared" si="0"/>
        <v>11198323.59877998</v>
      </c>
      <c r="M22" s="226">
        <f t="shared" si="6"/>
        <v>43</v>
      </c>
      <c r="N22" s="224">
        <f t="shared" si="7"/>
        <v>10</v>
      </c>
      <c r="O22" s="227">
        <f>IF(M22&gt;Assumptions!$E$174,0,R21)</f>
        <v>20495827.428271204</v>
      </c>
      <c r="P22" s="227">
        <f>IF(M22&gt;Assumptions!$E$174,0,-PPMT($R$5/12,N22,$R$6*12,-$R$8))</f>
        <v>-20812.623820921697</v>
      </c>
      <c r="Q22" s="227">
        <f>IF(M22&gt;Assumptions!$E$174,0,-IPMT($R$5/12,N22,$R$6*12,-$R$8))</f>
        <v>-105620.6350904243</v>
      </c>
      <c r="R22" s="227">
        <f t="shared" si="5"/>
        <v>20475014.804450281</v>
      </c>
    </row>
    <row r="23" spans="2:18" x14ac:dyDescent="0.45">
      <c r="B23" s="226">
        <f t="shared" si="2"/>
        <v>11</v>
      </c>
      <c r="C23" s="224">
        <f t="shared" si="2"/>
        <v>11</v>
      </c>
      <c r="D23" s="227">
        <f>IF(B23&gt;Assumptions!$E$174,0,H22)</f>
        <v>11198323.59877998</v>
      </c>
      <c r="E23" s="227" cm="1">
        <f t="array" ref="E23">IFERROR(INDEX(Model!$G$44:$EI$44,,MATCH('Debt Schedule'!B23,Model!$G$4:$EI$4,0)),0)</f>
        <v>0</v>
      </c>
      <c r="F23" s="227">
        <f>IF(AND(Assumptions!$G$34="Yes",'Debt Schedule'!B23&gt;Assumptions!$G$36),0,IF(B23&gt;Assumptions!$E$174,0,-IFERROR(PPMT($H$4/12,C23,$H$5*12,-$H$8),0)))</f>
        <v>-5407.4383118233591</v>
      </c>
      <c r="G23" s="227">
        <f>IF(AND(Assumptions!$G$34="yes",'Debt Schedule'!B23&gt;Assumptions!$G$36),0,IFERROR(IF(B23&gt;Assumptions!$E$174,0,IPMT($H$4/12,C23,$H$5*12,-$H$8)),$H$4/12*D23))</f>
        <v>93319.363323166501</v>
      </c>
      <c r="H23" s="227">
        <f t="shared" si="0"/>
        <v>11192916.160468157</v>
      </c>
      <c r="M23" s="226">
        <f t="shared" si="6"/>
        <v>44</v>
      </c>
      <c r="N23" s="224">
        <f t="shared" si="7"/>
        <v>11</v>
      </c>
      <c r="O23" s="227">
        <f>IF(M23&gt;Assumptions!$E$174,0,R22)</f>
        <v>20475014.804450281</v>
      </c>
      <c r="P23" s="227">
        <f>IF(M23&gt;Assumptions!$E$174,0,-PPMT($R$5/12,N23,$R$6*12,-$R$8))</f>
        <v>-20919.876994942457</v>
      </c>
      <c r="Q23" s="227">
        <f>IF(M23&gt;Assumptions!$E$174,0,-IPMT($R$5/12,N23,$R$6*12,-$R$8))</f>
        <v>-105513.38191640354</v>
      </c>
      <c r="R23" s="227">
        <f t="shared" si="5"/>
        <v>20454094.92745534</v>
      </c>
    </row>
    <row r="24" spans="2:18" x14ac:dyDescent="0.45">
      <c r="B24" s="226">
        <f t="shared" si="2"/>
        <v>12</v>
      </c>
      <c r="C24" s="224">
        <f t="shared" si="2"/>
        <v>12</v>
      </c>
      <c r="D24" s="227">
        <f>IF(B24&gt;Assumptions!$E$174,0,H23)</f>
        <v>11192916.160468157</v>
      </c>
      <c r="E24" s="227" cm="1">
        <f t="array" ref="E24">IFERROR(INDEX(Model!$G$44:$EI$44,,MATCH('Debt Schedule'!B24,Model!$G$4:$EI$4,0)),0)</f>
        <v>0</v>
      </c>
      <c r="F24" s="227">
        <f>IF(AND(Assumptions!$G$34="Yes",'Debt Schedule'!B24&gt;Assumptions!$G$36),0,IF(B24&gt;Assumptions!$E$174,0,-IFERROR(PPMT($H$4/12,C24,$H$5*12,-$H$8),0)))</f>
        <v>-5452.5002977552213</v>
      </c>
      <c r="G24" s="227">
        <f>IF(AND(Assumptions!$G$34="yes",'Debt Schedule'!B24&gt;Assumptions!$G$36),0,IFERROR(IF(B24&gt;Assumptions!$E$174,0,IPMT($H$4/12,C24,$H$5*12,-$H$8)),$H$4/12*D24))</f>
        <v>93274.301337234647</v>
      </c>
      <c r="H24" s="227">
        <f t="shared" si="0"/>
        <v>11187463.660170402</v>
      </c>
      <c r="M24" s="226">
        <f t="shared" si="6"/>
        <v>45</v>
      </c>
      <c r="N24" s="224">
        <f t="shared" si="7"/>
        <v>12</v>
      </c>
      <c r="O24" s="227">
        <f>IF(M24&gt;Assumptions!$E$174,0,R23)</f>
        <v>20454094.92745534</v>
      </c>
      <c r="P24" s="227">
        <f>IF(M24&gt;Assumptions!$E$174,0,-PPMT($R$5/12,N24,$R$6*12,-$R$8))</f>
        <v>-21027.682874063568</v>
      </c>
      <c r="Q24" s="227">
        <f>IF(M24&gt;Assumptions!$E$174,0,-IPMT($R$5/12,N24,$R$6*12,-$R$8))</f>
        <v>-105405.57603728243</v>
      </c>
      <c r="R24" s="227">
        <f t="shared" si="5"/>
        <v>20433067.244581275</v>
      </c>
    </row>
    <row r="25" spans="2:18" x14ac:dyDescent="0.45">
      <c r="B25" s="226">
        <f t="shared" si="2"/>
        <v>13</v>
      </c>
      <c r="C25" s="224">
        <f t="shared" si="2"/>
        <v>13</v>
      </c>
      <c r="D25" s="227">
        <f>IF(B25&gt;Assumptions!$E$174,0,H24)</f>
        <v>11187463.660170402</v>
      </c>
      <c r="E25" s="227" cm="1">
        <f t="array" ref="E25">IFERROR(INDEX(Model!$G$44:$EI$44,,MATCH('Debt Schedule'!B25,Model!$G$4:$EI$4,0)),0)</f>
        <v>0</v>
      </c>
      <c r="F25" s="227">
        <f>IF(AND(Assumptions!$G$34="Yes",'Debt Schedule'!B25&gt;Assumptions!$G$36),0,IF(B25&gt;Assumptions!$E$174,0,-IFERROR(PPMT($H$4/12,C25,$H$5*12,-$H$8),0)))</f>
        <v>-5497.9378002365138</v>
      </c>
      <c r="G25" s="227">
        <f>IF(AND(Assumptions!$G$34="yes",'Debt Schedule'!B25&gt;Assumptions!$G$36),0,IFERROR(IF(B25&gt;Assumptions!$E$174,0,IPMT($H$4/12,C25,$H$5*12,-$H$8)),$H$4/12*D25))</f>
        <v>93228.863834753356</v>
      </c>
      <c r="H25" s="227">
        <f t="shared" si="0"/>
        <v>11181965.722370166</v>
      </c>
      <c r="M25" s="226">
        <f t="shared" si="6"/>
        <v>46</v>
      </c>
      <c r="N25" s="224">
        <f t="shared" si="7"/>
        <v>13</v>
      </c>
      <c r="O25" s="227">
        <f>IF(M25&gt;Assumptions!$E$174,0,R24)</f>
        <v>20433067.244581275</v>
      </c>
      <c r="P25" s="227">
        <f>IF(M25&gt;Assumptions!$E$174,0,-PPMT($R$5/12,N25,$R$6*12,-$R$8))</f>
        <v>-21136.044306526408</v>
      </c>
      <c r="Q25" s="227">
        <f>IF(M25&gt;Assumptions!$E$174,0,-IPMT($R$5/12,N25,$R$6*12,-$R$8))</f>
        <v>-105297.2146048196</v>
      </c>
      <c r="R25" s="227">
        <f t="shared" si="5"/>
        <v>20411931.200274747</v>
      </c>
    </row>
    <row r="26" spans="2:18" x14ac:dyDescent="0.45">
      <c r="B26" s="226">
        <f t="shared" si="2"/>
        <v>14</v>
      </c>
      <c r="C26" s="224">
        <f t="shared" si="2"/>
        <v>14</v>
      </c>
      <c r="D26" s="227">
        <f>IF(B26&gt;Assumptions!$E$174,0,H25)</f>
        <v>11181965.722370166</v>
      </c>
      <c r="E26" s="227" cm="1">
        <f t="array" ref="E26">IFERROR(INDEX(Model!$G$44:$EI$44,,MATCH('Debt Schedule'!B26,Model!$G$4:$EI$4,0)),0)</f>
        <v>0</v>
      </c>
      <c r="F26" s="227">
        <f>IF(AND(Assumptions!$G$34="Yes",'Debt Schedule'!B26&gt;Assumptions!$G$36),0,IF(B26&gt;Assumptions!$E$174,0,-IFERROR(PPMT($H$4/12,C26,$H$5*12,-$H$8),0)))</f>
        <v>-5543.753948571818</v>
      </c>
      <c r="G26" s="227">
        <f>IF(AND(Assumptions!$G$34="yes",'Debt Schedule'!B26&gt;Assumptions!$G$36),0,IFERROR(IF(B26&gt;Assumptions!$E$174,0,IPMT($H$4/12,C26,$H$5*12,-$H$8)),$H$4/12*D26))</f>
        <v>93183.047686418038</v>
      </c>
      <c r="H26" s="227">
        <f t="shared" si="0"/>
        <v>11176421.968421595</v>
      </c>
      <c r="M26" s="226">
        <f t="shared" si="6"/>
        <v>47</v>
      </c>
      <c r="N26" s="224">
        <f t="shared" si="7"/>
        <v>14</v>
      </c>
      <c r="O26" s="227">
        <f>IF(M26&gt;Assumptions!$E$174,0,R25)</f>
        <v>20411931.200274747</v>
      </c>
      <c r="P26" s="227">
        <f>IF(M26&gt;Assumptions!$E$174,0,-PPMT($R$5/12,N26,$R$6*12,-$R$8))</f>
        <v>-21244.964155250123</v>
      </c>
      <c r="Q26" s="227">
        <f>IF(M26&gt;Assumptions!$E$174,0,-IPMT($R$5/12,N26,$R$6*12,-$R$8))</f>
        <v>-105188.29475609589</v>
      </c>
      <c r="R26" s="227">
        <f t="shared" si="5"/>
        <v>20390686.236119498</v>
      </c>
    </row>
    <row r="27" spans="2:18" x14ac:dyDescent="0.45">
      <c r="B27" s="226">
        <f t="shared" si="2"/>
        <v>15</v>
      </c>
      <c r="C27" s="224">
        <f t="shared" si="2"/>
        <v>15</v>
      </c>
      <c r="D27" s="227">
        <f>IF(B27&gt;Assumptions!$E$174,0,H26)</f>
        <v>11176421.968421595</v>
      </c>
      <c r="E27" s="227" cm="1">
        <f t="array" ref="E27">IFERROR(INDEX(Model!$G$44:$EI$44,,MATCH('Debt Schedule'!B27,Model!$G$4:$EI$4,0)),0)</f>
        <v>0</v>
      </c>
      <c r="F27" s="227">
        <f>IF(AND(Assumptions!$G$34="Yes",'Debt Schedule'!B27&gt;Assumptions!$G$36),0,IF(B27&gt;Assumptions!$E$174,0,-IFERROR(PPMT($H$4/12,C27,$H$5*12,-$H$8),0)))</f>
        <v>-5589.9518981432502</v>
      </c>
      <c r="G27" s="227">
        <f>IF(AND(Assumptions!$G$34="yes",'Debt Schedule'!B27&gt;Assumptions!$G$36),0,IFERROR(IF(B27&gt;Assumptions!$E$174,0,IPMT($H$4/12,C27,$H$5*12,-$H$8)),$H$4/12*D27))</f>
        <v>93136.849736846605</v>
      </c>
      <c r="H27" s="227">
        <f t="shared" si="0"/>
        <v>11170832.016523452</v>
      </c>
      <c r="M27" s="226">
        <f t="shared" si="6"/>
        <v>48</v>
      </c>
      <c r="N27" s="224">
        <f t="shared" si="7"/>
        <v>15</v>
      </c>
      <c r="O27" s="227">
        <f>IF(M27&gt;Assumptions!$E$174,0,R26)</f>
        <v>20390686.236119498</v>
      </c>
      <c r="P27" s="227">
        <f>IF(M27&gt;Assumptions!$E$174,0,-PPMT($R$5/12,N27,$R$6*12,-$R$8))</f>
        <v>-21354.44529790727</v>
      </c>
      <c r="Q27" s="227">
        <f>IF(M27&gt;Assumptions!$E$174,0,-IPMT($R$5/12,N27,$R$6*12,-$R$8))</f>
        <v>-105078.81361343873</v>
      </c>
      <c r="R27" s="227">
        <f t="shared" si="5"/>
        <v>20369331.79082159</v>
      </c>
    </row>
    <row r="28" spans="2:18" x14ac:dyDescent="0.45">
      <c r="B28" s="226">
        <f t="shared" si="2"/>
        <v>16</v>
      </c>
      <c r="C28" s="224">
        <f t="shared" si="2"/>
        <v>16</v>
      </c>
      <c r="D28" s="227">
        <f>IF(B28&gt;Assumptions!$E$174,0,H27)</f>
        <v>11170832.016523452</v>
      </c>
      <c r="E28" s="227" cm="1">
        <f t="array" ref="E28">IFERROR(INDEX(Model!$G$44:$EI$44,,MATCH('Debt Schedule'!B28,Model!$G$4:$EI$4,0)),0)</f>
        <v>0</v>
      </c>
      <c r="F28" s="227">
        <f>IF(AND(Assumptions!$G$34="Yes",'Debt Schedule'!B28&gt;Assumptions!$G$36),0,IF(B28&gt;Assumptions!$E$174,0,-IFERROR(PPMT($H$4/12,C28,$H$5*12,-$H$8),0)))</f>
        <v>-5636.5348306277774</v>
      </c>
      <c r="G28" s="227">
        <f>IF(AND(Assumptions!$G$34="yes",'Debt Schedule'!B28&gt;Assumptions!$G$36),0,IFERROR(IF(B28&gt;Assumptions!$E$174,0,IPMT($H$4/12,C28,$H$5*12,-$H$8)),$H$4/12*D28))</f>
        <v>93090.266804362094</v>
      </c>
      <c r="H28" s="227">
        <f t="shared" si="0"/>
        <v>11165195.481692825</v>
      </c>
      <c r="M28" s="226">
        <f t="shared" si="6"/>
        <v>49</v>
      </c>
      <c r="N28" s="224">
        <f t="shared" si="7"/>
        <v>16</v>
      </c>
      <c r="O28" s="227">
        <f>IF(M28&gt;Assumptions!$E$174,0,R27)</f>
        <v>20369331.79082159</v>
      </c>
      <c r="P28" s="227">
        <f>IF(M28&gt;Assumptions!$E$174,0,-PPMT($R$5/12,N28,$R$6*12,-$R$8))</f>
        <v>-21464.490626999846</v>
      </c>
      <c r="Q28" s="227">
        <f>IF(M28&gt;Assumptions!$E$174,0,-IPMT($R$5/12,N28,$R$6*12,-$R$8))</f>
        <v>-104968.76828434617</v>
      </c>
      <c r="R28" s="227">
        <f t="shared" si="5"/>
        <v>20347867.300194591</v>
      </c>
    </row>
    <row r="29" spans="2:18" x14ac:dyDescent="0.45">
      <c r="B29" s="226">
        <f t="shared" si="2"/>
        <v>17</v>
      </c>
      <c r="C29" s="224">
        <f t="shared" si="2"/>
        <v>17</v>
      </c>
      <c r="D29" s="227">
        <f>IF(B29&gt;Assumptions!$E$174,0,H28)</f>
        <v>11165195.481692825</v>
      </c>
      <c r="E29" s="227" cm="1">
        <f t="array" ref="E29">IFERROR(INDEX(Model!$G$44:$EI$44,,MATCH('Debt Schedule'!B29,Model!$G$4:$EI$4,0)),0)</f>
        <v>0</v>
      </c>
      <c r="F29" s="227">
        <f>IF(AND(Assumptions!$G$34="Yes",'Debt Schedule'!B29&gt;Assumptions!$G$36),0,IF(B29&gt;Assumptions!$E$174,0,-IFERROR(PPMT($H$4/12,C29,$H$5*12,-$H$8),0)))</f>
        <v>-5683.5059542163417</v>
      </c>
      <c r="G29" s="227">
        <f>IF(AND(Assumptions!$G$34="yes",'Debt Schedule'!B29&gt;Assumptions!$G$36),0,IFERROR(IF(B29&gt;Assumptions!$E$174,0,IPMT($H$4/12,C29,$H$5*12,-$H$8)),$H$4/12*D29))</f>
        <v>93043.295680773517</v>
      </c>
      <c r="H29" s="227">
        <f t="shared" si="0"/>
        <v>11159511.975738607</v>
      </c>
      <c r="M29" s="226">
        <f t="shared" si="6"/>
        <v>50</v>
      </c>
      <c r="N29" s="224">
        <f t="shared" si="7"/>
        <v>17</v>
      </c>
      <c r="O29" s="227">
        <f>IF(M29&gt;Assumptions!$E$174,0,R28)</f>
        <v>20347867.300194591</v>
      </c>
      <c r="P29" s="227">
        <f>IF(M29&gt;Assumptions!$E$174,0,-PPMT($R$5/12,N29,$R$6*12,-$R$8))</f>
        <v>-21575.103049935697</v>
      </c>
      <c r="Q29" s="227">
        <f>IF(M29&gt;Assumptions!$E$174,0,-IPMT($R$5/12,N29,$R$6*12,-$R$8))</f>
        <v>-104858.1558614103</v>
      </c>
      <c r="R29" s="227">
        <f t="shared" si="5"/>
        <v>20326292.197144657</v>
      </c>
    </row>
    <row r="30" spans="2:18" x14ac:dyDescent="0.45">
      <c r="B30" s="226">
        <f t="shared" ref="B30:C45" si="8">+B29+1</f>
        <v>18</v>
      </c>
      <c r="C30" s="224">
        <f t="shared" si="8"/>
        <v>18</v>
      </c>
      <c r="D30" s="227">
        <f>IF(B30&gt;Assumptions!$E$174,0,H29)</f>
        <v>11159511.975738607</v>
      </c>
      <c r="E30" s="227" cm="1">
        <f t="array" ref="E30">IFERROR(INDEX(Model!$G$44:$EI$44,,MATCH('Debt Schedule'!B30,Model!$G$4:$EI$4,0)),0)</f>
        <v>0</v>
      </c>
      <c r="F30" s="227">
        <f>IF(AND(Assumptions!$G$34="Yes",'Debt Schedule'!B30&gt;Assumptions!$G$36),0,IF(B30&gt;Assumptions!$E$174,0,-IFERROR(PPMT($H$4/12,C30,$H$5*12,-$H$8),0)))</f>
        <v>-5730.8685038348112</v>
      </c>
      <c r="G30" s="227">
        <f>IF(AND(Assumptions!$G$34="yes",'Debt Schedule'!B30&gt;Assumptions!$G$36),0,IFERROR(IF(B30&gt;Assumptions!$E$174,0,IPMT($H$4/12,C30,$H$5*12,-$H$8)),$H$4/12*D30))</f>
        <v>92995.933131155063</v>
      </c>
      <c r="H30" s="227">
        <f t="shared" si="0"/>
        <v>11153781.107234772</v>
      </c>
      <c r="M30" s="226">
        <f t="shared" si="6"/>
        <v>51</v>
      </c>
      <c r="N30" s="224">
        <f t="shared" si="7"/>
        <v>18</v>
      </c>
      <c r="O30" s="227">
        <f>IF(M30&gt;Assumptions!$E$174,0,R29)</f>
        <v>20326292.197144657</v>
      </c>
      <c r="P30" s="227">
        <f>IF(M30&gt;Assumptions!$E$174,0,-PPMT($R$5/12,N30,$R$6*12,-$R$8))</f>
        <v>-21686.285489105354</v>
      </c>
      <c r="Q30" s="227">
        <f>IF(M30&gt;Assumptions!$E$174,0,-IPMT($R$5/12,N30,$R$6*12,-$R$8))</f>
        <v>-104746.97342224064</v>
      </c>
      <c r="R30" s="227">
        <f t="shared" si="5"/>
        <v>20304605.911655553</v>
      </c>
    </row>
    <row r="31" spans="2:18" x14ac:dyDescent="0.45">
      <c r="B31" s="226">
        <f t="shared" si="8"/>
        <v>19</v>
      </c>
      <c r="C31" s="224">
        <f t="shared" si="8"/>
        <v>19</v>
      </c>
      <c r="D31" s="227">
        <f>IF(B31&gt;Assumptions!$E$174,0,H30)</f>
        <v>11153781.107234772</v>
      </c>
      <c r="E31" s="227" cm="1">
        <f t="array" ref="E31">IFERROR(INDEX(Model!$G$44:$EI$44,,MATCH('Debt Schedule'!B31,Model!$G$4:$EI$4,0)),0)</f>
        <v>0</v>
      </c>
      <c r="F31" s="227">
        <f>IF(AND(Assumptions!$G$34="Yes",'Debt Schedule'!B31&gt;Assumptions!$G$36),0,IF(B31&gt;Assumptions!$E$174,0,-IFERROR(PPMT($H$4/12,C31,$H$5*12,-$H$8),0)))</f>
        <v>-5778.6257413667681</v>
      </c>
      <c r="G31" s="227">
        <f>IF(AND(Assumptions!$G$34="yes",'Debt Schedule'!B31&gt;Assumptions!$G$36),0,IFERROR(IF(B31&gt;Assumptions!$E$174,0,IPMT($H$4/12,C31,$H$5*12,-$H$8)),$H$4/12*D31))</f>
        <v>92948.175893623105</v>
      </c>
      <c r="H31" s="227">
        <f t="shared" si="0"/>
        <v>11148002.481493406</v>
      </c>
      <c r="M31" s="226">
        <f t="shared" si="6"/>
        <v>52</v>
      </c>
      <c r="N31" s="224">
        <f t="shared" si="7"/>
        <v>19</v>
      </c>
      <c r="O31" s="227">
        <f>IF(M31&gt;Assumptions!$E$174,0,R30)</f>
        <v>20304605.911655553</v>
      </c>
      <c r="P31" s="227">
        <f>IF(M31&gt;Assumptions!$E$174,0,-PPMT($R$5/12,N31,$R$6*12,-$R$8))</f>
        <v>-21798.040881959223</v>
      </c>
      <c r="Q31" s="227">
        <f>IF(M31&gt;Assumptions!$E$174,0,-IPMT($R$5/12,N31,$R$6*12,-$R$8))</f>
        <v>-104635.21802938679</v>
      </c>
      <c r="R31" s="227">
        <f t="shared" si="5"/>
        <v>20282807.870773595</v>
      </c>
    </row>
    <row r="32" spans="2:18" x14ac:dyDescent="0.45">
      <c r="B32" s="226">
        <f t="shared" si="8"/>
        <v>20</v>
      </c>
      <c r="C32" s="224">
        <f t="shared" si="8"/>
        <v>20</v>
      </c>
      <c r="D32" s="227">
        <f>IF(B32&gt;Assumptions!$E$174,0,H31)</f>
        <v>11148002.481493406</v>
      </c>
      <c r="E32" s="227" cm="1">
        <f t="array" ref="E32">IFERROR(INDEX(Model!$G$44:$EI$44,,MATCH('Debt Schedule'!B32,Model!$G$4:$EI$4,0)),0)</f>
        <v>0</v>
      </c>
      <c r="F32" s="227">
        <f>IF(AND(Assumptions!$G$34="Yes",'Debt Schedule'!B32&gt;Assumptions!$G$36),0,IF(B32&gt;Assumptions!$E$174,0,-IFERROR(PPMT($H$4/12,C32,$H$5*12,-$H$8),0)))</f>
        <v>-5826.7809558781582</v>
      </c>
      <c r="G32" s="227">
        <f>IF(AND(Assumptions!$G$34="yes",'Debt Schedule'!B32&gt;Assumptions!$G$36),0,IFERROR(IF(B32&gt;Assumptions!$E$174,0,IPMT($H$4/12,C32,$H$5*12,-$H$8)),$H$4/12*D32))</f>
        <v>92900.020679111694</v>
      </c>
      <c r="H32" s="227">
        <f t="shared" si="0"/>
        <v>11142175.700537527</v>
      </c>
      <c r="M32" s="226">
        <f t="shared" si="6"/>
        <v>53</v>
      </c>
      <c r="N32" s="224">
        <f t="shared" si="7"/>
        <v>20</v>
      </c>
      <c r="O32" s="227">
        <f>IF(M32&gt;Assumptions!$E$174,0,R31)</f>
        <v>20282807.870773595</v>
      </c>
      <c r="P32" s="227">
        <f>IF(M32&gt;Assumptions!$E$174,0,-PPMT($R$5/12,N32,$R$6*12,-$R$8))</f>
        <v>-21910.372181085204</v>
      </c>
      <c r="Q32" s="227">
        <f>IF(M32&gt;Assumptions!$E$174,0,-IPMT($R$5/12,N32,$R$6*12,-$R$8))</f>
        <v>-104522.8867302608</v>
      </c>
      <c r="R32" s="227">
        <f t="shared" si="5"/>
        <v>20260897.498592511</v>
      </c>
    </row>
    <row r="33" spans="2:18" x14ac:dyDescent="0.45">
      <c r="B33" s="226">
        <f t="shared" si="8"/>
        <v>21</v>
      </c>
      <c r="C33" s="224">
        <f t="shared" si="8"/>
        <v>21</v>
      </c>
      <c r="D33" s="227">
        <f>IF(B33&gt;Assumptions!$E$174,0,H32)</f>
        <v>11142175.700537527</v>
      </c>
      <c r="E33" s="227" cm="1">
        <f t="array" ref="E33">IFERROR(INDEX(Model!$G$44:$EI$44,,MATCH('Debt Schedule'!B33,Model!$G$4:$EI$4,0)),0)</f>
        <v>0</v>
      </c>
      <c r="F33" s="227">
        <f>IF(AND(Assumptions!$G$34="Yes",'Debt Schedule'!B33&gt;Assumptions!$G$36),0,IF(B33&gt;Assumptions!$E$174,0,-IFERROR(PPMT($H$4/12,C33,$H$5*12,-$H$8),0)))</f>
        <v>-5875.337463843809</v>
      </c>
      <c r="G33" s="227">
        <f>IF(AND(Assumptions!$G$34="yes",'Debt Schedule'!B33&gt;Assumptions!$G$36),0,IFERROR(IF(B33&gt;Assumptions!$E$174,0,IPMT($H$4/12,C33,$H$5*12,-$H$8)),$H$4/12*D33))</f>
        <v>92851.464171146057</v>
      </c>
      <c r="H33" s="227">
        <f t="shared" si="0"/>
        <v>11136300.363073682</v>
      </c>
      <c r="M33" s="226">
        <f t="shared" si="6"/>
        <v>54</v>
      </c>
      <c r="N33" s="224">
        <f t="shared" si="7"/>
        <v>21</v>
      </c>
      <c r="O33" s="227">
        <f>IF(M33&gt;Assumptions!$E$174,0,R32)</f>
        <v>20260897.498592511</v>
      </c>
      <c r="P33" s="227">
        <f>IF(M33&gt;Assumptions!$E$174,0,-PPMT($R$5/12,N33,$R$6*12,-$R$8))</f>
        <v>-22023.282354286686</v>
      </c>
      <c r="Q33" s="227">
        <f>IF(M33&gt;Assumptions!$E$174,0,-IPMT($R$5/12,N33,$R$6*12,-$R$8))</f>
        <v>-104409.97655705932</v>
      </c>
      <c r="R33" s="227">
        <f t="shared" si="5"/>
        <v>20238874.216238223</v>
      </c>
    </row>
    <row r="34" spans="2:18" x14ac:dyDescent="0.45">
      <c r="B34" s="226">
        <f t="shared" si="8"/>
        <v>22</v>
      </c>
      <c r="C34" s="224">
        <f t="shared" si="8"/>
        <v>22</v>
      </c>
      <c r="D34" s="227">
        <f>IF(B34&gt;Assumptions!$E$174,0,H33)</f>
        <v>11136300.363073682</v>
      </c>
      <c r="E34" s="227" cm="1">
        <f t="array" ref="E34">IFERROR(INDEX(Model!$G$44:$EI$44,,MATCH('Debt Schedule'!B34,Model!$G$4:$EI$4,0)),0)</f>
        <v>0</v>
      </c>
      <c r="F34" s="227">
        <f>IF(AND(Assumptions!$G$34="Yes",'Debt Schedule'!B34&gt;Assumptions!$G$36),0,IF(B34&gt;Assumptions!$E$174,0,-IFERROR(PPMT($H$4/12,C34,$H$5*12,-$H$8),0)))</f>
        <v>-5924.2986093758409</v>
      </c>
      <c r="G34" s="227">
        <f>IF(AND(Assumptions!$G$34="yes",'Debt Schedule'!B34&gt;Assumptions!$G$36),0,IFERROR(IF(B34&gt;Assumptions!$E$174,0,IPMT($H$4/12,C34,$H$5*12,-$H$8)),$H$4/12*D34))</f>
        <v>92802.503025614016</v>
      </c>
      <c r="H34" s="227">
        <f t="shared" si="0"/>
        <v>11130376.064464306</v>
      </c>
      <c r="M34" s="226">
        <f t="shared" si="6"/>
        <v>55</v>
      </c>
      <c r="N34" s="224">
        <f t="shared" si="7"/>
        <v>22</v>
      </c>
      <c r="O34" s="227">
        <f>IF(M34&gt;Assumptions!$E$174,0,R33)</f>
        <v>20238874.216238223</v>
      </c>
      <c r="P34" s="227">
        <f>IF(M34&gt;Assumptions!$E$174,0,-PPMT($R$5/12,N34,$R$6*12,-$R$8))</f>
        <v>-22136.774384660974</v>
      </c>
      <c r="Q34" s="227">
        <f>IF(M34&gt;Assumptions!$E$174,0,-IPMT($R$5/12,N34,$R$6*12,-$R$8))</f>
        <v>-104296.48452668502</v>
      </c>
      <c r="R34" s="227">
        <f t="shared" si="5"/>
        <v>20216737.441853561</v>
      </c>
    </row>
    <row r="35" spans="2:18" x14ac:dyDescent="0.45">
      <c r="B35" s="226">
        <f t="shared" si="8"/>
        <v>23</v>
      </c>
      <c r="C35" s="224">
        <f t="shared" si="8"/>
        <v>23</v>
      </c>
      <c r="D35" s="227">
        <f>IF(B35&gt;Assumptions!$E$174,0,H34)</f>
        <v>11130376.064464306</v>
      </c>
      <c r="E35" s="227" cm="1">
        <f t="array" ref="E35">IFERROR(INDEX(Model!$G$44:$EI$44,,MATCH('Debt Schedule'!B35,Model!$G$4:$EI$4,0)),0)</f>
        <v>0</v>
      </c>
      <c r="F35" s="227">
        <f>IF(AND(Assumptions!$G$34="Yes",'Debt Schedule'!B35&gt;Assumptions!$G$36),0,IF(B35&gt;Assumptions!$E$174,0,-IFERROR(PPMT($H$4/12,C35,$H$5*12,-$H$8),0)))</f>
        <v>-5973.6677644539723</v>
      </c>
      <c r="G35" s="227">
        <f>IF(AND(Assumptions!$G$34="yes",'Debt Schedule'!B35&gt;Assumptions!$G$36),0,IFERROR(IF(B35&gt;Assumptions!$E$174,0,IPMT($H$4/12,C35,$H$5*12,-$H$8)),$H$4/12*D35))</f>
        <v>92753.133870535879</v>
      </c>
      <c r="H35" s="227">
        <f t="shared" si="0"/>
        <v>11124402.396699853</v>
      </c>
      <c r="M35" s="226">
        <f t="shared" si="6"/>
        <v>56</v>
      </c>
      <c r="N35" s="224">
        <f t="shared" si="7"/>
        <v>23</v>
      </c>
      <c r="O35" s="227">
        <f>IF(M35&gt;Assumptions!$E$174,0,R34)</f>
        <v>20216737.441853561</v>
      </c>
      <c r="P35" s="227">
        <f>IF(M35&gt;Assumptions!$E$174,0,-PPMT($R$5/12,N35,$R$6*12,-$R$8))</f>
        <v>-22250.851270678086</v>
      </c>
      <c r="Q35" s="227">
        <f>IF(M35&gt;Assumptions!$E$174,0,-IPMT($R$5/12,N35,$R$6*12,-$R$8))</f>
        <v>-104182.40764066792</v>
      </c>
      <c r="R35" s="227">
        <f t="shared" si="5"/>
        <v>20194486.590582881</v>
      </c>
    </row>
    <row r="36" spans="2:18" x14ac:dyDescent="0.45">
      <c r="B36" s="226">
        <f t="shared" si="8"/>
        <v>24</v>
      </c>
      <c r="C36" s="224">
        <f t="shared" si="8"/>
        <v>24</v>
      </c>
      <c r="D36" s="227">
        <f>IF(B36&gt;Assumptions!$E$174,0,H35)</f>
        <v>11124402.396699853</v>
      </c>
      <c r="E36" s="227" cm="1">
        <f t="array" ref="E36">IFERROR(INDEX(Model!$G$44:$EI$44,,MATCH('Debt Schedule'!B36,Model!$G$4:$EI$4,0)),0)</f>
        <v>0</v>
      </c>
      <c r="F36" s="227">
        <f>IF(AND(Assumptions!$G$34="Yes",'Debt Schedule'!B36&gt;Assumptions!$G$36),0,IF(B36&gt;Assumptions!$E$174,0,-IFERROR(PPMT($H$4/12,C36,$H$5*12,-$H$8),0)))</f>
        <v>-6023.4483291577553</v>
      </c>
      <c r="G36" s="227">
        <f>IF(AND(Assumptions!$G$34="yes",'Debt Schedule'!B36&gt;Assumptions!$G$36),0,IFERROR(IF(B36&gt;Assumptions!$E$174,0,IPMT($H$4/12,C36,$H$5*12,-$H$8)),$H$4/12*D36))</f>
        <v>92703.353305832105</v>
      </c>
      <c r="H36" s="227">
        <f t="shared" si="0"/>
        <v>11118378.948370695</v>
      </c>
      <c r="M36" s="226">
        <f t="shared" si="6"/>
        <v>57</v>
      </c>
      <c r="N36" s="224">
        <f t="shared" si="7"/>
        <v>24</v>
      </c>
      <c r="O36" s="227">
        <f>IF(M36&gt;Assumptions!$E$174,0,R35)</f>
        <v>20194486.590582881</v>
      </c>
      <c r="P36" s="227">
        <f>IF(M36&gt;Assumptions!$E$174,0,-PPMT($R$5/12,N36,$R$6*12,-$R$8))</f>
        <v>-22365.516026259989</v>
      </c>
      <c r="Q36" s="227">
        <f>IF(M36&gt;Assumptions!$E$174,0,-IPMT($R$5/12,N36,$R$6*12,-$R$8))</f>
        <v>-104067.74288508602</v>
      </c>
      <c r="R36" s="227">
        <f t="shared" si="5"/>
        <v>20172121.074556623</v>
      </c>
    </row>
    <row r="37" spans="2:18" x14ac:dyDescent="0.45">
      <c r="B37" s="226">
        <f t="shared" si="8"/>
        <v>25</v>
      </c>
      <c r="C37" s="224">
        <f t="shared" si="8"/>
        <v>25</v>
      </c>
      <c r="D37" s="227">
        <f>IF(B37&gt;Assumptions!$E$174,0,H36)</f>
        <v>11118378.948370695</v>
      </c>
      <c r="E37" s="227" cm="1">
        <f t="array" ref="E37">IFERROR(INDEX(Model!$G$44:$EI$44,,MATCH('Debt Schedule'!B37,Model!$G$4:$EI$4,0)),0)</f>
        <v>0</v>
      </c>
      <c r="F37" s="227">
        <f>IF(AND(Assumptions!$G$34="Yes",'Debt Schedule'!B37&gt;Assumptions!$G$36),0,IF(B37&gt;Assumptions!$E$174,0,-IFERROR(PPMT($H$4/12,C37,$H$5*12,-$H$8),0)))</f>
        <v>-6073.6437319007373</v>
      </c>
      <c r="G37" s="227">
        <f>IF(AND(Assumptions!$G$34="yes",'Debt Schedule'!B37&gt;Assumptions!$G$36),0,IFERROR(IF(B37&gt;Assumptions!$E$174,0,IPMT($H$4/12,C37,$H$5*12,-$H$8)),$H$4/12*D37))</f>
        <v>92653.15790308913</v>
      </c>
      <c r="H37" s="227">
        <f t="shared" si="0"/>
        <v>11112305.304638794</v>
      </c>
      <c r="M37" s="226">
        <f t="shared" si="6"/>
        <v>58</v>
      </c>
      <c r="N37" s="224">
        <f t="shared" si="7"/>
        <v>25</v>
      </c>
      <c r="O37" s="227">
        <f>IF(M37&gt;Assumptions!$E$174,0,R36)</f>
        <v>20172121.074556623</v>
      </c>
      <c r="P37" s="227">
        <f>IF(M37&gt;Assumptions!$E$174,0,-PPMT($R$5/12,N37,$R$6*12,-$R$8))</f>
        <v>-22480.771680860213</v>
      </c>
      <c r="Q37" s="227">
        <f>IF(M37&gt;Assumptions!$E$174,0,-IPMT($R$5/12,N37,$R$6*12,-$R$8))</f>
        <v>-103952.4872304858</v>
      </c>
      <c r="R37" s="227">
        <f t="shared" si="5"/>
        <v>20149640.302875761</v>
      </c>
    </row>
    <row r="38" spans="2:18" x14ac:dyDescent="0.45">
      <c r="B38" s="226">
        <f t="shared" si="8"/>
        <v>26</v>
      </c>
      <c r="C38" s="224">
        <f t="shared" si="8"/>
        <v>26</v>
      </c>
      <c r="D38" s="227">
        <f>IF(B38&gt;Assumptions!$E$174,0,H37)</f>
        <v>11112305.304638794</v>
      </c>
      <c r="E38" s="227" cm="1">
        <f t="array" ref="E38">IFERROR(INDEX(Model!$G$44:$EI$44,,MATCH('Debt Schedule'!B38,Model!$G$4:$EI$4,0)),0)</f>
        <v>0</v>
      </c>
      <c r="F38" s="227">
        <f>IF(AND(Assumptions!$G$34="Yes",'Debt Schedule'!B38&gt;Assumptions!$G$36),0,IF(B38&gt;Assumptions!$E$174,0,-IFERROR(PPMT($H$4/12,C38,$H$5*12,-$H$8),0)))</f>
        <v>-6124.2574296665762</v>
      </c>
      <c r="G38" s="227">
        <f>IF(AND(Assumptions!$G$34="yes",'Debt Schedule'!B38&gt;Assumptions!$G$36),0,IFERROR(IF(B38&gt;Assumptions!$E$174,0,IPMT($H$4/12,C38,$H$5*12,-$H$8)),$H$4/12*D38))</f>
        <v>92602.544205323298</v>
      </c>
      <c r="H38" s="227">
        <f t="shared" si="0"/>
        <v>11106181.047209127</v>
      </c>
      <c r="M38" s="226">
        <f t="shared" si="6"/>
        <v>59</v>
      </c>
      <c r="N38" s="224">
        <f t="shared" si="7"/>
        <v>26</v>
      </c>
      <c r="O38" s="227">
        <f>IF(M38&gt;Assumptions!$E$174,0,R37)</f>
        <v>20149640.302875761</v>
      </c>
      <c r="P38" s="227">
        <f>IF(M38&gt;Assumptions!$E$174,0,-PPMT($R$5/12,N38,$R$6*12,-$R$8))</f>
        <v>-22596.621279543899</v>
      </c>
      <c r="Q38" s="227">
        <f>IF(M38&gt;Assumptions!$E$174,0,-IPMT($R$5/12,N38,$R$6*12,-$R$8))</f>
        <v>-103836.63763180211</v>
      </c>
      <c r="R38" s="227">
        <f t="shared" si="5"/>
        <v>20127043.681596216</v>
      </c>
    </row>
    <row r="39" spans="2:18" x14ac:dyDescent="0.45">
      <c r="B39" s="226">
        <f t="shared" si="8"/>
        <v>27</v>
      </c>
      <c r="C39" s="224">
        <f t="shared" si="8"/>
        <v>27</v>
      </c>
      <c r="D39" s="227">
        <f>IF(B39&gt;Assumptions!$E$174,0,H38)</f>
        <v>11106181.047209127</v>
      </c>
      <c r="E39" s="227" cm="1">
        <f t="array" ref="E39">IFERROR(INDEX(Model!$G$44:$EI$44,,MATCH('Debt Schedule'!B39,Model!$G$4:$EI$4,0)),0)</f>
        <v>0</v>
      </c>
      <c r="F39" s="227">
        <f>IF(AND(Assumptions!$G$34="Yes",'Debt Schedule'!B39&gt;Assumptions!$G$36),0,IF(B39&gt;Assumptions!$E$174,0,-IFERROR(PPMT($H$4/12,C39,$H$5*12,-$H$8),0)))</f>
        <v>-6175.292908247131</v>
      </c>
      <c r="G39" s="227">
        <f>IF(AND(Assumptions!$G$34="yes",'Debt Schedule'!B39&gt;Assumptions!$G$36),0,IFERROR(IF(B39&gt;Assumptions!$E$174,0,IPMT($H$4/12,C39,$H$5*12,-$H$8)),$H$4/12*D39))</f>
        <v>92551.50872674273</v>
      </c>
      <c r="H39" s="227">
        <f t="shared" si="0"/>
        <v>11100005.754300879</v>
      </c>
      <c r="M39" s="226">
        <f t="shared" si="6"/>
        <v>60</v>
      </c>
      <c r="N39" s="224">
        <f t="shared" si="7"/>
        <v>27</v>
      </c>
      <c r="O39" s="227">
        <f>IF(M39&gt;Assumptions!$E$174,0,R38)</f>
        <v>20127043.681596216</v>
      </c>
      <c r="P39" s="227">
        <f>IF(M39&gt;Assumptions!$E$174,0,-PPMT($R$5/12,N39,$R$6*12,-$R$8))</f>
        <v>-22713.067883068237</v>
      </c>
      <c r="Q39" s="227">
        <f>IF(M39&gt;Assumptions!$E$174,0,-IPMT($R$5/12,N39,$R$6*12,-$R$8))</f>
        <v>-103720.19102827777</v>
      </c>
      <c r="R39" s="227">
        <f t="shared" si="5"/>
        <v>20104330.613713149</v>
      </c>
    </row>
    <row r="40" spans="2:18" x14ac:dyDescent="0.45">
      <c r="B40" s="226">
        <f t="shared" si="8"/>
        <v>28</v>
      </c>
      <c r="C40" s="224">
        <f t="shared" si="8"/>
        <v>28</v>
      </c>
      <c r="D40" s="227">
        <f>IF(B40&gt;Assumptions!$E$174,0,H39)</f>
        <v>11100005.754300879</v>
      </c>
      <c r="E40" s="227" cm="1">
        <f t="array" ref="E40">IFERROR(INDEX(Model!$G$44:$EI$44,,MATCH('Debt Schedule'!B40,Model!$G$4:$EI$4,0)),0)</f>
        <v>0</v>
      </c>
      <c r="F40" s="227">
        <f>IF(AND(Assumptions!$G$34="Yes",'Debt Schedule'!B40&gt;Assumptions!$G$36),0,IF(B40&gt;Assumptions!$E$174,0,-IFERROR(PPMT($H$4/12,C40,$H$5*12,-$H$8),0)))</f>
        <v>-6226.7536824825238</v>
      </c>
      <c r="G40" s="227">
        <f>IF(AND(Assumptions!$G$34="yes",'Debt Schedule'!B40&gt;Assumptions!$G$36),0,IFERROR(IF(B40&gt;Assumptions!$E$174,0,IPMT($H$4/12,C40,$H$5*12,-$H$8)),$H$4/12*D40))</f>
        <v>92500.047952507346</v>
      </c>
      <c r="H40" s="227">
        <f t="shared" si="0"/>
        <v>11093779.000618396</v>
      </c>
      <c r="M40" s="226">
        <f t="shared" si="6"/>
        <v>61</v>
      </c>
      <c r="N40" s="224">
        <f t="shared" si="7"/>
        <v>28</v>
      </c>
      <c r="O40" s="227">
        <f>IF(M40&gt;Assumptions!$E$174,0,R39)</f>
        <v>0</v>
      </c>
      <c r="P40" s="227">
        <f>IF(M40&gt;Assumptions!$E$174,0,-PPMT($R$5/12,N40,$R$6*12,-$R$8))</f>
        <v>0</v>
      </c>
      <c r="Q40" s="227">
        <f>IF(M40&gt;Assumptions!$E$174,0,-IPMT($R$5/12,N40,$R$6*12,-$R$8))</f>
        <v>0</v>
      </c>
      <c r="R40" s="227">
        <f t="shared" si="5"/>
        <v>0</v>
      </c>
    </row>
    <row r="41" spans="2:18" x14ac:dyDescent="0.45">
      <c r="B41" s="226">
        <f t="shared" si="8"/>
        <v>29</v>
      </c>
      <c r="C41" s="224">
        <f t="shared" si="8"/>
        <v>29</v>
      </c>
      <c r="D41" s="227">
        <f>IF(B41&gt;Assumptions!$E$174,0,H40)</f>
        <v>11093779.000618396</v>
      </c>
      <c r="E41" s="227" cm="1">
        <f t="array" ref="E41">IFERROR(INDEX(Model!$G$44:$EI$44,,MATCH('Debt Schedule'!B41,Model!$G$4:$EI$4,0)),0)</f>
        <v>0</v>
      </c>
      <c r="F41" s="227">
        <f>IF(AND(Assumptions!$G$34="Yes",'Debt Schedule'!B41&gt;Assumptions!$G$36),0,IF(B41&gt;Assumptions!$E$174,0,-IFERROR(PPMT($H$4/12,C41,$H$5*12,-$H$8),0)))</f>
        <v>-6278.6432965032118</v>
      </c>
      <c r="G41" s="227">
        <f>IF(AND(Assumptions!$G$34="yes",'Debt Schedule'!B41&gt;Assumptions!$G$36),0,IFERROR(IF(B41&gt;Assumptions!$E$174,0,IPMT($H$4/12,C41,$H$5*12,-$H$8)),$H$4/12*D41))</f>
        <v>92448.158338486654</v>
      </c>
      <c r="H41" s="227">
        <f t="shared" si="0"/>
        <v>11087500.357321894</v>
      </c>
      <c r="M41" s="226">
        <f t="shared" si="6"/>
        <v>62</v>
      </c>
      <c r="N41" s="224">
        <f t="shared" si="7"/>
        <v>29</v>
      </c>
      <c r="O41" s="227">
        <f>IF(M41&gt;Assumptions!$E$174,0,R40)</f>
        <v>0</v>
      </c>
      <c r="P41" s="227">
        <f>IF(M41&gt;Assumptions!$E$174,0,-PPMT($R$5/12,N41,$R$6*12,-$R$8))</f>
        <v>0</v>
      </c>
      <c r="Q41" s="227">
        <f>IF(M41&gt;Assumptions!$E$174,0,-IPMT($R$5/12,N41,$R$6*12,-$R$8))</f>
        <v>0</v>
      </c>
      <c r="R41" s="227">
        <f t="shared" si="5"/>
        <v>0</v>
      </c>
    </row>
    <row r="42" spans="2:18" x14ac:dyDescent="0.45">
      <c r="B42" s="226">
        <f t="shared" si="8"/>
        <v>30</v>
      </c>
      <c r="C42" s="224">
        <f t="shared" si="8"/>
        <v>30</v>
      </c>
      <c r="D42" s="227">
        <f>IF(B42&gt;Assumptions!$E$174,0,H41)</f>
        <v>11087500.357321894</v>
      </c>
      <c r="E42" s="227" cm="1">
        <f t="array" ref="E42">IFERROR(INDEX(Model!$G$44:$EI$44,,MATCH('Debt Schedule'!B42,Model!$G$4:$EI$4,0)),0)</f>
        <v>0</v>
      </c>
      <c r="F42" s="227">
        <f>IF(AND(Assumptions!$G$34="Yes",'Debt Schedule'!B42&gt;Assumptions!$G$36),0,IF(B42&gt;Assumptions!$E$174,0,-IFERROR(PPMT($H$4/12,C42,$H$5*12,-$H$8),0)))</f>
        <v>-6330.9653239740719</v>
      </c>
      <c r="G42" s="227">
        <f>IF(AND(Assumptions!$G$34="yes",'Debt Schedule'!B42&gt;Assumptions!$G$36),0,IFERROR(IF(B42&gt;Assumptions!$E$174,0,IPMT($H$4/12,C42,$H$5*12,-$H$8)),$H$4/12*D42))</f>
        <v>92395.836311015795</v>
      </c>
      <c r="H42" s="227">
        <f t="shared" si="0"/>
        <v>11081169.39199792</v>
      </c>
      <c r="M42" s="226">
        <f t="shared" si="6"/>
        <v>63</v>
      </c>
      <c r="N42" s="224">
        <f t="shared" si="7"/>
        <v>30</v>
      </c>
      <c r="O42" s="227">
        <f>IF(M42&gt;Assumptions!$E$174,0,R41)</f>
        <v>0</v>
      </c>
      <c r="P42" s="227">
        <f>IF(M42&gt;Assumptions!$E$174,0,-PPMT($R$5/12,N42,$R$6*12,-$R$8))</f>
        <v>0</v>
      </c>
      <c r="Q42" s="227">
        <f>IF(M42&gt;Assumptions!$E$174,0,-IPMT($R$5/12,N42,$R$6*12,-$R$8))</f>
        <v>0</v>
      </c>
      <c r="R42" s="227">
        <f t="shared" si="5"/>
        <v>0</v>
      </c>
    </row>
    <row r="43" spans="2:18" x14ac:dyDescent="0.45">
      <c r="B43" s="226">
        <f t="shared" si="8"/>
        <v>31</v>
      </c>
      <c r="C43" s="224">
        <f t="shared" si="8"/>
        <v>31</v>
      </c>
      <c r="D43" s="227">
        <f>IF(B43&gt;Assumptions!$E$174,0,H42)</f>
        <v>11081169.39199792</v>
      </c>
      <c r="E43" s="227" cm="1">
        <f t="array" ref="E43">IFERROR(INDEX(Model!$G$44:$EI$44,,MATCH('Debt Schedule'!B43,Model!$G$4:$EI$4,0)),0)</f>
        <v>0</v>
      </c>
      <c r="F43" s="227">
        <f>IF(AND(Assumptions!$G$34="Yes",'Debt Schedule'!B43&gt;Assumptions!$G$36),0,IF(B43&gt;Assumptions!$E$174,0,-IFERROR(PPMT($H$4/12,C43,$H$5*12,-$H$8),0)))</f>
        <v>-6383.723368340522</v>
      </c>
      <c r="G43" s="227">
        <f>IF(AND(Assumptions!$G$34="yes",'Debt Schedule'!B43&gt;Assumptions!$G$36),0,IFERROR(IF(B43&gt;Assumptions!$E$174,0,IPMT($H$4/12,C43,$H$5*12,-$H$8)),$H$4/12*D43))</f>
        <v>92343.078266649332</v>
      </c>
      <c r="H43" s="227">
        <f t="shared" si="0"/>
        <v>11074785.668629579</v>
      </c>
      <c r="M43" s="226">
        <f t="shared" si="6"/>
        <v>64</v>
      </c>
      <c r="N43" s="224">
        <f t="shared" si="7"/>
        <v>31</v>
      </c>
      <c r="O43" s="227">
        <f>IF(M43&gt;Assumptions!$E$174,0,R42)</f>
        <v>0</v>
      </c>
      <c r="P43" s="227">
        <f>IF(M43&gt;Assumptions!$E$174,0,-PPMT($R$5/12,N43,$R$6*12,-$R$8))</f>
        <v>0</v>
      </c>
      <c r="Q43" s="227">
        <f>IF(M43&gt;Assumptions!$E$174,0,-IPMT($R$5/12,N43,$R$6*12,-$R$8))</f>
        <v>0</v>
      </c>
      <c r="R43" s="227">
        <f t="shared" si="5"/>
        <v>0</v>
      </c>
    </row>
    <row r="44" spans="2:18" x14ac:dyDescent="0.45">
      <c r="B44" s="226">
        <f t="shared" si="8"/>
        <v>32</v>
      </c>
      <c r="C44" s="224">
        <f t="shared" si="8"/>
        <v>32</v>
      </c>
      <c r="D44" s="227">
        <f>IF(B44&gt;Assumptions!$E$174,0,H43)</f>
        <v>11074785.668629579</v>
      </c>
      <c r="E44" s="227" cm="1">
        <f t="array" ref="E44">IFERROR(INDEX(Model!$G$44:$EI$44,,MATCH('Debt Schedule'!B44,Model!$G$4:$EI$4,0)),0)</f>
        <v>0</v>
      </c>
      <c r="F44" s="227">
        <f>IF(AND(Assumptions!$G$34="Yes",'Debt Schedule'!B44&gt;Assumptions!$G$36),0,IF(B44&gt;Assumptions!$E$174,0,-IFERROR(PPMT($H$4/12,C44,$H$5*12,-$H$8),0)))</f>
        <v>-6436.9210630766929</v>
      </c>
      <c r="G44" s="227">
        <f>IF(AND(Assumptions!$G$34="yes",'Debt Schedule'!B44&gt;Assumptions!$G$36),0,IFERROR(IF(B44&gt;Assumptions!$E$174,0,IPMT($H$4/12,C44,$H$5*12,-$H$8)),$H$4/12*D44))</f>
        <v>92289.880571913163</v>
      </c>
      <c r="H44" s="227">
        <f t="shared" si="0"/>
        <v>11068348.747566503</v>
      </c>
      <c r="M44" s="226">
        <f t="shared" si="6"/>
        <v>65</v>
      </c>
      <c r="N44" s="224">
        <f t="shared" si="7"/>
        <v>32</v>
      </c>
      <c r="O44" s="227">
        <f>IF(M44&gt;Assumptions!$E$174,0,R43)</f>
        <v>0</v>
      </c>
      <c r="P44" s="227">
        <f>IF(M44&gt;Assumptions!$E$174,0,-PPMT($R$5/12,N44,$R$6*12,-$R$8))</f>
        <v>0</v>
      </c>
      <c r="Q44" s="227">
        <f>IF(M44&gt;Assumptions!$E$174,0,-IPMT($R$5/12,N44,$R$6*12,-$R$8))</f>
        <v>0</v>
      </c>
      <c r="R44" s="227">
        <f t="shared" si="5"/>
        <v>0</v>
      </c>
    </row>
    <row r="45" spans="2:18" x14ac:dyDescent="0.45">
      <c r="B45" s="226">
        <f t="shared" si="8"/>
        <v>33</v>
      </c>
      <c r="C45" s="224">
        <f t="shared" si="8"/>
        <v>33</v>
      </c>
      <c r="D45" s="227">
        <f>IF(B45&gt;Assumptions!$E$174,0,H44)</f>
        <v>11068348.747566503</v>
      </c>
      <c r="E45" s="227" cm="1">
        <f t="array" ref="E45">IFERROR(INDEX(Model!$G$44:$EI$44,,MATCH('Debt Schedule'!B45,Model!$G$4:$EI$4,0)),0)</f>
        <v>0</v>
      </c>
      <c r="F45" s="227">
        <f>IF(AND(Assumptions!$G$34="Yes",'Debt Schedule'!B45&gt;Assumptions!$G$36),0,IF(B45&gt;Assumptions!$E$174,0,-IFERROR(PPMT($H$4/12,C45,$H$5*12,-$H$8),0)))</f>
        <v>-6490.5620719356657</v>
      </c>
      <c r="G45" s="227">
        <f>IF(AND(Assumptions!$G$34="yes",'Debt Schedule'!B45&gt;Assumptions!$G$36),0,IFERROR(IF(B45&gt;Assumptions!$E$174,0,IPMT($H$4/12,C45,$H$5*12,-$H$8)),$H$4/12*D45))</f>
        <v>92236.239563054187</v>
      </c>
      <c r="H45" s="227">
        <f t="shared" ref="H45:H76" si="9">SUM(D45:F45)</f>
        <v>11061858.185494566</v>
      </c>
      <c r="M45" s="226">
        <f t="shared" si="6"/>
        <v>66</v>
      </c>
      <c r="N45" s="224">
        <f t="shared" si="7"/>
        <v>33</v>
      </c>
      <c r="O45" s="227">
        <f>IF(M45&gt;Assumptions!$E$174,0,R44)</f>
        <v>0</v>
      </c>
      <c r="P45" s="227">
        <f>IF(M45&gt;Assumptions!$E$174,0,-PPMT($R$5/12,N45,$R$6*12,-$R$8))</f>
        <v>0</v>
      </c>
      <c r="Q45" s="227">
        <f>IF(M45&gt;Assumptions!$E$174,0,-IPMT($R$5/12,N45,$R$6*12,-$R$8))</f>
        <v>0</v>
      </c>
      <c r="R45" s="227">
        <f t="shared" si="5"/>
        <v>0</v>
      </c>
    </row>
    <row r="46" spans="2:18" x14ac:dyDescent="0.45">
      <c r="B46" s="226">
        <f t="shared" ref="B46:C61" si="10">+B45+1</f>
        <v>34</v>
      </c>
      <c r="C46" s="224">
        <f t="shared" si="10"/>
        <v>34</v>
      </c>
      <c r="D46" s="227">
        <f>IF(B46&gt;Assumptions!$E$174,0,H45)</f>
        <v>11061858.185494566</v>
      </c>
      <c r="E46" s="227" cm="1">
        <f t="array" ref="E46">IFERROR(INDEX(Model!$G$44:$EI$44,,MATCH('Debt Schedule'!B46,Model!$G$4:$EI$4,0)),0)</f>
        <v>0</v>
      </c>
      <c r="F46" s="227">
        <f>IF(AND(Assumptions!$G$34="Yes",'Debt Schedule'!B46&gt;Assumptions!$G$36),0,IF(B46&gt;Assumptions!$E$174,0,-IFERROR(PPMT($H$4/12,C46,$H$5*12,-$H$8),0)))</f>
        <v>0</v>
      </c>
      <c r="G46" s="227">
        <f>IF(AND(Assumptions!$G$34="yes",'Debt Schedule'!B46&gt;Assumptions!$G$36),0,IFERROR(IF(B46&gt;Assumptions!$E$174,0,IPMT($H$4/12,C46,$H$5*12,-$H$8)),$H$4/12*D46))</f>
        <v>0</v>
      </c>
      <c r="H46" s="227">
        <f t="shared" si="9"/>
        <v>11061858.185494566</v>
      </c>
      <c r="M46" s="226">
        <f t="shared" si="6"/>
        <v>67</v>
      </c>
      <c r="N46" s="224">
        <f t="shared" si="7"/>
        <v>34</v>
      </c>
      <c r="O46" s="227">
        <f>IF(M46&gt;Assumptions!$E$174,0,R45)</f>
        <v>0</v>
      </c>
      <c r="P46" s="227">
        <f>IF(M46&gt;Assumptions!$E$174,0,-PPMT($R$5/12,N46,$R$6*12,-$R$8))</f>
        <v>0</v>
      </c>
      <c r="Q46" s="227">
        <f>IF(M46&gt;Assumptions!$E$174,0,-IPMT($R$5/12,N46,$R$6*12,-$R$8))</f>
        <v>0</v>
      </c>
      <c r="R46" s="227">
        <f t="shared" si="5"/>
        <v>0</v>
      </c>
    </row>
    <row r="47" spans="2:18" x14ac:dyDescent="0.45">
      <c r="B47" s="226">
        <f t="shared" si="10"/>
        <v>35</v>
      </c>
      <c r="C47" s="224">
        <f t="shared" si="10"/>
        <v>35</v>
      </c>
      <c r="D47" s="227">
        <f>IF(B47&gt;Assumptions!$E$174,0,H46)</f>
        <v>11061858.185494566</v>
      </c>
      <c r="E47" s="227" cm="1">
        <f t="array" ref="E47">IFERROR(INDEX(Model!$G$44:$EI$44,,MATCH('Debt Schedule'!B47,Model!$G$4:$EI$4,0)),0)</f>
        <v>0</v>
      </c>
      <c r="F47" s="227">
        <f>IF(AND(Assumptions!$G$34="Yes",'Debt Schedule'!B47&gt;Assumptions!$G$36),0,IF(B47&gt;Assumptions!$E$174,0,-IFERROR(PPMT($H$4/12,C47,$H$5*12,-$H$8),0)))</f>
        <v>0</v>
      </c>
      <c r="G47" s="227">
        <f>IF(AND(Assumptions!$G$34="yes",'Debt Schedule'!B47&gt;Assumptions!$G$36),0,IFERROR(IF(B47&gt;Assumptions!$E$174,0,IPMT($H$4/12,C47,$H$5*12,-$H$8)),$H$4/12*D47))</f>
        <v>0</v>
      </c>
      <c r="H47" s="227">
        <f t="shared" si="9"/>
        <v>11061858.185494566</v>
      </c>
      <c r="M47" s="226">
        <f t="shared" si="6"/>
        <v>68</v>
      </c>
      <c r="N47" s="224">
        <f t="shared" si="7"/>
        <v>35</v>
      </c>
      <c r="O47" s="227">
        <f>IF(M47&gt;Assumptions!$E$174,0,R46)</f>
        <v>0</v>
      </c>
      <c r="P47" s="227">
        <f>IF(M47&gt;Assumptions!$E$174,0,-PPMT($R$5/12,N47,$R$6*12,-$R$8))</f>
        <v>0</v>
      </c>
      <c r="Q47" s="227">
        <f>IF(M47&gt;Assumptions!$E$174,0,-IPMT($R$5/12,N47,$R$6*12,-$R$8))</f>
        <v>0</v>
      </c>
      <c r="R47" s="227">
        <f t="shared" si="5"/>
        <v>0</v>
      </c>
    </row>
    <row r="48" spans="2:18" x14ac:dyDescent="0.45">
      <c r="B48" s="226">
        <f t="shared" si="10"/>
        <v>36</v>
      </c>
      <c r="C48" s="224">
        <f t="shared" si="10"/>
        <v>36</v>
      </c>
      <c r="D48" s="227">
        <f>IF(B48&gt;Assumptions!$E$174,0,H47)</f>
        <v>11061858.185494566</v>
      </c>
      <c r="E48" s="227" cm="1">
        <f t="array" ref="E48">IFERROR(INDEX(Model!$G$44:$EI$44,,MATCH('Debt Schedule'!B48,Model!$G$4:$EI$4,0)),0)</f>
        <v>0</v>
      </c>
      <c r="F48" s="227">
        <f>IF(AND(Assumptions!$G$34="Yes",'Debt Schedule'!B48&gt;Assumptions!$G$36),0,IF(B48&gt;Assumptions!$E$174,0,-IFERROR(PPMT($H$4/12,C48,$H$5*12,-$H$8),0)))</f>
        <v>0</v>
      </c>
      <c r="G48" s="227">
        <f>IF(AND(Assumptions!$G$34="yes",'Debt Schedule'!B48&gt;Assumptions!$G$36),0,IFERROR(IF(B48&gt;Assumptions!$E$174,0,IPMT($H$4/12,C48,$H$5*12,-$H$8)),$H$4/12*D48))</f>
        <v>0</v>
      </c>
      <c r="H48" s="227">
        <f t="shared" si="9"/>
        <v>11061858.185494566</v>
      </c>
      <c r="M48" s="226">
        <f t="shared" si="6"/>
        <v>69</v>
      </c>
      <c r="N48" s="224">
        <f t="shared" si="7"/>
        <v>36</v>
      </c>
      <c r="O48" s="227">
        <f>IF(M48&gt;Assumptions!$E$174,0,R47)</f>
        <v>0</v>
      </c>
      <c r="P48" s="227">
        <f>IF(M48&gt;Assumptions!$E$174,0,-PPMT($R$5/12,N48,$R$6*12,-$R$8))</f>
        <v>0</v>
      </c>
      <c r="Q48" s="227">
        <f>IF(M48&gt;Assumptions!$E$174,0,-IPMT($R$5/12,N48,$R$6*12,-$R$8))</f>
        <v>0</v>
      </c>
      <c r="R48" s="227">
        <f t="shared" si="5"/>
        <v>0</v>
      </c>
    </row>
    <row r="49" spans="2:18" x14ac:dyDescent="0.45">
      <c r="B49" s="226">
        <f t="shared" si="10"/>
        <v>37</v>
      </c>
      <c r="C49" s="224">
        <f t="shared" si="10"/>
        <v>37</v>
      </c>
      <c r="D49" s="227">
        <f>IF(B49&gt;Assumptions!$E$174,0,H48)</f>
        <v>11061858.185494566</v>
      </c>
      <c r="E49" s="227" cm="1">
        <f t="array" ref="E49">IFERROR(INDEX(Model!$G$44:$EI$44,,MATCH('Debt Schedule'!B49,Model!$G$4:$EI$4,0)),0)</f>
        <v>0</v>
      </c>
      <c r="F49" s="227">
        <f>IF(AND(Assumptions!$G$34="Yes",'Debt Schedule'!B49&gt;Assumptions!$G$36),0,IF(B49&gt;Assumptions!$E$174,0,-IFERROR(PPMT($H$4/12,C49,$H$5*12,-$H$8),0)))</f>
        <v>0</v>
      </c>
      <c r="G49" s="227">
        <f>IF(AND(Assumptions!$G$34="yes",'Debt Schedule'!B49&gt;Assumptions!$G$36),0,IFERROR(IF(B49&gt;Assumptions!$E$174,0,IPMT($H$4/12,C49,$H$5*12,-$H$8)),$H$4/12*D49))</f>
        <v>0</v>
      </c>
      <c r="H49" s="227">
        <f t="shared" si="9"/>
        <v>11061858.185494566</v>
      </c>
      <c r="M49" s="226">
        <f t="shared" si="6"/>
        <v>70</v>
      </c>
      <c r="N49" s="224">
        <f t="shared" si="7"/>
        <v>37</v>
      </c>
      <c r="O49" s="227">
        <f>IF(M49&gt;Assumptions!$E$174,0,R48)</f>
        <v>0</v>
      </c>
      <c r="P49" s="227">
        <f>IF(M49&gt;Assumptions!$E$174,0,-PPMT($R$5/12,N49,$R$6*12,-$R$8))</f>
        <v>0</v>
      </c>
      <c r="Q49" s="227">
        <f>IF(M49&gt;Assumptions!$E$174,0,-IPMT($R$5/12,N49,$R$6*12,-$R$8))</f>
        <v>0</v>
      </c>
      <c r="R49" s="227">
        <f t="shared" si="5"/>
        <v>0</v>
      </c>
    </row>
    <row r="50" spans="2:18" x14ac:dyDescent="0.45">
      <c r="B50" s="226">
        <f t="shared" si="10"/>
        <v>38</v>
      </c>
      <c r="C50" s="224">
        <f t="shared" si="10"/>
        <v>38</v>
      </c>
      <c r="D50" s="227">
        <f>IF(B50&gt;Assumptions!$E$174,0,H49)</f>
        <v>11061858.185494566</v>
      </c>
      <c r="E50" s="227" cm="1">
        <f t="array" ref="E50">IFERROR(INDEX(Model!$G$44:$EI$44,,MATCH('Debt Schedule'!B50,Model!$G$4:$EI$4,0)),0)</f>
        <v>0</v>
      </c>
      <c r="F50" s="227">
        <f>IF(AND(Assumptions!$G$34="Yes",'Debt Schedule'!B50&gt;Assumptions!$G$36),0,IF(B50&gt;Assumptions!$E$174,0,-IFERROR(PPMT($H$4/12,C50,$H$5*12,-$H$8),0)))</f>
        <v>0</v>
      </c>
      <c r="G50" s="227">
        <f>IF(AND(Assumptions!$G$34="yes",'Debt Schedule'!B50&gt;Assumptions!$G$36),0,IFERROR(IF(B50&gt;Assumptions!$E$174,0,IPMT($H$4/12,C50,$H$5*12,-$H$8)),$H$4/12*D50))</f>
        <v>0</v>
      </c>
      <c r="H50" s="227">
        <f t="shared" si="9"/>
        <v>11061858.185494566</v>
      </c>
      <c r="M50" s="226">
        <f t="shared" si="6"/>
        <v>71</v>
      </c>
      <c r="N50" s="224">
        <f t="shared" si="7"/>
        <v>38</v>
      </c>
      <c r="O50" s="227">
        <f>IF(M50&gt;Assumptions!$E$174,0,R49)</f>
        <v>0</v>
      </c>
      <c r="P50" s="227">
        <f>IF(M50&gt;Assumptions!$E$174,0,-PPMT($R$5/12,N50,$R$6*12,-$R$8))</f>
        <v>0</v>
      </c>
      <c r="Q50" s="227">
        <f>IF(M50&gt;Assumptions!$E$174,0,-IPMT($R$5/12,N50,$R$6*12,-$R$8))</f>
        <v>0</v>
      </c>
      <c r="R50" s="227">
        <f t="shared" si="5"/>
        <v>0</v>
      </c>
    </row>
    <row r="51" spans="2:18" x14ac:dyDescent="0.45">
      <c r="B51" s="226">
        <f t="shared" si="10"/>
        <v>39</v>
      </c>
      <c r="C51" s="224">
        <f t="shared" si="10"/>
        <v>39</v>
      </c>
      <c r="D51" s="227">
        <f>IF(B51&gt;Assumptions!$E$174,0,H50)</f>
        <v>11061858.185494566</v>
      </c>
      <c r="E51" s="227" cm="1">
        <f t="array" ref="E51">IFERROR(INDEX(Model!$G$44:$EI$44,,MATCH('Debt Schedule'!B51,Model!$G$4:$EI$4,0)),0)</f>
        <v>0</v>
      </c>
      <c r="F51" s="227">
        <f>IF(AND(Assumptions!$G$34="Yes",'Debt Schedule'!B51&gt;Assumptions!$G$36),0,IF(B51&gt;Assumptions!$E$174,0,-IFERROR(PPMT($H$4/12,C51,$H$5*12,-$H$8),0)))</f>
        <v>0</v>
      </c>
      <c r="G51" s="227">
        <f>IF(AND(Assumptions!$G$34="yes",'Debt Schedule'!B51&gt;Assumptions!$G$36),0,IFERROR(IF(B51&gt;Assumptions!$E$174,0,IPMT($H$4/12,C51,$H$5*12,-$H$8)),$H$4/12*D51))</f>
        <v>0</v>
      </c>
      <c r="H51" s="227">
        <f t="shared" si="9"/>
        <v>11061858.185494566</v>
      </c>
      <c r="M51" s="226">
        <f t="shared" si="6"/>
        <v>72</v>
      </c>
      <c r="N51" s="224">
        <f t="shared" si="7"/>
        <v>39</v>
      </c>
      <c r="O51" s="227">
        <f>IF(M51&gt;Assumptions!$E$174,0,R50)</f>
        <v>0</v>
      </c>
      <c r="P51" s="227">
        <f>IF(M51&gt;Assumptions!$E$174,0,-PPMT($R$5/12,N51,$R$6*12,-$R$8))</f>
        <v>0</v>
      </c>
      <c r="Q51" s="227">
        <f>IF(M51&gt;Assumptions!$E$174,0,-IPMT($R$5/12,N51,$R$6*12,-$R$8))</f>
        <v>0</v>
      </c>
      <c r="R51" s="227">
        <f t="shared" si="5"/>
        <v>0</v>
      </c>
    </row>
    <row r="52" spans="2:18" x14ac:dyDescent="0.45">
      <c r="B52" s="226">
        <f t="shared" si="10"/>
        <v>40</v>
      </c>
      <c r="C52" s="224">
        <f t="shared" si="10"/>
        <v>40</v>
      </c>
      <c r="D52" s="227">
        <f>IF(B52&gt;Assumptions!$E$174,0,H51)</f>
        <v>11061858.185494566</v>
      </c>
      <c r="E52" s="227" cm="1">
        <f t="array" ref="E52">IFERROR(INDEX(Model!$G$44:$EI$44,,MATCH('Debt Schedule'!B52,Model!$G$4:$EI$4,0)),0)</f>
        <v>0</v>
      </c>
      <c r="F52" s="227">
        <f>IF(AND(Assumptions!$G$34="Yes",'Debt Schedule'!B52&gt;Assumptions!$G$36),0,IF(B52&gt;Assumptions!$E$174,0,-IFERROR(PPMT($H$4/12,C52,$H$5*12,-$H$8),0)))</f>
        <v>0</v>
      </c>
      <c r="G52" s="227">
        <f>IF(AND(Assumptions!$G$34="yes",'Debt Schedule'!B52&gt;Assumptions!$G$36),0,IFERROR(IF(B52&gt;Assumptions!$E$174,0,IPMT($H$4/12,C52,$H$5*12,-$H$8)),$H$4/12*D52))</f>
        <v>0</v>
      </c>
      <c r="H52" s="227">
        <f t="shared" si="9"/>
        <v>11061858.185494566</v>
      </c>
      <c r="M52" s="226">
        <f t="shared" si="6"/>
        <v>73</v>
      </c>
      <c r="N52" s="224">
        <f t="shared" si="7"/>
        <v>40</v>
      </c>
      <c r="O52" s="227">
        <f>IF(M52&gt;Assumptions!$E$174,0,R51)</f>
        <v>0</v>
      </c>
      <c r="P52" s="227">
        <f>IF(M52&gt;Assumptions!$E$174,0,-PPMT($R$5/12,N52,$R$6*12,-$R$8))</f>
        <v>0</v>
      </c>
      <c r="Q52" s="227">
        <f>IF(M52&gt;Assumptions!$E$174,0,-IPMT($R$5/12,N52,$R$6*12,-$R$8))</f>
        <v>0</v>
      </c>
      <c r="R52" s="227">
        <f t="shared" si="5"/>
        <v>0</v>
      </c>
    </row>
    <row r="53" spans="2:18" x14ac:dyDescent="0.45">
      <c r="B53" s="226">
        <f t="shared" si="10"/>
        <v>41</v>
      </c>
      <c r="C53" s="224">
        <f t="shared" si="10"/>
        <v>41</v>
      </c>
      <c r="D53" s="227">
        <f>IF(B53&gt;Assumptions!$E$174,0,H52)</f>
        <v>11061858.185494566</v>
      </c>
      <c r="E53" s="227" cm="1">
        <f t="array" ref="E53">IFERROR(INDEX(Model!$G$44:$EI$44,,MATCH('Debt Schedule'!B53,Model!$G$4:$EI$4,0)),0)</f>
        <v>0</v>
      </c>
      <c r="F53" s="227">
        <f>IF(AND(Assumptions!$G$34="Yes",'Debt Schedule'!B53&gt;Assumptions!$G$36),0,IF(B53&gt;Assumptions!$E$174,0,-IFERROR(PPMT($H$4/12,C53,$H$5*12,-$H$8),0)))</f>
        <v>0</v>
      </c>
      <c r="G53" s="227">
        <f>IF(AND(Assumptions!$G$34="yes",'Debt Schedule'!B53&gt;Assumptions!$G$36),0,IFERROR(IF(B53&gt;Assumptions!$E$174,0,IPMT($H$4/12,C53,$H$5*12,-$H$8)),$H$4/12*D53))</f>
        <v>0</v>
      </c>
      <c r="H53" s="227">
        <f t="shared" si="9"/>
        <v>11061858.185494566</v>
      </c>
      <c r="M53" s="226">
        <f t="shared" si="6"/>
        <v>74</v>
      </c>
      <c r="N53" s="224">
        <f t="shared" si="7"/>
        <v>41</v>
      </c>
      <c r="O53" s="227">
        <f>IF(M53&gt;Assumptions!$E$174,0,R52)</f>
        <v>0</v>
      </c>
      <c r="P53" s="227">
        <f>IF(M53&gt;Assumptions!$E$174,0,-PPMT($R$5/12,N53,$R$6*12,-$R$8))</f>
        <v>0</v>
      </c>
      <c r="Q53" s="227">
        <f>IF(M53&gt;Assumptions!$E$174,0,-IPMT($R$5/12,N53,$R$6*12,-$R$8))</f>
        <v>0</v>
      </c>
      <c r="R53" s="227">
        <f t="shared" si="5"/>
        <v>0</v>
      </c>
    </row>
    <row r="54" spans="2:18" x14ac:dyDescent="0.45">
      <c r="B54" s="226">
        <f t="shared" si="10"/>
        <v>42</v>
      </c>
      <c r="C54" s="224">
        <f t="shared" si="10"/>
        <v>42</v>
      </c>
      <c r="D54" s="227">
        <f>IF(B54&gt;Assumptions!$E$174,0,H53)</f>
        <v>11061858.185494566</v>
      </c>
      <c r="E54" s="227" cm="1">
        <f t="array" ref="E54">IFERROR(INDEX(Model!$G$44:$EI$44,,MATCH('Debt Schedule'!B54,Model!$G$4:$EI$4,0)),0)</f>
        <v>0</v>
      </c>
      <c r="F54" s="227">
        <f>IF(AND(Assumptions!$G$34="Yes",'Debt Schedule'!B54&gt;Assumptions!$G$36),0,IF(B54&gt;Assumptions!$E$174,0,-IFERROR(PPMT($H$4/12,C54,$H$5*12,-$H$8),0)))</f>
        <v>0</v>
      </c>
      <c r="G54" s="227">
        <f>IF(AND(Assumptions!$G$34="yes",'Debt Schedule'!B54&gt;Assumptions!$G$36),0,IFERROR(IF(B54&gt;Assumptions!$E$174,0,IPMT($H$4/12,C54,$H$5*12,-$H$8)),$H$4/12*D54))</f>
        <v>0</v>
      </c>
      <c r="H54" s="227">
        <f t="shared" si="9"/>
        <v>11061858.185494566</v>
      </c>
      <c r="M54" s="226">
        <f t="shared" si="6"/>
        <v>75</v>
      </c>
      <c r="N54" s="224">
        <f t="shared" si="7"/>
        <v>42</v>
      </c>
      <c r="O54" s="227">
        <f>IF(M54&gt;Assumptions!$E$174,0,R53)</f>
        <v>0</v>
      </c>
      <c r="P54" s="227">
        <f>IF(M54&gt;Assumptions!$E$174,0,-PPMT($R$5/12,N54,$R$6*12,-$R$8))</f>
        <v>0</v>
      </c>
      <c r="Q54" s="227">
        <f>IF(M54&gt;Assumptions!$E$174,0,-IPMT($R$5/12,N54,$R$6*12,-$R$8))</f>
        <v>0</v>
      </c>
      <c r="R54" s="227">
        <f t="shared" si="5"/>
        <v>0</v>
      </c>
    </row>
    <row r="55" spans="2:18" x14ac:dyDescent="0.45">
      <c r="B55" s="226">
        <f t="shared" si="10"/>
        <v>43</v>
      </c>
      <c r="C55" s="224">
        <f t="shared" si="10"/>
        <v>43</v>
      </c>
      <c r="D55" s="227">
        <f>IF(B55&gt;Assumptions!$E$174,0,H54)</f>
        <v>11061858.185494566</v>
      </c>
      <c r="E55" s="227" cm="1">
        <f t="array" ref="E55">IFERROR(INDEX(Model!$G$44:$EI$44,,MATCH('Debt Schedule'!B55,Model!$G$4:$EI$4,0)),0)</f>
        <v>0</v>
      </c>
      <c r="F55" s="227">
        <f>IF(AND(Assumptions!$G$34="Yes",'Debt Schedule'!B55&gt;Assumptions!$G$36),0,IF(B55&gt;Assumptions!$E$174,0,-IFERROR(PPMT($H$4/12,C55,$H$5*12,-$H$8),0)))</f>
        <v>0</v>
      </c>
      <c r="G55" s="227">
        <f>IF(AND(Assumptions!$G$34="yes",'Debt Schedule'!B55&gt;Assumptions!$G$36),0,IFERROR(IF(B55&gt;Assumptions!$E$174,0,IPMT($H$4/12,C55,$H$5*12,-$H$8)),$H$4/12*D55))</f>
        <v>0</v>
      </c>
      <c r="H55" s="227">
        <f t="shared" si="9"/>
        <v>11061858.185494566</v>
      </c>
      <c r="M55" s="226">
        <f t="shared" si="6"/>
        <v>76</v>
      </c>
      <c r="N55" s="224">
        <f t="shared" si="7"/>
        <v>43</v>
      </c>
      <c r="O55" s="227">
        <f>IF(M55&gt;Assumptions!$E$174,0,R54)</f>
        <v>0</v>
      </c>
      <c r="P55" s="227">
        <f>IF(M55&gt;Assumptions!$E$174,0,-PPMT($R$5/12,N55,$R$6*12,-$R$8))</f>
        <v>0</v>
      </c>
      <c r="Q55" s="227">
        <f>IF(M55&gt;Assumptions!$E$174,0,-IPMT($R$5/12,N55,$R$6*12,-$R$8))</f>
        <v>0</v>
      </c>
      <c r="R55" s="227">
        <f t="shared" si="5"/>
        <v>0</v>
      </c>
    </row>
    <row r="56" spans="2:18" x14ac:dyDescent="0.45">
      <c r="B56" s="226">
        <f t="shared" si="10"/>
        <v>44</v>
      </c>
      <c r="C56" s="224">
        <f t="shared" si="10"/>
        <v>44</v>
      </c>
      <c r="D56" s="227">
        <f>IF(B56&gt;Assumptions!$E$174,0,H55)</f>
        <v>11061858.185494566</v>
      </c>
      <c r="E56" s="227" cm="1">
        <f t="array" ref="E56">IFERROR(INDEX(Model!$G$44:$EI$44,,MATCH('Debt Schedule'!B56,Model!$G$4:$EI$4,0)),0)</f>
        <v>0</v>
      </c>
      <c r="F56" s="227">
        <f>IF(AND(Assumptions!$G$34="Yes",'Debt Schedule'!B56&gt;Assumptions!$G$36),0,IF(B56&gt;Assumptions!$E$174,0,-IFERROR(PPMT($H$4/12,C56,$H$5*12,-$H$8),0)))</f>
        <v>0</v>
      </c>
      <c r="G56" s="227">
        <f>IF(AND(Assumptions!$G$34="yes",'Debt Schedule'!B56&gt;Assumptions!$G$36),0,IFERROR(IF(B56&gt;Assumptions!$E$174,0,IPMT($H$4/12,C56,$H$5*12,-$H$8)),$H$4/12*D56))</f>
        <v>0</v>
      </c>
      <c r="H56" s="227">
        <f t="shared" si="9"/>
        <v>11061858.185494566</v>
      </c>
      <c r="M56" s="226">
        <f t="shared" si="6"/>
        <v>77</v>
      </c>
      <c r="N56" s="224">
        <f t="shared" si="7"/>
        <v>44</v>
      </c>
      <c r="O56" s="227">
        <f>IF(M56&gt;Assumptions!$E$174,0,R55)</f>
        <v>0</v>
      </c>
      <c r="P56" s="227">
        <f>IF(M56&gt;Assumptions!$E$174,0,-PPMT($R$5/12,N56,$R$6*12,-$R$8))</f>
        <v>0</v>
      </c>
      <c r="Q56" s="227">
        <f>IF(M56&gt;Assumptions!$E$174,0,-IPMT($R$5/12,N56,$R$6*12,-$R$8))</f>
        <v>0</v>
      </c>
      <c r="R56" s="227">
        <f t="shared" si="5"/>
        <v>0</v>
      </c>
    </row>
    <row r="57" spans="2:18" x14ac:dyDescent="0.45">
      <c r="B57" s="226">
        <f t="shared" si="10"/>
        <v>45</v>
      </c>
      <c r="C57" s="224">
        <f t="shared" si="10"/>
        <v>45</v>
      </c>
      <c r="D57" s="227">
        <f>IF(B57&gt;Assumptions!$E$174,0,H56)</f>
        <v>11061858.185494566</v>
      </c>
      <c r="E57" s="227" cm="1">
        <f t="array" ref="E57">IFERROR(INDEX(Model!$G$44:$EI$44,,MATCH('Debt Schedule'!B57,Model!$G$4:$EI$4,0)),0)</f>
        <v>0</v>
      </c>
      <c r="F57" s="227">
        <f>IF(AND(Assumptions!$G$34="Yes",'Debt Schedule'!B57&gt;Assumptions!$G$36),0,IF(B57&gt;Assumptions!$E$174,0,-IFERROR(PPMT($H$4/12,C57,$H$5*12,-$H$8),0)))</f>
        <v>0</v>
      </c>
      <c r="G57" s="227">
        <f>IF(AND(Assumptions!$G$34="yes",'Debt Schedule'!B57&gt;Assumptions!$G$36),0,IFERROR(IF(B57&gt;Assumptions!$E$174,0,IPMT($H$4/12,C57,$H$5*12,-$H$8)),$H$4/12*D57))</f>
        <v>0</v>
      </c>
      <c r="H57" s="227">
        <f t="shared" si="9"/>
        <v>11061858.185494566</v>
      </c>
      <c r="M57" s="226">
        <f t="shared" si="6"/>
        <v>78</v>
      </c>
      <c r="N57" s="224">
        <f t="shared" si="7"/>
        <v>45</v>
      </c>
      <c r="O57" s="227">
        <f>IF(M57&gt;Assumptions!$E$174,0,R56)</f>
        <v>0</v>
      </c>
      <c r="P57" s="227">
        <f>IF(M57&gt;Assumptions!$E$174,0,-PPMT($R$5/12,N57,$R$6*12,-$R$8))</f>
        <v>0</v>
      </c>
      <c r="Q57" s="227">
        <f>IF(M57&gt;Assumptions!$E$174,0,-IPMT($R$5/12,N57,$R$6*12,-$R$8))</f>
        <v>0</v>
      </c>
      <c r="R57" s="227">
        <f t="shared" si="5"/>
        <v>0</v>
      </c>
    </row>
    <row r="58" spans="2:18" x14ac:dyDescent="0.45">
      <c r="B58" s="226">
        <f t="shared" si="10"/>
        <v>46</v>
      </c>
      <c r="C58" s="224">
        <f t="shared" si="10"/>
        <v>46</v>
      </c>
      <c r="D58" s="227">
        <f>IF(B58&gt;Assumptions!$E$174,0,H57)</f>
        <v>11061858.185494566</v>
      </c>
      <c r="E58" s="227" cm="1">
        <f t="array" ref="E58">IFERROR(INDEX(Model!$G$44:$EI$44,,MATCH('Debt Schedule'!B58,Model!$G$4:$EI$4,0)),0)</f>
        <v>0</v>
      </c>
      <c r="F58" s="227">
        <f>IF(AND(Assumptions!$G$34="Yes",'Debt Schedule'!B58&gt;Assumptions!$G$36),0,IF(B58&gt;Assumptions!$E$174,0,-IFERROR(PPMT($H$4/12,C58,$H$5*12,-$H$8),0)))</f>
        <v>0</v>
      </c>
      <c r="G58" s="227">
        <f>IF(AND(Assumptions!$G$34="yes",'Debt Schedule'!B58&gt;Assumptions!$G$36),0,IFERROR(IF(B58&gt;Assumptions!$E$174,0,IPMT($H$4/12,C58,$H$5*12,-$H$8)),$H$4/12*D58))</f>
        <v>0</v>
      </c>
      <c r="H58" s="227">
        <f t="shared" si="9"/>
        <v>11061858.185494566</v>
      </c>
      <c r="M58" s="226">
        <f t="shared" si="6"/>
        <v>79</v>
      </c>
      <c r="N58" s="224">
        <f t="shared" si="7"/>
        <v>46</v>
      </c>
      <c r="O58" s="227">
        <f>IF(M58&gt;Assumptions!$E$174,0,R57)</f>
        <v>0</v>
      </c>
      <c r="P58" s="227">
        <f>IF(M58&gt;Assumptions!$E$174,0,-PPMT($R$5/12,N58,$R$6*12,-$R$8))</f>
        <v>0</v>
      </c>
      <c r="Q58" s="227">
        <f>IF(M58&gt;Assumptions!$E$174,0,-IPMT($R$5/12,N58,$R$6*12,-$R$8))</f>
        <v>0</v>
      </c>
      <c r="R58" s="227">
        <f t="shared" si="5"/>
        <v>0</v>
      </c>
    </row>
    <row r="59" spans="2:18" x14ac:dyDescent="0.45">
      <c r="B59" s="226">
        <f t="shared" si="10"/>
        <v>47</v>
      </c>
      <c r="C59" s="224">
        <f t="shared" si="10"/>
        <v>47</v>
      </c>
      <c r="D59" s="227">
        <f>IF(B59&gt;Assumptions!$E$174,0,H58)</f>
        <v>11061858.185494566</v>
      </c>
      <c r="E59" s="227" cm="1">
        <f t="array" ref="E59">IFERROR(INDEX(Model!$G$44:$EI$44,,MATCH('Debt Schedule'!B59,Model!$G$4:$EI$4,0)),0)</f>
        <v>0</v>
      </c>
      <c r="F59" s="227">
        <f>IF(AND(Assumptions!$G$34="Yes",'Debt Schedule'!B59&gt;Assumptions!$G$36),0,IF(B59&gt;Assumptions!$E$174,0,-IFERROR(PPMT($H$4/12,C59,$H$5*12,-$H$8),0)))</f>
        <v>0</v>
      </c>
      <c r="G59" s="227">
        <f>IF(AND(Assumptions!$G$34="yes",'Debt Schedule'!B59&gt;Assumptions!$G$36),0,IFERROR(IF(B59&gt;Assumptions!$E$174,0,IPMT($H$4/12,C59,$H$5*12,-$H$8)),$H$4/12*D59))</f>
        <v>0</v>
      </c>
      <c r="H59" s="227">
        <f t="shared" si="9"/>
        <v>11061858.185494566</v>
      </c>
      <c r="M59" s="226">
        <f t="shared" si="6"/>
        <v>80</v>
      </c>
      <c r="N59" s="224">
        <f t="shared" si="7"/>
        <v>47</v>
      </c>
      <c r="O59" s="227">
        <f>IF(M59&gt;Assumptions!$E$174,0,R58)</f>
        <v>0</v>
      </c>
      <c r="P59" s="227">
        <f>IF(M59&gt;Assumptions!$E$174,0,-PPMT($R$5/12,N59,$R$6*12,-$R$8))</f>
        <v>0</v>
      </c>
      <c r="Q59" s="227">
        <f>IF(M59&gt;Assumptions!$E$174,0,-IPMT($R$5/12,N59,$R$6*12,-$R$8))</f>
        <v>0</v>
      </c>
      <c r="R59" s="227">
        <f t="shared" si="5"/>
        <v>0</v>
      </c>
    </row>
    <row r="60" spans="2:18" x14ac:dyDescent="0.45">
      <c r="B60" s="226">
        <f t="shared" si="10"/>
        <v>48</v>
      </c>
      <c r="C60" s="224">
        <f t="shared" si="10"/>
        <v>48</v>
      </c>
      <c r="D60" s="227">
        <f>IF(B60&gt;Assumptions!$E$174,0,H59)</f>
        <v>11061858.185494566</v>
      </c>
      <c r="E60" s="227" cm="1">
        <f t="array" ref="E60">IFERROR(INDEX(Model!$G$44:$EI$44,,MATCH('Debt Schedule'!B60,Model!$G$4:$EI$4,0)),0)</f>
        <v>0</v>
      </c>
      <c r="F60" s="227">
        <f>IF(AND(Assumptions!$G$34="Yes",'Debt Schedule'!B60&gt;Assumptions!$G$36),0,IF(B60&gt;Assumptions!$E$174,0,-IFERROR(PPMT($H$4/12,C60,$H$5*12,-$H$8),0)))</f>
        <v>0</v>
      </c>
      <c r="G60" s="227">
        <f>IF(AND(Assumptions!$G$34="yes",'Debt Schedule'!B60&gt;Assumptions!$G$36),0,IFERROR(IF(B60&gt;Assumptions!$E$174,0,IPMT($H$4/12,C60,$H$5*12,-$H$8)),$H$4/12*D60))</f>
        <v>0</v>
      </c>
      <c r="H60" s="227">
        <f t="shared" si="9"/>
        <v>11061858.185494566</v>
      </c>
      <c r="M60" s="226">
        <f t="shared" si="6"/>
        <v>81</v>
      </c>
      <c r="N60" s="224">
        <f t="shared" si="7"/>
        <v>48</v>
      </c>
      <c r="O60" s="227">
        <f>IF(M60&gt;Assumptions!$E$174,0,R59)</f>
        <v>0</v>
      </c>
      <c r="P60" s="227">
        <f>IF(M60&gt;Assumptions!$E$174,0,-PPMT($R$5/12,N60,$R$6*12,-$R$8))</f>
        <v>0</v>
      </c>
      <c r="Q60" s="227">
        <f>IF(M60&gt;Assumptions!$E$174,0,-IPMT($R$5/12,N60,$R$6*12,-$R$8))</f>
        <v>0</v>
      </c>
      <c r="R60" s="227">
        <f t="shared" si="5"/>
        <v>0</v>
      </c>
    </row>
    <row r="61" spans="2:18" x14ac:dyDescent="0.45">
      <c r="B61" s="226">
        <f t="shared" si="10"/>
        <v>49</v>
      </c>
      <c r="C61" s="224">
        <f t="shared" si="10"/>
        <v>49</v>
      </c>
      <c r="D61" s="227">
        <f>IF(B61&gt;Assumptions!$E$174,0,H60)</f>
        <v>11061858.185494566</v>
      </c>
      <c r="E61" s="227" cm="1">
        <f t="array" ref="E61">IFERROR(INDEX(Model!$G$44:$EI$44,,MATCH('Debt Schedule'!B61,Model!$G$4:$EI$4,0)),0)</f>
        <v>0</v>
      </c>
      <c r="F61" s="227">
        <f>IF(AND(Assumptions!$G$34="Yes",'Debt Schedule'!B61&gt;Assumptions!$G$36),0,IF(B61&gt;Assumptions!$E$174,0,-IFERROR(PPMT($H$4/12,C61,$H$5*12,-$H$8),0)))</f>
        <v>0</v>
      </c>
      <c r="G61" s="227">
        <f>IF(AND(Assumptions!$G$34="yes",'Debt Schedule'!B61&gt;Assumptions!$G$36),0,IFERROR(IF(B61&gt;Assumptions!$E$174,0,IPMT($H$4/12,C61,$H$5*12,-$H$8)),$H$4/12*D61))</f>
        <v>0</v>
      </c>
      <c r="H61" s="227">
        <f t="shared" si="9"/>
        <v>11061858.185494566</v>
      </c>
      <c r="M61" s="226">
        <f t="shared" si="6"/>
        <v>82</v>
      </c>
      <c r="N61" s="224">
        <f t="shared" si="7"/>
        <v>49</v>
      </c>
      <c r="O61" s="227">
        <f>IF(M61&gt;Assumptions!$E$174,0,R60)</f>
        <v>0</v>
      </c>
      <c r="P61" s="227">
        <f>IF(M61&gt;Assumptions!$E$174,0,-PPMT($R$5/12,N61,$R$6*12,-$R$8))</f>
        <v>0</v>
      </c>
      <c r="Q61" s="227">
        <f>IF(M61&gt;Assumptions!$E$174,0,-IPMT($R$5/12,N61,$R$6*12,-$R$8))</f>
        <v>0</v>
      </c>
      <c r="R61" s="227">
        <f t="shared" si="5"/>
        <v>0</v>
      </c>
    </row>
    <row r="62" spans="2:18" x14ac:dyDescent="0.45">
      <c r="B62" s="226">
        <f t="shared" ref="B62:C77" si="11">+B61+1</f>
        <v>50</v>
      </c>
      <c r="C62" s="224">
        <f t="shared" si="11"/>
        <v>50</v>
      </c>
      <c r="D62" s="227">
        <f>IF(B62&gt;Assumptions!$E$174,0,H61)</f>
        <v>11061858.185494566</v>
      </c>
      <c r="E62" s="227" cm="1">
        <f t="array" ref="E62">IFERROR(INDEX(Model!$G$44:$EI$44,,MATCH('Debt Schedule'!B62,Model!$G$4:$EI$4,0)),0)</f>
        <v>0</v>
      </c>
      <c r="F62" s="227">
        <f>IF(AND(Assumptions!$G$34="Yes",'Debt Schedule'!B62&gt;Assumptions!$G$36),0,IF(B62&gt;Assumptions!$E$174,0,-IFERROR(PPMT($H$4/12,C62,$H$5*12,-$H$8),0)))</f>
        <v>0</v>
      </c>
      <c r="G62" s="227">
        <f>IF(AND(Assumptions!$G$34="yes",'Debt Schedule'!B62&gt;Assumptions!$G$36),0,IFERROR(IF(B62&gt;Assumptions!$E$174,0,IPMT($H$4/12,C62,$H$5*12,-$H$8)),$H$4/12*D62))</f>
        <v>0</v>
      </c>
      <c r="H62" s="227">
        <f t="shared" si="9"/>
        <v>11061858.185494566</v>
      </c>
      <c r="M62" s="226">
        <f t="shared" si="6"/>
        <v>83</v>
      </c>
      <c r="N62" s="224">
        <f t="shared" si="7"/>
        <v>50</v>
      </c>
      <c r="O62" s="227">
        <f>IF(M62&gt;Assumptions!$E$174,0,R61)</f>
        <v>0</v>
      </c>
      <c r="P62" s="227">
        <f>IF(M62&gt;Assumptions!$E$174,0,-PPMT($R$5/12,N62,$R$6*12,-$R$8))</f>
        <v>0</v>
      </c>
      <c r="Q62" s="227">
        <f>IF(M62&gt;Assumptions!$E$174,0,-IPMT($R$5/12,N62,$R$6*12,-$R$8))</f>
        <v>0</v>
      </c>
      <c r="R62" s="227">
        <f t="shared" si="5"/>
        <v>0</v>
      </c>
    </row>
    <row r="63" spans="2:18" x14ac:dyDescent="0.45">
      <c r="B63" s="226">
        <f t="shared" si="11"/>
        <v>51</v>
      </c>
      <c r="C63" s="224">
        <f t="shared" si="11"/>
        <v>51</v>
      </c>
      <c r="D63" s="227">
        <f>IF(B63&gt;Assumptions!$E$174,0,H62)</f>
        <v>11061858.185494566</v>
      </c>
      <c r="E63" s="227" cm="1">
        <f t="array" ref="E63">IFERROR(INDEX(Model!$G$44:$EI$44,,MATCH('Debt Schedule'!B63,Model!$G$4:$EI$4,0)),0)</f>
        <v>0</v>
      </c>
      <c r="F63" s="227">
        <f>IF(AND(Assumptions!$G$34="Yes",'Debt Schedule'!B63&gt;Assumptions!$G$36),0,IF(B63&gt;Assumptions!$E$174,0,-IFERROR(PPMT($H$4/12,C63,$H$5*12,-$H$8),0)))</f>
        <v>0</v>
      </c>
      <c r="G63" s="227">
        <f>IF(AND(Assumptions!$G$34="yes",'Debt Schedule'!B63&gt;Assumptions!$G$36),0,IFERROR(IF(B63&gt;Assumptions!$E$174,0,IPMT($H$4/12,C63,$H$5*12,-$H$8)),$H$4/12*D63))</f>
        <v>0</v>
      </c>
      <c r="H63" s="227">
        <f t="shared" si="9"/>
        <v>11061858.185494566</v>
      </c>
      <c r="M63" s="226">
        <f t="shared" si="6"/>
        <v>84</v>
      </c>
      <c r="N63" s="224">
        <f t="shared" si="7"/>
        <v>51</v>
      </c>
      <c r="O63" s="227">
        <f>IF(M63&gt;Assumptions!$E$174,0,R62)</f>
        <v>0</v>
      </c>
      <c r="P63" s="227">
        <f>IF(M63&gt;Assumptions!$E$174,0,-PPMT($R$5/12,N63,$R$6*12,-$R$8))</f>
        <v>0</v>
      </c>
      <c r="Q63" s="227">
        <f>IF(M63&gt;Assumptions!$E$174,0,-IPMT($R$5/12,N63,$R$6*12,-$R$8))</f>
        <v>0</v>
      </c>
      <c r="R63" s="227">
        <f t="shared" si="5"/>
        <v>0</v>
      </c>
    </row>
    <row r="64" spans="2:18" x14ac:dyDescent="0.45">
      <c r="B64" s="226">
        <f t="shared" si="11"/>
        <v>52</v>
      </c>
      <c r="C64" s="224">
        <f t="shared" si="11"/>
        <v>52</v>
      </c>
      <c r="D64" s="227">
        <f>IF(B64&gt;Assumptions!$E$174,0,H63)</f>
        <v>11061858.185494566</v>
      </c>
      <c r="E64" s="227" cm="1">
        <f t="array" ref="E64">IFERROR(INDEX(Model!$G$44:$EI$44,,MATCH('Debt Schedule'!B64,Model!$G$4:$EI$4,0)),0)</f>
        <v>0</v>
      </c>
      <c r="F64" s="227">
        <f>IF(AND(Assumptions!$G$34="Yes",'Debt Schedule'!B64&gt;Assumptions!$G$36),0,IF(B64&gt;Assumptions!$E$174,0,-IFERROR(PPMT($H$4/12,C64,$H$5*12,-$H$8),0)))</f>
        <v>0</v>
      </c>
      <c r="G64" s="227">
        <f>IF(AND(Assumptions!$G$34="yes",'Debt Schedule'!B64&gt;Assumptions!$G$36),0,IFERROR(IF(B64&gt;Assumptions!$E$174,0,IPMT($H$4/12,C64,$H$5*12,-$H$8)),$H$4/12*D64))</f>
        <v>0</v>
      </c>
      <c r="H64" s="227">
        <f t="shared" si="9"/>
        <v>11061858.185494566</v>
      </c>
      <c r="M64" s="226">
        <f t="shared" si="6"/>
        <v>85</v>
      </c>
      <c r="N64" s="224">
        <f t="shared" si="7"/>
        <v>52</v>
      </c>
      <c r="O64" s="227">
        <f>IF(M64&gt;Assumptions!$E$174,0,R63)</f>
        <v>0</v>
      </c>
      <c r="P64" s="227">
        <f>IF(M64&gt;Assumptions!$E$174,0,-PPMT($R$5/12,N64,$R$6*12,-$R$8))</f>
        <v>0</v>
      </c>
      <c r="Q64" s="227">
        <f>IF(M64&gt;Assumptions!$E$174,0,-IPMT($R$5/12,N64,$R$6*12,-$R$8))</f>
        <v>0</v>
      </c>
      <c r="R64" s="227">
        <f t="shared" si="5"/>
        <v>0</v>
      </c>
    </row>
    <row r="65" spans="2:18" x14ac:dyDescent="0.45">
      <c r="B65" s="226">
        <f t="shared" si="11"/>
        <v>53</v>
      </c>
      <c r="C65" s="224">
        <f t="shared" si="11"/>
        <v>53</v>
      </c>
      <c r="D65" s="227">
        <f>IF(B65&gt;Assumptions!$E$174,0,H64)</f>
        <v>11061858.185494566</v>
      </c>
      <c r="E65" s="227" cm="1">
        <f t="array" ref="E65">IFERROR(INDEX(Model!$G$44:$EI$44,,MATCH('Debt Schedule'!B65,Model!$G$4:$EI$4,0)),0)</f>
        <v>0</v>
      </c>
      <c r="F65" s="227">
        <f>IF(AND(Assumptions!$G$34="Yes",'Debt Schedule'!B65&gt;Assumptions!$G$36),0,IF(B65&gt;Assumptions!$E$174,0,-IFERROR(PPMT($H$4/12,C65,$H$5*12,-$H$8),0)))</f>
        <v>0</v>
      </c>
      <c r="G65" s="227">
        <f>IF(AND(Assumptions!$G$34="yes",'Debt Schedule'!B65&gt;Assumptions!$G$36),0,IFERROR(IF(B65&gt;Assumptions!$E$174,0,IPMT($H$4/12,C65,$H$5*12,-$H$8)),$H$4/12*D65))</f>
        <v>0</v>
      </c>
      <c r="H65" s="227">
        <f t="shared" si="9"/>
        <v>11061858.185494566</v>
      </c>
      <c r="M65" s="226">
        <f t="shared" si="6"/>
        <v>86</v>
      </c>
      <c r="N65" s="224">
        <f t="shared" si="7"/>
        <v>53</v>
      </c>
      <c r="O65" s="227">
        <f>IF(M65&gt;Assumptions!$E$174,0,R64)</f>
        <v>0</v>
      </c>
      <c r="P65" s="227">
        <f>IF(M65&gt;Assumptions!$E$174,0,-PPMT($R$5/12,N65,$R$6*12,-$R$8))</f>
        <v>0</v>
      </c>
      <c r="Q65" s="227">
        <f>IF(M65&gt;Assumptions!$E$174,0,-IPMT($R$5/12,N65,$R$6*12,-$R$8))</f>
        <v>0</v>
      </c>
      <c r="R65" s="227">
        <f t="shared" si="5"/>
        <v>0</v>
      </c>
    </row>
    <row r="66" spans="2:18" x14ac:dyDescent="0.45">
      <c r="B66" s="226">
        <f t="shared" si="11"/>
        <v>54</v>
      </c>
      <c r="C66" s="224">
        <f t="shared" si="11"/>
        <v>54</v>
      </c>
      <c r="D66" s="227">
        <f>IF(B66&gt;Assumptions!$E$174,0,H65)</f>
        <v>11061858.185494566</v>
      </c>
      <c r="E66" s="227" cm="1">
        <f t="array" ref="E66">IFERROR(INDEX(Model!$G$44:$EI$44,,MATCH('Debt Schedule'!B66,Model!$G$4:$EI$4,0)),0)</f>
        <v>0</v>
      </c>
      <c r="F66" s="227">
        <f>IF(AND(Assumptions!$G$34="Yes",'Debt Schedule'!B66&gt;Assumptions!$G$36),0,IF(B66&gt;Assumptions!$E$174,0,-IFERROR(PPMT($H$4/12,C66,$H$5*12,-$H$8),0)))</f>
        <v>0</v>
      </c>
      <c r="G66" s="227">
        <f>IF(AND(Assumptions!$G$34="yes",'Debt Schedule'!B66&gt;Assumptions!$G$36),0,IFERROR(IF(B66&gt;Assumptions!$E$174,0,IPMT($H$4/12,C66,$H$5*12,-$H$8)),$H$4/12*D66))</f>
        <v>0</v>
      </c>
      <c r="H66" s="227">
        <f t="shared" si="9"/>
        <v>11061858.185494566</v>
      </c>
      <c r="M66" s="226">
        <f t="shared" si="6"/>
        <v>87</v>
      </c>
      <c r="N66" s="224">
        <f t="shared" si="7"/>
        <v>54</v>
      </c>
      <c r="O66" s="227">
        <f>IF(M66&gt;Assumptions!$E$174,0,R65)</f>
        <v>0</v>
      </c>
      <c r="P66" s="227">
        <f>IF(M66&gt;Assumptions!$E$174,0,-PPMT($R$5/12,N66,$R$6*12,-$R$8))</f>
        <v>0</v>
      </c>
      <c r="Q66" s="227">
        <f>IF(M66&gt;Assumptions!$E$174,0,-IPMT($R$5/12,N66,$R$6*12,-$R$8))</f>
        <v>0</v>
      </c>
      <c r="R66" s="227">
        <f t="shared" si="5"/>
        <v>0</v>
      </c>
    </row>
    <row r="67" spans="2:18" x14ac:dyDescent="0.45">
      <c r="B67" s="226">
        <f t="shared" si="11"/>
        <v>55</v>
      </c>
      <c r="C67" s="224">
        <f t="shared" si="11"/>
        <v>55</v>
      </c>
      <c r="D67" s="227">
        <f>IF(B67&gt;Assumptions!$E$174,0,H66)</f>
        <v>11061858.185494566</v>
      </c>
      <c r="E67" s="227" cm="1">
        <f t="array" ref="E67">IFERROR(INDEX(Model!$G$44:$EI$44,,MATCH('Debt Schedule'!B67,Model!$G$4:$EI$4,0)),0)</f>
        <v>0</v>
      </c>
      <c r="F67" s="227">
        <f>IF(AND(Assumptions!$G$34="Yes",'Debt Schedule'!B67&gt;Assumptions!$G$36),0,IF(B67&gt;Assumptions!$E$174,0,-IFERROR(PPMT($H$4/12,C67,$H$5*12,-$H$8),0)))</f>
        <v>0</v>
      </c>
      <c r="G67" s="227">
        <f>IF(AND(Assumptions!$G$34="yes",'Debt Schedule'!B67&gt;Assumptions!$G$36),0,IFERROR(IF(B67&gt;Assumptions!$E$174,0,IPMT($H$4/12,C67,$H$5*12,-$H$8)),$H$4/12*D67))</f>
        <v>0</v>
      </c>
      <c r="H67" s="227">
        <f t="shared" si="9"/>
        <v>11061858.185494566</v>
      </c>
      <c r="M67" s="226">
        <f t="shared" si="6"/>
        <v>88</v>
      </c>
      <c r="N67" s="224">
        <f t="shared" si="7"/>
        <v>55</v>
      </c>
      <c r="O67" s="227">
        <f>IF(M67&gt;Assumptions!$E$174,0,R66)</f>
        <v>0</v>
      </c>
      <c r="P67" s="227">
        <f>IF(M67&gt;Assumptions!$E$174,0,-PPMT($R$5/12,N67,$R$6*12,-$R$8))</f>
        <v>0</v>
      </c>
      <c r="Q67" s="227">
        <f>IF(M67&gt;Assumptions!$E$174,0,-IPMT($R$5/12,N67,$R$6*12,-$R$8))</f>
        <v>0</v>
      </c>
      <c r="R67" s="227">
        <f t="shared" si="5"/>
        <v>0</v>
      </c>
    </row>
    <row r="68" spans="2:18" x14ac:dyDescent="0.45">
      <c r="B68" s="226">
        <f t="shared" si="11"/>
        <v>56</v>
      </c>
      <c r="C68" s="224">
        <f t="shared" si="11"/>
        <v>56</v>
      </c>
      <c r="D68" s="227">
        <f>IF(B68&gt;Assumptions!$E$174,0,H67)</f>
        <v>11061858.185494566</v>
      </c>
      <c r="E68" s="227" cm="1">
        <f t="array" ref="E68">IFERROR(INDEX(Model!$G$44:$EI$44,,MATCH('Debt Schedule'!B68,Model!$G$4:$EI$4,0)),0)</f>
        <v>0</v>
      </c>
      <c r="F68" s="227">
        <f>IF(AND(Assumptions!$G$34="Yes",'Debt Schedule'!B68&gt;Assumptions!$G$36),0,IF(B68&gt;Assumptions!$E$174,0,-IFERROR(PPMT($H$4/12,C68,$H$5*12,-$H$8),0)))</f>
        <v>0</v>
      </c>
      <c r="G68" s="227">
        <f>IF(AND(Assumptions!$G$34="yes",'Debt Schedule'!B68&gt;Assumptions!$G$36),0,IFERROR(IF(B68&gt;Assumptions!$E$174,0,IPMT($H$4/12,C68,$H$5*12,-$H$8)),$H$4/12*D68))</f>
        <v>0</v>
      </c>
      <c r="H68" s="227">
        <f t="shared" si="9"/>
        <v>11061858.185494566</v>
      </c>
      <c r="M68" s="226">
        <f t="shared" si="6"/>
        <v>89</v>
      </c>
      <c r="N68" s="224">
        <f t="shared" si="7"/>
        <v>56</v>
      </c>
      <c r="O68" s="227">
        <f>IF(M68&gt;Assumptions!$E$174,0,R67)</f>
        <v>0</v>
      </c>
      <c r="P68" s="227">
        <f>IF(M68&gt;Assumptions!$E$174,0,-PPMT($R$5/12,N68,$R$6*12,-$R$8))</f>
        <v>0</v>
      </c>
      <c r="Q68" s="227">
        <f>IF(M68&gt;Assumptions!$E$174,0,-IPMT($R$5/12,N68,$R$6*12,-$R$8))</f>
        <v>0</v>
      </c>
      <c r="R68" s="227">
        <f t="shared" si="5"/>
        <v>0</v>
      </c>
    </row>
    <row r="69" spans="2:18" x14ac:dyDescent="0.45">
      <c r="B69" s="226">
        <f t="shared" si="11"/>
        <v>57</v>
      </c>
      <c r="C69" s="224">
        <f t="shared" si="11"/>
        <v>57</v>
      </c>
      <c r="D69" s="227">
        <f>IF(B69&gt;Assumptions!$E$174,0,H68)</f>
        <v>11061858.185494566</v>
      </c>
      <c r="E69" s="227" cm="1">
        <f t="array" ref="E69">IFERROR(INDEX(Model!$G$44:$EI$44,,MATCH('Debt Schedule'!B69,Model!$G$4:$EI$4,0)),0)</f>
        <v>0</v>
      </c>
      <c r="F69" s="227">
        <f>IF(AND(Assumptions!$G$34="Yes",'Debt Schedule'!B69&gt;Assumptions!$G$36),0,IF(B69&gt;Assumptions!$E$174,0,-IFERROR(PPMT($H$4/12,C69,$H$5*12,-$H$8),0)))</f>
        <v>0</v>
      </c>
      <c r="G69" s="227">
        <f>IF(AND(Assumptions!$G$34="yes",'Debt Schedule'!B69&gt;Assumptions!$G$36),0,IFERROR(IF(B69&gt;Assumptions!$E$174,0,IPMT($H$4/12,C69,$H$5*12,-$H$8)),$H$4/12*D69))</f>
        <v>0</v>
      </c>
      <c r="H69" s="227">
        <f t="shared" si="9"/>
        <v>11061858.185494566</v>
      </c>
      <c r="M69" s="226">
        <f t="shared" si="6"/>
        <v>90</v>
      </c>
      <c r="N69" s="224">
        <f t="shared" si="7"/>
        <v>57</v>
      </c>
      <c r="O69" s="227">
        <f>IF(M69&gt;Assumptions!$E$174,0,R68)</f>
        <v>0</v>
      </c>
      <c r="P69" s="227">
        <f>IF(M69&gt;Assumptions!$E$174,0,-PPMT($R$5/12,N69,$R$6*12,-$R$8))</f>
        <v>0</v>
      </c>
      <c r="Q69" s="227">
        <f>IF(M69&gt;Assumptions!$E$174,0,-IPMT($R$5/12,N69,$R$6*12,-$R$8))</f>
        <v>0</v>
      </c>
      <c r="R69" s="227">
        <f t="shared" si="5"/>
        <v>0</v>
      </c>
    </row>
    <row r="70" spans="2:18" x14ac:dyDescent="0.45">
      <c r="B70" s="226">
        <f t="shared" si="11"/>
        <v>58</v>
      </c>
      <c r="C70" s="224">
        <f t="shared" si="11"/>
        <v>58</v>
      </c>
      <c r="D70" s="227">
        <f>IF(B70&gt;Assumptions!$E$174,0,H69)</f>
        <v>11061858.185494566</v>
      </c>
      <c r="E70" s="227" cm="1">
        <f t="array" ref="E70">IFERROR(INDEX(Model!$G$44:$EI$44,,MATCH('Debt Schedule'!B70,Model!$G$4:$EI$4,0)),0)</f>
        <v>0</v>
      </c>
      <c r="F70" s="227">
        <f>IF(AND(Assumptions!$G$34="Yes",'Debt Schedule'!B70&gt;Assumptions!$G$36),0,IF(B70&gt;Assumptions!$E$174,0,-IFERROR(PPMT($H$4/12,C70,$H$5*12,-$H$8),0)))</f>
        <v>0</v>
      </c>
      <c r="G70" s="227">
        <f>IF(AND(Assumptions!$G$34="yes",'Debt Schedule'!B70&gt;Assumptions!$G$36),0,IFERROR(IF(B70&gt;Assumptions!$E$174,0,IPMT($H$4/12,C70,$H$5*12,-$H$8)),$H$4/12*D70))</f>
        <v>0</v>
      </c>
      <c r="H70" s="227">
        <f t="shared" si="9"/>
        <v>11061858.185494566</v>
      </c>
      <c r="M70" s="226">
        <f t="shared" si="6"/>
        <v>91</v>
      </c>
      <c r="N70" s="224">
        <f t="shared" si="7"/>
        <v>58</v>
      </c>
      <c r="O70" s="227">
        <f>IF(M70&gt;Assumptions!$E$174,0,R69)</f>
        <v>0</v>
      </c>
      <c r="P70" s="227">
        <f>IF(M70&gt;Assumptions!$E$174,0,-PPMT($R$5/12,N70,$R$6*12,-$R$8))</f>
        <v>0</v>
      </c>
      <c r="Q70" s="227">
        <f>IF(M70&gt;Assumptions!$E$174,0,-IPMT($R$5/12,N70,$R$6*12,-$R$8))</f>
        <v>0</v>
      </c>
      <c r="R70" s="227">
        <f t="shared" si="5"/>
        <v>0</v>
      </c>
    </row>
    <row r="71" spans="2:18" x14ac:dyDescent="0.45">
      <c r="B71" s="226">
        <f t="shared" si="11"/>
        <v>59</v>
      </c>
      <c r="C71" s="224">
        <f t="shared" si="11"/>
        <v>59</v>
      </c>
      <c r="D71" s="227">
        <f>IF(B71&gt;Assumptions!$E$174,0,H70)</f>
        <v>11061858.185494566</v>
      </c>
      <c r="E71" s="227" cm="1">
        <f t="array" ref="E71">IFERROR(INDEX(Model!$G$44:$EI$44,,MATCH('Debt Schedule'!B71,Model!$G$4:$EI$4,0)),0)</f>
        <v>0</v>
      </c>
      <c r="F71" s="227">
        <f>IF(AND(Assumptions!$G$34="Yes",'Debt Schedule'!B71&gt;Assumptions!$G$36),0,IF(B71&gt;Assumptions!$E$174,0,-IFERROR(PPMT($H$4/12,C71,$H$5*12,-$H$8),0)))</f>
        <v>0</v>
      </c>
      <c r="G71" s="227">
        <f>IF(AND(Assumptions!$G$34="yes",'Debt Schedule'!B71&gt;Assumptions!$G$36),0,IFERROR(IF(B71&gt;Assumptions!$E$174,0,IPMT($H$4/12,C71,$H$5*12,-$H$8)),$H$4/12*D71))</f>
        <v>0</v>
      </c>
      <c r="H71" s="227">
        <f t="shared" si="9"/>
        <v>11061858.185494566</v>
      </c>
      <c r="M71" s="226">
        <f t="shared" si="6"/>
        <v>92</v>
      </c>
      <c r="N71" s="224">
        <f t="shared" si="7"/>
        <v>59</v>
      </c>
      <c r="O71" s="227">
        <f>IF(M71&gt;Assumptions!$E$174,0,R70)</f>
        <v>0</v>
      </c>
      <c r="P71" s="227">
        <f>IF(M71&gt;Assumptions!$E$174,0,-PPMT($R$5/12,N71,$R$6*12,-$R$8))</f>
        <v>0</v>
      </c>
      <c r="Q71" s="227">
        <f>IF(M71&gt;Assumptions!$E$174,0,-IPMT($R$5/12,N71,$R$6*12,-$R$8))</f>
        <v>0</v>
      </c>
      <c r="R71" s="227">
        <f t="shared" si="5"/>
        <v>0</v>
      </c>
    </row>
    <row r="72" spans="2:18" x14ac:dyDescent="0.45">
      <c r="B72" s="226">
        <f t="shared" si="11"/>
        <v>60</v>
      </c>
      <c r="C72" s="224">
        <f t="shared" si="11"/>
        <v>60</v>
      </c>
      <c r="D72" s="227">
        <f>IF(B72&gt;Assumptions!$E$174,0,H71)</f>
        <v>11061858.185494566</v>
      </c>
      <c r="E72" s="227" cm="1">
        <f t="array" ref="E72">IFERROR(INDEX(Model!$G$44:$EI$44,,MATCH('Debt Schedule'!B72,Model!$G$4:$EI$4,0)),0)</f>
        <v>0</v>
      </c>
      <c r="F72" s="227">
        <f>IF(AND(Assumptions!$G$34="Yes",'Debt Schedule'!B72&gt;Assumptions!$G$36),0,IF(B72&gt;Assumptions!$E$174,0,-IFERROR(PPMT($H$4/12,C72,$H$5*12,-$H$8),0)))</f>
        <v>0</v>
      </c>
      <c r="G72" s="227">
        <f>IF(AND(Assumptions!$G$34="yes",'Debt Schedule'!B72&gt;Assumptions!$G$36),0,IFERROR(IF(B72&gt;Assumptions!$E$174,0,IPMT($H$4/12,C72,$H$5*12,-$H$8)),$H$4/12*D72))</f>
        <v>0</v>
      </c>
      <c r="H72" s="227">
        <f t="shared" si="9"/>
        <v>11061858.185494566</v>
      </c>
      <c r="M72" s="226">
        <f t="shared" si="6"/>
        <v>93</v>
      </c>
      <c r="N72" s="224">
        <f t="shared" si="7"/>
        <v>60</v>
      </c>
      <c r="O72" s="227">
        <f>IF(M72&gt;Assumptions!$E$174,0,R71)</f>
        <v>0</v>
      </c>
      <c r="P72" s="227">
        <f>IF(M72&gt;Assumptions!$E$174,0,-PPMT($R$5/12,N72,$R$6*12,-$R$8))</f>
        <v>0</v>
      </c>
      <c r="Q72" s="227">
        <f>IF(M72&gt;Assumptions!$E$174,0,-IPMT($R$5/12,N72,$R$6*12,-$R$8))</f>
        <v>0</v>
      </c>
      <c r="R72" s="227">
        <f t="shared" si="5"/>
        <v>0</v>
      </c>
    </row>
    <row r="73" spans="2:18" x14ac:dyDescent="0.45">
      <c r="B73" s="226">
        <f t="shared" si="11"/>
        <v>61</v>
      </c>
      <c r="C73" s="224">
        <f t="shared" si="11"/>
        <v>61</v>
      </c>
      <c r="D73" s="227">
        <f>IF(B73&gt;Assumptions!$E$174,0,H72)</f>
        <v>0</v>
      </c>
      <c r="E73" s="227" cm="1">
        <f t="array" ref="E73">IFERROR(INDEX(Model!$G$44:$EI$44,,MATCH('Debt Schedule'!B73,Model!$G$4:$EI$4,0)),0)</f>
        <v>0</v>
      </c>
      <c r="F73" s="227">
        <f>IF(AND(Assumptions!$G$34="Yes",'Debt Schedule'!B73&gt;Assumptions!$G$36),0,IF(B73&gt;Assumptions!$E$174,0,-IFERROR(PPMT($H$4/12,C73,$H$5*12,-$H$8),0)))</f>
        <v>0</v>
      </c>
      <c r="G73" s="227">
        <f>IF(AND(Assumptions!$G$34="yes",'Debt Schedule'!B73&gt;Assumptions!$G$36),0,IFERROR(IF(B73&gt;Assumptions!$E$174,0,IPMT($H$4/12,C73,$H$5*12,-$H$8)),$H$4/12*D73))</f>
        <v>0</v>
      </c>
      <c r="H73" s="227">
        <f t="shared" si="9"/>
        <v>0</v>
      </c>
      <c r="M73" s="226">
        <f t="shared" si="6"/>
        <v>94</v>
      </c>
      <c r="N73" s="224">
        <f t="shared" si="7"/>
        <v>61</v>
      </c>
      <c r="O73" s="227">
        <f>IF(M73&gt;Assumptions!$E$174,0,R72)</f>
        <v>0</v>
      </c>
      <c r="P73" s="227">
        <f>IF(M73&gt;Assumptions!$E$174,0,-PPMT($R$5/12,N73,$R$6*12,-$R$8))</f>
        <v>0</v>
      </c>
      <c r="Q73" s="227">
        <f>IF(M73&gt;Assumptions!$E$174,0,-IPMT($R$5/12,N73,$R$6*12,-$R$8))</f>
        <v>0</v>
      </c>
      <c r="R73" s="227">
        <f t="shared" si="5"/>
        <v>0</v>
      </c>
    </row>
    <row r="74" spans="2:18" x14ac:dyDescent="0.45">
      <c r="B74" s="226">
        <f t="shared" si="11"/>
        <v>62</v>
      </c>
      <c r="C74" s="224">
        <f t="shared" si="11"/>
        <v>62</v>
      </c>
      <c r="D74" s="227">
        <f>IF(B74&gt;Assumptions!$E$174,0,H73)</f>
        <v>0</v>
      </c>
      <c r="E74" s="227" cm="1">
        <f t="array" ref="E74">IFERROR(INDEX(Model!$G$44:$EI$44,,MATCH('Debt Schedule'!B74,Model!$G$4:$EI$4,0)),0)</f>
        <v>0</v>
      </c>
      <c r="F74" s="227">
        <f>IF(AND(Assumptions!$G$34="Yes",'Debt Schedule'!B74&gt;Assumptions!$G$36),0,IF(B74&gt;Assumptions!$E$174,0,-IFERROR(PPMT($H$4/12,C74,$H$5*12,-$H$8),0)))</f>
        <v>0</v>
      </c>
      <c r="G74" s="227">
        <f>IF(AND(Assumptions!$G$34="yes",'Debt Schedule'!B74&gt;Assumptions!$G$36),0,IFERROR(IF(B74&gt;Assumptions!$E$174,0,IPMT($H$4/12,C74,$H$5*12,-$H$8)),$H$4/12*D74))</f>
        <v>0</v>
      </c>
      <c r="H74" s="227">
        <f t="shared" si="9"/>
        <v>0</v>
      </c>
      <c r="M74" s="226">
        <f t="shared" si="6"/>
        <v>95</v>
      </c>
      <c r="N74" s="224">
        <f t="shared" si="7"/>
        <v>62</v>
      </c>
      <c r="O74" s="227">
        <f>IF(M74&gt;Assumptions!$E$174,0,R73)</f>
        <v>0</v>
      </c>
      <c r="P74" s="227">
        <f>IF(M74&gt;Assumptions!$E$174,0,-PPMT($R$5/12,N74,$R$6*12,-$R$8))</f>
        <v>0</v>
      </c>
      <c r="Q74" s="227">
        <f>IF(M74&gt;Assumptions!$E$174,0,-IPMT($R$5/12,N74,$R$6*12,-$R$8))</f>
        <v>0</v>
      </c>
      <c r="R74" s="227">
        <f t="shared" si="5"/>
        <v>0</v>
      </c>
    </row>
    <row r="75" spans="2:18" x14ac:dyDescent="0.45">
      <c r="B75" s="226">
        <f t="shared" si="11"/>
        <v>63</v>
      </c>
      <c r="C75" s="224">
        <f t="shared" si="11"/>
        <v>63</v>
      </c>
      <c r="D75" s="227">
        <f>IF(B75&gt;Assumptions!$E$174,0,H74)</f>
        <v>0</v>
      </c>
      <c r="E75" s="227" cm="1">
        <f t="array" ref="E75">IFERROR(INDEX(Model!$G$44:$EI$44,,MATCH('Debt Schedule'!B75,Model!$G$4:$EI$4,0)),0)</f>
        <v>0</v>
      </c>
      <c r="F75" s="227">
        <f>IF(AND(Assumptions!$G$34="Yes",'Debt Schedule'!B75&gt;Assumptions!$G$36),0,IF(B75&gt;Assumptions!$E$174,0,-IFERROR(PPMT($H$4/12,C75,$H$5*12,-$H$8),0)))</f>
        <v>0</v>
      </c>
      <c r="G75" s="227">
        <f>IF(AND(Assumptions!$G$34="yes",'Debt Schedule'!B75&gt;Assumptions!$G$36),0,IFERROR(IF(B75&gt;Assumptions!$E$174,0,IPMT($H$4/12,C75,$H$5*12,-$H$8)),$H$4/12*D75))</f>
        <v>0</v>
      </c>
      <c r="H75" s="227">
        <f t="shared" si="9"/>
        <v>0</v>
      </c>
      <c r="M75" s="226">
        <f t="shared" si="6"/>
        <v>96</v>
      </c>
      <c r="N75" s="224">
        <f t="shared" si="7"/>
        <v>63</v>
      </c>
      <c r="O75" s="227">
        <f>IF(M75&gt;Assumptions!$E$174,0,R74)</f>
        <v>0</v>
      </c>
      <c r="P75" s="227">
        <f>IF(M75&gt;Assumptions!$E$174,0,-PPMT($R$5/12,N75,$R$6*12,-$R$8))</f>
        <v>0</v>
      </c>
      <c r="Q75" s="227">
        <f>IF(M75&gt;Assumptions!$E$174,0,-IPMT($R$5/12,N75,$R$6*12,-$R$8))</f>
        <v>0</v>
      </c>
      <c r="R75" s="227">
        <f t="shared" si="5"/>
        <v>0</v>
      </c>
    </row>
    <row r="76" spans="2:18" x14ac:dyDescent="0.45">
      <c r="B76" s="226">
        <f t="shared" si="11"/>
        <v>64</v>
      </c>
      <c r="C76" s="224">
        <f t="shared" si="11"/>
        <v>64</v>
      </c>
      <c r="D76" s="227">
        <f>IF(B76&gt;Assumptions!$E$174,0,H75)</f>
        <v>0</v>
      </c>
      <c r="E76" s="227" cm="1">
        <f t="array" ref="E76">IFERROR(INDEX(Model!$G$44:$EI$44,,MATCH('Debt Schedule'!B76,Model!$G$4:$EI$4,0)),0)</f>
        <v>0</v>
      </c>
      <c r="F76" s="227">
        <f>IF(AND(Assumptions!$G$34="Yes",'Debt Schedule'!B76&gt;Assumptions!$G$36),0,IF(B76&gt;Assumptions!$E$174,0,-IFERROR(PPMT($H$4/12,C76,$H$5*12,-$H$8),0)))</f>
        <v>0</v>
      </c>
      <c r="G76" s="227">
        <f>IF(AND(Assumptions!$G$34="yes",'Debt Schedule'!B76&gt;Assumptions!$G$36),0,IFERROR(IF(B76&gt;Assumptions!$E$174,0,IPMT($H$4/12,C76,$H$5*12,-$H$8)),$H$4/12*D76))</f>
        <v>0</v>
      </c>
      <c r="H76" s="227">
        <f t="shared" si="9"/>
        <v>0</v>
      </c>
      <c r="M76" s="226">
        <f t="shared" si="6"/>
        <v>97</v>
      </c>
      <c r="N76" s="224">
        <f t="shared" si="7"/>
        <v>64</v>
      </c>
      <c r="O76" s="227">
        <f>IF(M76&gt;Assumptions!$E$174,0,R75)</f>
        <v>0</v>
      </c>
      <c r="P76" s="227">
        <f>IF(M76&gt;Assumptions!$E$174,0,-PPMT($R$5/12,N76,$R$6*12,-$R$8))</f>
        <v>0</v>
      </c>
      <c r="Q76" s="227">
        <f>IF(M76&gt;Assumptions!$E$174,0,-IPMT($R$5/12,N76,$R$6*12,-$R$8))</f>
        <v>0</v>
      </c>
      <c r="R76" s="227">
        <f t="shared" si="5"/>
        <v>0</v>
      </c>
    </row>
    <row r="77" spans="2:18" x14ac:dyDescent="0.45">
      <c r="B77" s="226">
        <f t="shared" si="11"/>
        <v>65</v>
      </c>
      <c r="C77" s="224">
        <f t="shared" si="11"/>
        <v>65</v>
      </c>
      <c r="D77" s="227">
        <f>IF(B77&gt;Assumptions!$E$174,0,H76)</f>
        <v>0</v>
      </c>
      <c r="E77" s="227" cm="1">
        <f t="array" ref="E77">IFERROR(INDEX(Model!$G$44:$EI$44,,MATCH('Debt Schedule'!B77,Model!$G$4:$EI$4,0)),0)</f>
        <v>0</v>
      </c>
      <c r="F77" s="227">
        <f>IF(AND(Assumptions!$G$34="Yes",'Debt Schedule'!B77&gt;Assumptions!$G$36),0,IF(B77&gt;Assumptions!$E$174,0,-IFERROR(PPMT($H$4/12,C77,$H$5*12,-$H$8),0)))</f>
        <v>0</v>
      </c>
      <c r="G77" s="227">
        <f>IF(AND(Assumptions!$G$34="yes",'Debt Schedule'!B77&gt;Assumptions!$G$36),0,IFERROR(IF(B77&gt;Assumptions!$E$174,0,IPMT($H$4/12,C77,$H$5*12,-$H$8)),$H$4/12*D77))</f>
        <v>0</v>
      </c>
      <c r="H77" s="227">
        <f t="shared" ref="H77:H108" si="12">SUM(D77:F77)</f>
        <v>0</v>
      </c>
      <c r="M77" s="226">
        <f t="shared" si="6"/>
        <v>98</v>
      </c>
      <c r="N77" s="224">
        <f t="shared" si="7"/>
        <v>65</v>
      </c>
      <c r="O77" s="227">
        <f>IF(M77&gt;Assumptions!$E$174,0,R76)</f>
        <v>0</v>
      </c>
      <c r="P77" s="227">
        <f>IF(M77&gt;Assumptions!$E$174,0,-PPMT($R$5/12,N77,$R$6*12,-$R$8))</f>
        <v>0</v>
      </c>
      <c r="Q77" s="227">
        <f>IF(M77&gt;Assumptions!$E$174,0,-IPMT($R$5/12,N77,$R$6*12,-$R$8))</f>
        <v>0</v>
      </c>
      <c r="R77" s="227">
        <f t="shared" si="5"/>
        <v>0</v>
      </c>
    </row>
    <row r="78" spans="2:18" x14ac:dyDescent="0.45">
      <c r="B78" s="226">
        <f t="shared" ref="B78:C82" si="13">+B77+1</f>
        <v>66</v>
      </c>
      <c r="C78" s="224">
        <f t="shared" si="13"/>
        <v>66</v>
      </c>
      <c r="D78" s="227">
        <f>IF(B78&gt;Assumptions!$E$174,0,H77)</f>
        <v>0</v>
      </c>
      <c r="E78" s="227" cm="1">
        <f t="array" ref="E78">IFERROR(INDEX(Model!$G$44:$EI$44,,MATCH('Debt Schedule'!B78,Model!$G$4:$EI$4,0)),0)</f>
        <v>0</v>
      </c>
      <c r="F78" s="227">
        <f>IF(AND(Assumptions!$G$34="Yes",'Debt Schedule'!B78&gt;Assumptions!$G$36),0,IF(B78&gt;Assumptions!$E$174,0,-IFERROR(PPMT($H$4/12,C78,$H$5*12,-$H$8),0)))</f>
        <v>0</v>
      </c>
      <c r="G78" s="227">
        <f>IF(AND(Assumptions!$G$34="yes",'Debt Schedule'!B78&gt;Assumptions!$G$36),0,IFERROR(IF(B78&gt;Assumptions!$E$174,0,IPMT($H$4/12,C78,$H$5*12,-$H$8)),$H$4/12*D78))</f>
        <v>0</v>
      </c>
      <c r="H78" s="227">
        <f t="shared" si="12"/>
        <v>0</v>
      </c>
      <c r="M78" s="226">
        <f t="shared" si="6"/>
        <v>99</v>
      </c>
      <c r="N78" s="224">
        <f t="shared" si="7"/>
        <v>66</v>
      </c>
      <c r="O78" s="227">
        <f>IF(M78&gt;Assumptions!$E$174,0,R77)</f>
        <v>0</v>
      </c>
      <c r="P78" s="227">
        <f>IF(M78&gt;Assumptions!$E$174,0,-PPMT($R$5/12,N78,$R$6*12,-$R$8))</f>
        <v>0</v>
      </c>
      <c r="Q78" s="227">
        <f>IF(M78&gt;Assumptions!$E$174,0,-IPMT($R$5/12,N78,$R$6*12,-$R$8))</f>
        <v>0</v>
      </c>
      <c r="R78" s="227">
        <f t="shared" ref="R78:R82" si="14">+P78+O78</f>
        <v>0</v>
      </c>
    </row>
    <row r="79" spans="2:18" x14ac:dyDescent="0.45">
      <c r="B79" s="226">
        <f t="shared" si="13"/>
        <v>67</v>
      </c>
      <c r="C79" s="224">
        <f t="shared" si="13"/>
        <v>67</v>
      </c>
      <c r="D79" s="227">
        <f>IF(B79&gt;Assumptions!$E$174,0,H78)</f>
        <v>0</v>
      </c>
      <c r="E79" s="227" cm="1">
        <f t="array" ref="E79">IFERROR(INDEX(Model!$G$44:$EI$44,,MATCH('Debt Schedule'!B79,Model!$G$4:$EI$4,0)),0)</f>
        <v>0</v>
      </c>
      <c r="F79" s="227">
        <f>IF(AND(Assumptions!$G$34="Yes",'Debt Schedule'!B79&gt;Assumptions!$G$36),0,IF(B79&gt;Assumptions!$E$174,0,-IFERROR(PPMT($H$4/12,C79,$H$5*12,-$H$8),0)))</f>
        <v>0</v>
      </c>
      <c r="G79" s="227">
        <f>IF(AND(Assumptions!$G$34="yes",'Debt Schedule'!B79&gt;Assumptions!$G$36),0,IFERROR(IF(B79&gt;Assumptions!$E$174,0,IPMT($H$4/12,C79,$H$5*12,-$H$8)),$H$4/12*D79))</f>
        <v>0</v>
      </c>
      <c r="H79" s="227">
        <f t="shared" si="12"/>
        <v>0</v>
      </c>
      <c r="M79" s="226">
        <f t="shared" ref="M79:M108" si="15">+M78+1</f>
        <v>100</v>
      </c>
      <c r="N79" s="224">
        <f t="shared" ref="N79:N108" si="16">+N78+1</f>
        <v>67</v>
      </c>
      <c r="O79" s="227">
        <f>IF(M79&gt;Assumptions!$E$174,0,R78)</f>
        <v>0</v>
      </c>
      <c r="P79" s="227">
        <f>IF(M79&gt;Assumptions!$E$174,0,-PPMT($R$5/12,N79,$R$6*12,-$R$8))</f>
        <v>0</v>
      </c>
      <c r="Q79" s="227">
        <f>IF(M79&gt;Assumptions!$E$174,0,-IPMT($R$5/12,N79,$R$6*12,-$R$8))</f>
        <v>0</v>
      </c>
      <c r="R79" s="227">
        <f t="shared" si="14"/>
        <v>0</v>
      </c>
    </row>
    <row r="80" spans="2:18" x14ac:dyDescent="0.45">
      <c r="B80" s="226">
        <f t="shared" si="13"/>
        <v>68</v>
      </c>
      <c r="C80" s="224">
        <f t="shared" si="13"/>
        <v>68</v>
      </c>
      <c r="D80" s="227">
        <f>IF(B80&gt;Assumptions!$E$174,0,H79)</f>
        <v>0</v>
      </c>
      <c r="E80" s="227" cm="1">
        <f t="array" ref="E80">IFERROR(INDEX(Model!$G$44:$EI$44,,MATCH('Debt Schedule'!B80,Model!$G$4:$EI$4,0)),0)</f>
        <v>0</v>
      </c>
      <c r="F80" s="227">
        <f>IF(AND(Assumptions!$G$34="Yes",'Debt Schedule'!B80&gt;Assumptions!$G$36),0,IF(B80&gt;Assumptions!$E$174,0,-IFERROR(PPMT($H$4/12,C80,$H$5*12,-$H$8),0)))</f>
        <v>0</v>
      </c>
      <c r="G80" s="227">
        <f>IF(AND(Assumptions!$G$34="yes",'Debt Schedule'!B80&gt;Assumptions!$G$36),0,IFERROR(IF(B80&gt;Assumptions!$E$174,0,IPMT($H$4/12,C80,$H$5*12,-$H$8)),$H$4/12*D80))</f>
        <v>0</v>
      </c>
      <c r="H80" s="227">
        <f t="shared" si="12"/>
        <v>0</v>
      </c>
      <c r="M80" s="226">
        <f t="shared" si="15"/>
        <v>101</v>
      </c>
      <c r="N80" s="224">
        <f t="shared" si="16"/>
        <v>68</v>
      </c>
      <c r="O80" s="227">
        <f>IF(M80&gt;Assumptions!$E$174,0,R79)</f>
        <v>0</v>
      </c>
      <c r="P80" s="227">
        <f>IF(M80&gt;Assumptions!$E$174,0,-PPMT($R$5/12,N80,$R$6*12,-$R$8))</f>
        <v>0</v>
      </c>
      <c r="Q80" s="227">
        <f>IF(M80&gt;Assumptions!$E$174,0,-IPMT($R$5/12,N80,$R$6*12,-$R$8))</f>
        <v>0</v>
      </c>
      <c r="R80" s="227">
        <f t="shared" si="14"/>
        <v>0</v>
      </c>
    </row>
    <row r="81" spans="2:18" x14ac:dyDescent="0.45">
      <c r="B81" s="226">
        <f t="shared" si="13"/>
        <v>69</v>
      </c>
      <c r="C81" s="224">
        <f t="shared" si="13"/>
        <v>69</v>
      </c>
      <c r="D81" s="227">
        <f>IF(B81&gt;Assumptions!$E$174,0,H80)</f>
        <v>0</v>
      </c>
      <c r="E81" s="227" cm="1">
        <f t="array" ref="E81">IFERROR(INDEX(Model!$G$44:$EI$44,,MATCH('Debt Schedule'!B81,Model!$G$4:$EI$4,0)),0)</f>
        <v>0</v>
      </c>
      <c r="F81" s="227">
        <f>IF(AND(Assumptions!$G$34="Yes",'Debt Schedule'!B81&gt;Assumptions!$G$36),0,IF(B81&gt;Assumptions!$E$174,0,-IFERROR(PPMT($H$4/12,C81,$H$5*12,-$H$8),0)))</f>
        <v>0</v>
      </c>
      <c r="G81" s="227">
        <f>IF(AND(Assumptions!$G$34="yes",'Debt Schedule'!B81&gt;Assumptions!$G$36),0,IFERROR(IF(B81&gt;Assumptions!$E$174,0,IPMT($H$4/12,C81,$H$5*12,-$H$8)),$H$4/12*D81))</f>
        <v>0</v>
      </c>
      <c r="H81" s="227">
        <f t="shared" si="12"/>
        <v>0</v>
      </c>
      <c r="M81" s="226">
        <f t="shared" si="15"/>
        <v>102</v>
      </c>
      <c r="N81" s="224">
        <f t="shared" si="16"/>
        <v>69</v>
      </c>
      <c r="O81" s="227">
        <f>IF(M81&gt;Assumptions!$E$174,0,R80)</f>
        <v>0</v>
      </c>
      <c r="P81" s="227">
        <f>IF(M81&gt;Assumptions!$E$174,0,-PPMT($R$5/12,N81,$R$6*12,-$R$8))</f>
        <v>0</v>
      </c>
      <c r="Q81" s="227">
        <f>IF(M81&gt;Assumptions!$E$174,0,-IPMT($R$5/12,N81,$R$6*12,-$R$8))</f>
        <v>0</v>
      </c>
      <c r="R81" s="227">
        <f t="shared" si="14"/>
        <v>0</v>
      </c>
    </row>
    <row r="82" spans="2:18" x14ac:dyDescent="0.45">
      <c r="B82" s="226">
        <f t="shared" si="13"/>
        <v>70</v>
      </c>
      <c r="C82" s="224">
        <f t="shared" si="13"/>
        <v>70</v>
      </c>
      <c r="D82" s="227">
        <f>IF(B82&gt;Assumptions!$E$174,0,H81)</f>
        <v>0</v>
      </c>
      <c r="E82" s="227" cm="1">
        <f t="array" ref="E82">IFERROR(INDEX(Model!$G$44:$EI$44,,MATCH('Debt Schedule'!B82,Model!$G$4:$EI$4,0)),0)</f>
        <v>0</v>
      </c>
      <c r="F82" s="227">
        <f>IF(AND(Assumptions!$G$34="Yes",'Debt Schedule'!B82&gt;Assumptions!$G$36),0,IF(B82&gt;Assumptions!$E$174,0,-IFERROR(PPMT($H$4/12,C82,$H$5*12,-$H$8),0)))</f>
        <v>0</v>
      </c>
      <c r="G82" s="227">
        <f>IF(AND(Assumptions!$G$34="yes",'Debt Schedule'!B82&gt;Assumptions!$G$36),0,IFERROR(IF(B82&gt;Assumptions!$E$174,0,IPMT($H$4/12,C82,$H$5*12,-$H$8)),$H$4/12*D82))</f>
        <v>0</v>
      </c>
      <c r="H82" s="227">
        <f t="shared" si="12"/>
        <v>0</v>
      </c>
      <c r="M82" s="226">
        <f t="shared" si="15"/>
        <v>103</v>
      </c>
      <c r="N82" s="224">
        <f t="shared" si="16"/>
        <v>70</v>
      </c>
      <c r="O82" s="227">
        <f>IF(M82&gt;Assumptions!$E$174,0,R81)</f>
        <v>0</v>
      </c>
      <c r="P82" s="227">
        <f>IF(M82&gt;Assumptions!$E$174,0,-PPMT($R$5/12,N82,$R$6*12,-$R$8))</f>
        <v>0</v>
      </c>
      <c r="Q82" s="227">
        <f>IF(M82&gt;Assumptions!$E$174,0,-IPMT($R$5/12,N82,$R$6*12,-$R$8))</f>
        <v>0</v>
      </c>
      <c r="R82" s="227">
        <f t="shared" si="14"/>
        <v>0</v>
      </c>
    </row>
    <row r="83" spans="2:18" x14ac:dyDescent="0.45">
      <c r="B83" s="226">
        <f t="shared" ref="B83:C83" si="17">+B82+1</f>
        <v>71</v>
      </c>
      <c r="C83" s="224">
        <f t="shared" si="17"/>
        <v>71</v>
      </c>
      <c r="D83" s="227">
        <f>IF(B83&gt;Assumptions!$E$174,0,H82)</f>
        <v>0</v>
      </c>
      <c r="E83" s="227" cm="1">
        <f t="array" ref="E83">IFERROR(INDEX(Model!$G$44:$EI$44,,MATCH('Debt Schedule'!B83,Model!$G$4:$EI$4,0)),0)</f>
        <v>0</v>
      </c>
      <c r="F83" s="227">
        <f>IF(AND(Assumptions!$G$34="Yes",'Debt Schedule'!B83&gt;Assumptions!$G$36),0,IF(B83&gt;Assumptions!$E$174,0,-IFERROR(PPMT($H$4/12,C83,$H$5*12,-$H$8),0)))</f>
        <v>0</v>
      </c>
      <c r="G83" s="227">
        <f>IF(AND(Assumptions!$G$34="yes",'Debt Schedule'!B83&gt;Assumptions!$G$36),0,IFERROR(IF(B83&gt;Assumptions!$E$174,0,IPMT($H$4/12,C83,$H$5*12,-$H$8)),$H$4/12*D83))</f>
        <v>0</v>
      </c>
      <c r="H83" s="227">
        <f t="shared" si="12"/>
        <v>0</v>
      </c>
      <c r="M83" s="226">
        <f t="shared" si="15"/>
        <v>104</v>
      </c>
      <c r="N83" s="224">
        <f t="shared" si="16"/>
        <v>71</v>
      </c>
      <c r="O83" s="227">
        <f>IF(M83&gt;Assumptions!$E$174,0,R82)</f>
        <v>0</v>
      </c>
      <c r="P83" s="227">
        <f>IF(M83&gt;Assumptions!$E$174,0,-PPMT($R$5/12,N83,$R$6*12,-$R$8))</f>
        <v>0</v>
      </c>
      <c r="Q83" s="227">
        <f>IF(M83&gt;Assumptions!$E$174,0,-IPMT($R$5/12,N83,$R$6*12,-$R$8))</f>
        <v>0</v>
      </c>
      <c r="R83" s="227">
        <f t="shared" ref="R83:R108" si="18">+P83+O83</f>
        <v>0</v>
      </c>
    </row>
    <row r="84" spans="2:18" x14ac:dyDescent="0.45">
      <c r="B84" s="226">
        <f t="shared" ref="B84:C84" si="19">+B83+1</f>
        <v>72</v>
      </c>
      <c r="C84" s="224">
        <f t="shared" si="19"/>
        <v>72</v>
      </c>
      <c r="D84" s="227">
        <f>IF(B84&gt;Assumptions!$E$174,0,H83)</f>
        <v>0</v>
      </c>
      <c r="E84" s="227" cm="1">
        <f t="array" ref="E84">IFERROR(INDEX(Model!$G$44:$EI$44,,MATCH('Debt Schedule'!B84,Model!$G$4:$EI$4,0)),0)</f>
        <v>0</v>
      </c>
      <c r="F84" s="227">
        <f>IF(AND(Assumptions!$G$34="Yes",'Debt Schedule'!B84&gt;Assumptions!$G$36),0,IF(B84&gt;Assumptions!$E$174,0,-IFERROR(PPMT($H$4/12,C84,$H$5*12,-$H$8),0)))</f>
        <v>0</v>
      </c>
      <c r="G84" s="227">
        <f>IF(AND(Assumptions!$G$34="yes",'Debt Schedule'!B84&gt;Assumptions!$G$36),0,IFERROR(IF(B84&gt;Assumptions!$E$174,0,IPMT($H$4/12,C84,$H$5*12,-$H$8)),$H$4/12*D84))</f>
        <v>0</v>
      </c>
      <c r="H84" s="227">
        <f t="shared" si="12"/>
        <v>0</v>
      </c>
      <c r="M84" s="226">
        <f t="shared" si="15"/>
        <v>105</v>
      </c>
      <c r="N84" s="224">
        <f t="shared" si="16"/>
        <v>72</v>
      </c>
      <c r="O84" s="227">
        <f>IF(M84&gt;Assumptions!$E$174,0,R83)</f>
        <v>0</v>
      </c>
      <c r="P84" s="227">
        <f>IF(M84&gt;Assumptions!$E$174,0,-PPMT($R$5/12,N84,$R$6*12,-$R$8))</f>
        <v>0</v>
      </c>
      <c r="Q84" s="227">
        <f>IF(M84&gt;Assumptions!$E$174,0,-IPMT($R$5/12,N84,$R$6*12,-$R$8))</f>
        <v>0</v>
      </c>
      <c r="R84" s="227">
        <f t="shared" si="18"/>
        <v>0</v>
      </c>
    </row>
    <row r="85" spans="2:18" x14ac:dyDescent="0.45">
      <c r="B85" s="226">
        <f t="shared" ref="B85:C85" si="20">+B84+1</f>
        <v>73</v>
      </c>
      <c r="C85" s="224">
        <f t="shared" si="20"/>
        <v>73</v>
      </c>
      <c r="D85" s="227">
        <f>IF(B85&gt;Assumptions!$E$174,0,H84)</f>
        <v>0</v>
      </c>
      <c r="E85" s="227" cm="1">
        <f t="array" ref="E85">IFERROR(INDEX(Model!$G$44:$EI$44,,MATCH('Debt Schedule'!B85,Model!$G$4:$EI$4,0)),0)</f>
        <v>0</v>
      </c>
      <c r="F85" s="227">
        <f>IF(AND(Assumptions!$G$34="Yes",'Debt Schedule'!B85&gt;Assumptions!$G$36),0,IF(B85&gt;Assumptions!$E$174,0,-IFERROR(PPMT($H$4/12,C85,$H$5*12,-$H$8),0)))</f>
        <v>0</v>
      </c>
      <c r="G85" s="227">
        <f>IF(AND(Assumptions!$G$34="yes",'Debt Schedule'!B85&gt;Assumptions!$G$36),0,IFERROR(IF(B85&gt;Assumptions!$E$174,0,IPMT($H$4/12,C85,$H$5*12,-$H$8)),$H$4/12*D85))</f>
        <v>0</v>
      </c>
      <c r="H85" s="227">
        <f t="shared" si="12"/>
        <v>0</v>
      </c>
      <c r="M85" s="226">
        <f t="shared" si="15"/>
        <v>106</v>
      </c>
      <c r="N85" s="224">
        <f t="shared" si="16"/>
        <v>73</v>
      </c>
      <c r="O85" s="227">
        <f>IF(M85&gt;Assumptions!$E$174,0,R84)</f>
        <v>0</v>
      </c>
      <c r="P85" s="227">
        <f>IF(M85&gt;Assumptions!$E$174,0,-PPMT($R$5/12,N85,$R$6*12,-$R$8))</f>
        <v>0</v>
      </c>
      <c r="Q85" s="227">
        <f>IF(M85&gt;Assumptions!$E$174,0,-IPMT($R$5/12,N85,$R$6*12,-$R$8))</f>
        <v>0</v>
      </c>
      <c r="R85" s="227">
        <f t="shared" si="18"/>
        <v>0</v>
      </c>
    </row>
    <row r="86" spans="2:18" x14ac:dyDescent="0.45">
      <c r="B86" s="226">
        <f t="shared" ref="B86:C86" si="21">+B85+1</f>
        <v>74</v>
      </c>
      <c r="C86" s="224">
        <f t="shared" si="21"/>
        <v>74</v>
      </c>
      <c r="D86" s="227">
        <f>IF(B86&gt;Assumptions!$E$174,0,H85)</f>
        <v>0</v>
      </c>
      <c r="E86" s="227" cm="1">
        <f t="array" ref="E86">IFERROR(INDEX(Model!$G$44:$EI$44,,MATCH('Debt Schedule'!B86,Model!$G$4:$EI$4,0)),0)</f>
        <v>0</v>
      </c>
      <c r="F86" s="227">
        <f>IF(AND(Assumptions!$G$34="Yes",'Debt Schedule'!B86&gt;Assumptions!$G$36),0,IF(B86&gt;Assumptions!$E$174,0,-IFERROR(PPMT($H$4/12,C86,$H$5*12,-$H$8),0)))</f>
        <v>0</v>
      </c>
      <c r="G86" s="227">
        <f>IF(AND(Assumptions!$G$34="yes",'Debt Schedule'!B86&gt;Assumptions!$G$36),0,IFERROR(IF(B86&gt;Assumptions!$E$174,0,IPMT($H$4/12,C86,$H$5*12,-$H$8)),$H$4/12*D86))</f>
        <v>0</v>
      </c>
      <c r="H86" s="227">
        <f t="shared" si="12"/>
        <v>0</v>
      </c>
      <c r="M86" s="226">
        <f t="shared" si="15"/>
        <v>107</v>
      </c>
      <c r="N86" s="224">
        <f t="shared" si="16"/>
        <v>74</v>
      </c>
      <c r="O86" s="227">
        <f>IF(M86&gt;Assumptions!$E$174,0,R85)</f>
        <v>0</v>
      </c>
      <c r="P86" s="227">
        <f>IF(M86&gt;Assumptions!$E$174,0,-PPMT($R$5/12,N86,$R$6*12,-$R$8))</f>
        <v>0</v>
      </c>
      <c r="Q86" s="227">
        <f>IF(M86&gt;Assumptions!$E$174,0,-IPMT($R$5/12,N86,$R$6*12,-$R$8))</f>
        <v>0</v>
      </c>
      <c r="R86" s="227">
        <f t="shared" si="18"/>
        <v>0</v>
      </c>
    </row>
    <row r="87" spans="2:18" x14ac:dyDescent="0.45">
      <c r="B87" s="226">
        <f t="shared" ref="B87:C87" si="22">+B86+1</f>
        <v>75</v>
      </c>
      <c r="C87" s="224">
        <f t="shared" si="22"/>
        <v>75</v>
      </c>
      <c r="D87" s="227">
        <f>IF(B87&gt;Assumptions!$E$174,0,H86)</f>
        <v>0</v>
      </c>
      <c r="E87" s="227" cm="1">
        <f t="array" ref="E87">IFERROR(INDEX(Model!$G$44:$EI$44,,MATCH('Debt Schedule'!B87,Model!$G$4:$EI$4,0)),0)</f>
        <v>0</v>
      </c>
      <c r="F87" s="227">
        <f>IF(AND(Assumptions!$G$34="Yes",'Debt Schedule'!B87&gt;Assumptions!$G$36),0,IF(B87&gt;Assumptions!$E$174,0,-IFERROR(PPMT($H$4/12,C87,$H$5*12,-$H$8),0)))</f>
        <v>0</v>
      </c>
      <c r="G87" s="227">
        <f>IF(AND(Assumptions!$G$34="yes",'Debt Schedule'!B87&gt;Assumptions!$G$36),0,IFERROR(IF(B87&gt;Assumptions!$E$174,0,IPMT($H$4/12,C87,$H$5*12,-$H$8)),$H$4/12*D87))</f>
        <v>0</v>
      </c>
      <c r="H87" s="227">
        <f t="shared" si="12"/>
        <v>0</v>
      </c>
      <c r="M87" s="226">
        <f t="shared" si="15"/>
        <v>108</v>
      </c>
      <c r="N87" s="224">
        <f t="shared" si="16"/>
        <v>75</v>
      </c>
      <c r="O87" s="227">
        <f>IF(M87&gt;Assumptions!$E$174,0,R86)</f>
        <v>0</v>
      </c>
      <c r="P87" s="227">
        <f>IF(M87&gt;Assumptions!$E$174,0,-PPMT($R$5/12,N87,$R$6*12,-$R$8))</f>
        <v>0</v>
      </c>
      <c r="Q87" s="227">
        <f>IF(M87&gt;Assumptions!$E$174,0,-IPMT($R$5/12,N87,$R$6*12,-$R$8))</f>
        <v>0</v>
      </c>
      <c r="R87" s="227">
        <f t="shared" si="18"/>
        <v>0</v>
      </c>
    </row>
    <row r="88" spans="2:18" x14ac:dyDescent="0.45">
      <c r="B88" s="226">
        <f t="shared" ref="B88:C88" si="23">+B87+1</f>
        <v>76</v>
      </c>
      <c r="C88" s="224">
        <f t="shared" si="23"/>
        <v>76</v>
      </c>
      <c r="D88" s="227">
        <f>IF(B88&gt;Assumptions!$E$174,0,H87)</f>
        <v>0</v>
      </c>
      <c r="E88" s="227" cm="1">
        <f t="array" ref="E88">IFERROR(INDEX(Model!$G$44:$EI$44,,MATCH('Debt Schedule'!B88,Model!$G$4:$EI$4,0)),0)</f>
        <v>0</v>
      </c>
      <c r="F88" s="227">
        <f>IF(AND(Assumptions!$G$34="Yes",'Debt Schedule'!B88&gt;Assumptions!$G$36),0,IF(B88&gt;Assumptions!$E$174,0,-IFERROR(PPMT($H$4/12,C88,$H$5*12,-$H$8),0)))</f>
        <v>0</v>
      </c>
      <c r="G88" s="227">
        <f>IF(AND(Assumptions!$G$34="yes",'Debt Schedule'!B88&gt;Assumptions!$G$36),0,IFERROR(IF(B88&gt;Assumptions!$E$174,0,IPMT($H$4/12,C88,$H$5*12,-$H$8)),$H$4/12*D88))</f>
        <v>0</v>
      </c>
      <c r="H88" s="227">
        <f t="shared" si="12"/>
        <v>0</v>
      </c>
      <c r="M88" s="226">
        <f t="shared" si="15"/>
        <v>109</v>
      </c>
      <c r="N88" s="224">
        <f t="shared" si="16"/>
        <v>76</v>
      </c>
      <c r="O88" s="227">
        <f>IF(M88&gt;Assumptions!$E$174,0,R87)</f>
        <v>0</v>
      </c>
      <c r="P88" s="227">
        <f>IF(M88&gt;Assumptions!$E$174,0,-PPMT($R$5/12,N88,$R$6*12,-$R$8))</f>
        <v>0</v>
      </c>
      <c r="Q88" s="227">
        <f>IF(M88&gt;Assumptions!$E$174,0,-IPMT($R$5/12,N88,$R$6*12,-$R$8))</f>
        <v>0</v>
      </c>
      <c r="R88" s="227">
        <f t="shared" si="18"/>
        <v>0</v>
      </c>
    </row>
    <row r="89" spans="2:18" x14ac:dyDescent="0.45">
      <c r="B89" s="226">
        <f t="shared" ref="B89:C89" si="24">+B88+1</f>
        <v>77</v>
      </c>
      <c r="C89" s="224">
        <f t="shared" si="24"/>
        <v>77</v>
      </c>
      <c r="D89" s="227">
        <f>IF(B89&gt;Assumptions!$E$174,0,H88)</f>
        <v>0</v>
      </c>
      <c r="E89" s="227" cm="1">
        <f t="array" ref="E89">IFERROR(INDEX(Model!$G$44:$EI$44,,MATCH('Debt Schedule'!B89,Model!$G$4:$EI$4,0)),0)</f>
        <v>0</v>
      </c>
      <c r="F89" s="227">
        <f>IF(AND(Assumptions!$G$34="Yes",'Debt Schedule'!B89&gt;Assumptions!$G$36),0,IF(B89&gt;Assumptions!$E$174,0,-IFERROR(PPMT($H$4/12,C89,$H$5*12,-$H$8),0)))</f>
        <v>0</v>
      </c>
      <c r="G89" s="227">
        <f>IF(AND(Assumptions!$G$34="yes",'Debt Schedule'!B89&gt;Assumptions!$G$36),0,IFERROR(IF(B89&gt;Assumptions!$E$174,0,IPMT($H$4/12,C89,$H$5*12,-$H$8)),$H$4/12*D89))</f>
        <v>0</v>
      </c>
      <c r="H89" s="227">
        <f t="shared" si="12"/>
        <v>0</v>
      </c>
      <c r="M89" s="226">
        <f t="shared" si="15"/>
        <v>110</v>
      </c>
      <c r="N89" s="224">
        <f t="shared" si="16"/>
        <v>77</v>
      </c>
      <c r="O89" s="227">
        <f>IF(M89&gt;Assumptions!$E$174,0,R88)</f>
        <v>0</v>
      </c>
      <c r="P89" s="227">
        <f>IF(M89&gt;Assumptions!$E$174,0,-PPMT($R$5/12,N89,$R$6*12,-$R$8))</f>
        <v>0</v>
      </c>
      <c r="Q89" s="227">
        <f>IF(M89&gt;Assumptions!$E$174,0,-IPMT($R$5/12,N89,$R$6*12,-$R$8))</f>
        <v>0</v>
      </c>
      <c r="R89" s="227">
        <f t="shared" si="18"/>
        <v>0</v>
      </c>
    </row>
    <row r="90" spans="2:18" x14ac:dyDescent="0.45">
      <c r="B90" s="226">
        <f t="shared" ref="B90:C90" si="25">+B89+1</f>
        <v>78</v>
      </c>
      <c r="C90" s="224">
        <f t="shared" si="25"/>
        <v>78</v>
      </c>
      <c r="D90" s="227">
        <f>IF(B90&gt;Assumptions!$E$174,0,H89)</f>
        <v>0</v>
      </c>
      <c r="E90" s="227" cm="1">
        <f t="array" ref="E90">IFERROR(INDEX(Model!$G$44:$EI$44,,MATCH('Debt Schedule'!B90,Model!$G$4:$EI$4,0)),0)</f>
        <v>0</v>
      </c>
      <c r="F90" s="227">
        <f>IF(AND(Assumptions!$G$34="Yes",'Debt Schedule'!B90&gt;Assumptions!$G$36),0,IF(B90&gt;Assumptions!$E$174,0,-IFERROR(PPMT($H$4/12,C90,$H$5*12,-$H$8),0)))</f>
        <v>0</v>
      </c>
      <c r="G90" s="227">
        <f>IF(AND(Assumptions!$G$34="yes",'Debt Schedule'!B90&gt;Assumptions!$G$36),0,IFERROR(IF(B90&gt;Assumptions!$E$174,0,IPMT($H$4/12,C90,$H$5*12,-$H$8)),$H$4/12*D90))</f>
        <v>0</v>
      </c>
      <c r="H90" s="227">
        <f t="shared" si="12"/>
        <v>0</v>
      </c>
      <c r="M90" s="226">
        <f t="shared" si="15"/>
        <v>111</v>
      </c>
      <c r="N90" s="224">
        <f t="shared" si="16"/>
        <v>78</v>
      </c>
      <c r="O90" s="227">
        <f>IF(M90&gt;Assumptions!$E$174,0,R89)</f>
        <v>0</v>
      </c>
      <c r="P90" s="227">
        <f>IF(M90&gt;Assumptions!$E$174,0,-PPMT($R$5/12,N90,$R$6*12,-$R$8))</f>
        <v>0</v>
      </c>
      <c r="Q90" s="227">
        <f>IF(M90&gt;Assumptions!$E$174,0,-IPMT($R$5/12,N90,$R$6*12,-$R$8))</f>
        <v>0</v>
      </c>
      <c r="R90" s="227">
        <f t="shared" si="18"/>
        <v>0</v>
      </c>
    </row>
    <row r="91" spans="2:18" x14ac:dyDescent="0.45">
      <c r="B91" s="226">
        <f t="shared" ref="B91:C91" si="26">+B90+1</f>
        <v>79</v>
      </c>
      <c r="C91" s="224">
        <f t="shared" si="26"/>
        <v>79</v>
      </c>
      <c r="D91" s="227">
        <f>IF(B91&gt;Assumptions!$E$174,0,H90)</f>
        <v>0</v>
      </c>
      <c r="E91" s="227" cm="1">
        <f t="array" ref="E91">IFERROR(INDEX(Model!$G$44:$EI$44,,MATCH('Debt Schedule'!B91,Model!$G$4:$EI$4,0)),0)</f>
        <v>0</v>
      </c>
      <c r="F91" s="227">
        <f>IF(AND(Assumptions!$G$34="Yes",'Debt Schedule'!B91&gt;Assumptions!$G$36),0,IF(B91&gt;Assumptions!$E$174,0,-IFERROR(PPMT($H$4/12,C91,$H$5*12,-$H$8),0)))</f>
        <v>0</v>
      </c>
      <c r="G91" s="227">
        <f>IF(AND(Assumptions!$G$34="yes",'Debt Schedule'!B91&gt;Assumptions!$G$36),0,IFERROR(IF(B91&gt;Assumptions!$E$174,0,IPMT($H$4/12,C91,$H$5*12,-$H$8)),$H$4/12*D91))</f>
        <v>0</v>
      </c>
      <c r="H91" s="227">
        <f t="shared" si="12"/>
        <v>0</v>
      </c>
      <c r="M91" s="226">
        <f t="shared" si="15"/>
        <v>112</v>
      </c>
      <c r="N91" s="224">
        <f t="shared" si="16"/>
        <v>79</v>
      </c>
      <c r="O91" s="227">
        <f>IF(M91&gt;Assumptions!$E$174,0,R90)</f>
        <v>0</v>
      </c>
      <c r="P91" s="227">
        <f>IF(M91&gt;Assumptions!$E$174,0,-PPMT($R$5/12,N91,$R$6*12,-$R$8))</f>
        <v>0</v>
      </c>
      <c r="Q91" s="227">
        <f>IF(M91&gt;Assumptions!$E$174,0,-IPMT($R$5/12,N91,$R$6*12,-$R$8))</f>
        <v>0</v>
      </c>
      <c r="R91" s="227">
        <f t="shared" si="18"/>
        <v>0</v>
      </c>
    </row>
    <row r="92" spans="2:18" x14ac:dyDescent="0.45">
      <c r="B92" s="226">
        <f t="shared" ref="B92:C92" si="27">+B91+1</f>
        <v>80</v>
      </c>
      <c r="C92" s="224">
        <f t="shared" si="27"/>
        <v>80</v>
      </c>
      <c r="D92" s="227">
        <f>IF(B92&gt;Assumptions!$E$174,0,H91)</f>
        <v>0</v>
      </c>
      <c r="E92" s="227" cm="1">
        <f t="array" ref="E92">IFERROR(INDEX(Model!$G$44:$EI$44,,MATCH('Debt Schedule'!B92,Model!$G$4:$EI$4,0)),0)</f>
        <v>0</v>
      </c>
      <c r="F92" s="227">
        <f>IF(AND(Assumptions!$G$34="Yes",'Debt Schedule'!B92&gt;Assumptions!$G$36),0,IF(B92&gt;Assumptions!$E$174,0,-IFERROR(PPMT($H$4/12,C92,$H$5*12,-$H$8),0)))</f>
        <v>0</v>
      </c>
      <c r="G92" s="227">
        <f>IF(AND(Assumptions!$G$34="yes",'Debt Schedule'!B92&gt;Assumptions!$G$36),0,IFERROR(IF(B92&gt;Assumptions!$E$174,0,IPMT($H$4/12,C92,$H$5*12,-$H$8)),$H$4/12*D92))</f>
        <v>0</v>
      </c>
      <c r="H92" s="227">
        <f t="shared" si="12"/>
        <v>0</v>
      </c>
      <c r="M92" s="226">
        <f t="shared" si="15"/>
        <v>113</v>
      </c>
      <c r="N92" s="224">
        <f t="shared" si="16"/>
        <v>80</v>
      </c>
      <c r="O92" s="227">
        <f>IF(M92&gt;Assumptions!$E$174,0,R91)</f>
        <v>0</v>
      </c>
      <c r="P92" s="227">
        <f>IF(M92&gt;Assumptions!$E$174,0,-PPMT($R$5/12,N92,$R$6*12,-$R$8))</f>
        <v>0</v>
      </c>
      <c r="Q92" s="227">
        <f>IF(M92&gt;Assumptions!$E$174,0,-IPMT($R$5/12,N92,$R$6*12,-$R$8))</f>
        <v>0</v>
      </c>
      <c r="R92" s="227">
        <f t="shared" si="18"/>
        <v>0</v>
      </c>
    </row>
    <row r="93" spans="2:18" x14ac:dyDescent="0.45">
      <c r="B93" s="226">
        <f t="shared" ref="B93:C93" si="28">+B92+1</f>
        <v>81</v>
      </c>
      <c r="C93" s="224">
        <f t="shared" si="28"/>
        <v>81</v>
      </c>
      <c r="D93" s="227">
        <f>IF(B93&gt;Assumptions!$E$174,0,H92)</f>
        <v>0</v>
      </c>
      <c r="E93" s="227" cm="1">
        <f t="array" ref="E93">IFERROR(INDEX(Model!$G$44:$EI$44,,MATCH('Debt Schedule'!B93,Model!$G$4:$EI$4,0)),0)</f>
        <v>0</v>
      </c>
      <c r="F93" s="227">
        <f>IF(AND(Assumptions!$G$34="Yes",'Debt Schedule'!B93&gt;Assumptions!$G$36),0,IF(B93&gt;Assumptions!$E$174,0,-IFERROR(PPMT($H$4/12,C93,$H$5*12,-$H$8),0)))</f>
        <v>0</v>
      </c>
      <c r="G93" s="227">
        <f>IF(AND(Assumptions!$G$34="yes",'Debt Schedule'!B93&gt;Assumptions!$G$36),0,IFERROR(IF(B93&gt;Assumptions!$E$174,0,IPMT($H$4/12,C93,$H$5*12,-$H$8)),$H$4/12*D93))</f>
        <v>0</v>
      </c>
      <c r="H93" s="227">
        <f t="shared" si="12"/>
        <v>0</v>
      </c>
      <c r="M93" s="226">
        <f t="shared" si="15"/>
        <v>114</v>
      </c>
      <c r="N93" s="224">
        <f t="shared" si="16"/>
        <v>81</v>
      </c>
      <c r="O93" s="227">
        <f>IF(M93&gt;Assumptions!$E$174,0,R92)</f>
        <v>0</v>
      </c>
      <c r="P93" s="227">
        <f>IF(M93&gt;Assumptions!$E$174,0,-PPMT($R$5/12,N93,$R$6*12,-$R$8))</f>
        <v>0</v>
      </c>
      <c r="Q93" s="227">
        <f>IF(M93&gt;Assumptions!$E$174,0,-IPMT($R$5/12,N93,$R$6*12,-$R$8))</f>
        <v>0</v>
      </c>
      <c r="R93" s="227">
        <f t="shared" si="18"/>
        <v>0</v>
      </c>
    </row>
    <row r="94" spans="2:18" x14ac:dyDescent="0.45">
      <c r="B94" s="226">
        <f t="shared" ref="B94:C94" si="29">+B93+1</f>
        <v>82</v>
      </c>
      <c r="C94" s="224">
        <f t="shared" si="29"/>
        <v>82</v>
      </c>
      <c r="D94" s="227">
        <f>IF(B94&gt;Assumptions!$E$174,0,H93)</f>
        <v>0</v>
      </c>
      <c r="E94" s="227" cm="1">
        <f t="array" ref="E94">IFERROR(INDEX(Model!$G$44:$EI$44,,MATCH('Debt Schedule'!B94,Model!$G$4:$EI$4,0)),0)</f>
        <v>0</v>
      </c>
      <c r="F94" s="227">
        <f>IF(AND(Assumptions!$G$34="Yes",'Debt Schedule'!B94&gt;Assumptions!$G$36),0,IF(B94&gt;Assumptions!$E$174,0,-IFERROR(PPMT($H$4/12,C94,$H$5*12,-$H$8),0)))</f>
        <v>0</v>
      </c>
      <c r="G94" s="227">
        <f>IF(AND(Assumptions!$G$34="yes",'Debt Schedule'!B94&gt;Assumptions!$G$36),0,IFERROR(IF(B94&gt;Assumptions!$E$174,0,IPMT($H$4/12,C94,$H$5*12,-$H$8)),$H$4/12*D94))</f>
        <v>0</v>
      </c>
      <c r="H94" s="227">
        <f t="shared" si="12"/>
        <v>0</v>
      </c>
      <c r="M94" s="226">
        <f t="shared" si="15"/>
        <v>115</v>
      </c>
      <c r="N94" s="224">
        <f t="shared" si="16"/>
        <v>82</v>
      </c>
      <c r="O94" s="227">
        <f>IF(M94&gt;Assumptions!$E$174,0,R93)</f>
        <v>0</v>
      </c>
      <c r="P94" s="227">
        <f>IF(M94&gt;Assumptions!$E$174,0,-PPMT($R$5/12,N94,$R$6*12,-$R$8))</f>
        <v>0</v>
      </c>
      <c r="Q94" s="227">
        <f>IF(M94&gt;Assumptions!$E$174,0,-IPMT($R$5/12,N94,$R$6*12,-$R$8))</f>
        <v>0</v>
      </c>
      <c r="R94" s="227">
        <f t="shared" si="18"/>
        <v>0</v>
      </c>
    </row>
    <row r="95" spans="2:18" x14ac:dyDescent="0.45">
      <c r="B95" s="226">
        <f t="shared" ref="B95:C95" si="30">+B94+1</f>
        <v>83</v>
      </c>
      <c r="C95" s="224">
        <f t="shared" si="30"/>
        <v>83</v>
      </c>
      <c r="D95" s="227">
        <f>IF(B95&gt;Assumptions!$E$174,0,H94)</f>
        <v>0</v>
      </c>
      <c r="E95" s="227" cm="1">
        <f t="array" ref="E95">IFERROR(INDEX(Model!$G$44:$EI$44,,MATCH('Debt Schedule'!B95,Model!$G$4:$EI$4,0)),0)</f>
        <v>0</v>
      </c>
      <c r="F95" s="227">
        <f>IF(AND(Assumptions!$G$34="Yes",'Debt Schedule'!B95&gt;Assumptions!$G$36),0,IF(B95&gt;Assumptions!$E$174,0,-IFERROR(PPMT($H$4/12,C95,$H$5*12,-$H$8),0)))</f>
        <v>0</v>
      </c>
      <c r="G95" s="227">
        <f>IF(AND(Assumptions!$G$34="yes",'Debt Schedule'!B95&gt;Assumptions!$G$36),0,IFERROR(IF(B95&gt;Assumptions!$E$174,0,IPMT($H$4/12,C95,$H$5*12,-$H$8)),$H$4/12*D95))</f>
        <v>0</v>
      </c>
      <c r="H95" s="227">
        <f t="shared" si="12"/>
        <v>0</v>
      </c>
      <c r="M95" s="226">
        <f t="shared" si="15"/>
        <v>116</v>
      </c>
      <c r="N95" s="224">
        <f t="shared" si="16"/>
        <v>83</v>
      </c>
      <c r="O95" s="227">
        <f>IF(M95&gt;Assumptions!$E$174,0,R94)</f>
        <v>0</v>
      </c>
      <c r="P95" s="227">
        <f>IF(M95&gt;Assumptions!$E$174,0,-PPMT($R$5/12,N95,$R$6*12,-$R$8))</f>
        <v>0</v>
      </c>
      <c r="Q95" s="227">
        <f>IF(M95&gt;Assumptions!$E$174,0,-IPMT($R$5/12,N95,$R$6*12,-$R$8))</f>
        <v>0</v>
      </c>
      <c r="R95" s="227">
        <f t="shared" si="18"/>
        <v>0</v>
      </c>
    </row>
    <row r="96" spans="2:18" x14ac:dyDescent="0.45">
      <c r="B96" s="226">
        <f t="shared" ref="B96:C96" si="31">+B95+1</f>
        <v>84</v>
      </c>
      <c r="C96" s="224">
        <f t="shared" si="31"/>
        <v>84</v>
      </c>
      <c r="D96" s="227">
        <f>IF(B96&gt;Assumptions!$E$174,0,H95)</f>
        <v>0</v>
      </c>
      <c r="E96" s="227" cm="1">
        <f t="array" ref="E96">IFERROR(INDEX(Model!$G$44:$EI$44,,MATCH('Debt Schedule'!B96,Model!$G$4:$EI$4,0)),0)</f>
        <v>0</v>
      </c>
      <c r="F96" s="227">
        <f>IF(AND(Assumptions!$G$34="Yes",'Debt Schedule'!B96&gt;Assumptions!$G$36),0,IF(B96&gt;Assumptions!$E$174,0,-IFERROR(PPMT($H$4/12,C96,$H$5*12,-$H$8),0)))</f>
        <v>0</v>
      </c>
      <c r="G96" s="227">
        <f>IF(AND(Assumptions!$G$34="yes",'Debt Schedule'!B96&gt;Assumptions!$G$36),0,IFERROR(IF(B96&gt;Assumptions!$E$174,0,IPMT($H$4/12,C96,$H$5*12,-$H$8)),$H$4/12*D96))</f>
        <v>0</v>
      </c>
      <c r="H96" s="227">
        <f t="shared" si="12"/>
        <v>0</v>
      </c>
      <c r="M96" s="226">
        <f t="shared" si="15"/>
        <v>117</v>
      </c>
      <c r="N96" s="224">
        <f t="shared" si="16"/>
        <v>84</v>
      </c>
      <c r="O96" s="227">
        <f>IF(M96&gt;Assumptions!$E$174,0,R95)</f>
        <v>0</v>
      </c>
      <c r="P96" s="227">
        <f>IF(M96&gt;Assumptions!$E$174,0,-PPMT($R$5/12,N96,$R$6*12,-$R$8))</f>
        <v>0</v>
      </c>
      <c r="Q96" s="227">
        <f>IF(M96&gt;Assumptions!$E$174,0,-IPMT($R$5/12,N96,$R$6*12,-$R$8))</f>
        <v>0</v>
      </c>
      <c r="R96" s="227">
        <f t="shared" si="18"/>
        <v>0</v>
      </c>
    </row>
    <row r="97" spans="2:18" x14ac:dyDescent="0.45">
      <c r="B97" s="226">
        <f t="shared" ref="B97:C97" si="32">+B96+1</f>
        <v>85</v>
      </c>
      <c r="C97" s="224">
        <f t="shared" si="32"/>
        <v>85</v>
      </c>
      <c r="D97" s="227">
        <f>IF(B97&gt;Assumptions!$E$174,0,H96)</f>
        <v>0</v>
      </c>
      <c r="E97" s="227" cm="1">
        <f t="array" ref="E97">IFERROR(INDEX(Model!$G$44:$EI$44,,MATCH('Debt Schedule'!B97,Model!$G$4:$EI$4,0)),0)</f>
        <v>0</v>
      </c>
      <c r="F97" s="227">
        <f>IF(AND(Assumptions!$G$34="Yes",'Debt Schedule'!B97&gt;Assumptions!$G$36),0,IF(B97&gt;Assumptions!$E$174,0,-IFERROR(PPMT($H$4/12,C97,$H$5*12,-$H$8),0)))</f>
        <v>0</v>
      </c>
      <c r="G97" s="227">
        <f>IF(AND(Assumptions!$G$34="yes",'Debt Schedule'!B97&gt;Assumptions!$G$36),0,IFERROR(IF(B97&gt;Assumptions!$E$174,0,IPMT($H$4/12,C97,$H$5*12,-$H$8)),$H$4/12*D97))</f>
        <v>0</v>
      </c>
      <c r="H97" s="227">
        <f t="shared" si="12"/>
        <v>0</v>
      </c>
      <c r="M97" s="226">
        <f t="shared" si="15"/>
        <v>118</v>
      </c>
      <c r="N97" s="224">
        <f t="shared" si="16"/>
        <v>85</v>
      </c>
      <c r="O97" s="227">
        <f>IF(M97&gt;Assumptions!$E$174,0,R96)</f>
        <v>0</v>
      </c>
      <c r="P97" s="227">
        <f>IF(M97&gt;Assumptions!$E$174,0,-PPMT($R$5/12,N97,$R$6*12,-$R$8))</f>
        <v>0</v>
      </c>
      <c r="Q97" s="227">
        <f>IF(M97&gt;Assumptions!$E$174,0,-IPMT($R$5/12,N97,$R$6*12,-$R$8))</f>
        <v>0</v>
      </c>
      <c r="R97" s="227">
        <f t="shared" si="18"/>
        <v>0</v>
      </c>
    </row>
    <row r="98" spans="2:18" x14ac:dyDescent="0.45">
      <c r="B98" s="226">
        <f t="shared" ref="B98:C98" si="33">+B97+1</f>
        <v>86</v>
      </c>
      <c r="C98" s="224">
        <f t="shared" si="33"/>
        <v>86</v>
      </c>
      <c r="D98" s="227">
        <f>IF(B98&gt;Assumptions!$E$174,0,H97)</f>
        <v>0</v>
      </c>
      <c r="E98" s="227" cm="1">
        <f t="array" ref="E98">IFERROR(INDEX(Model!$G$44:$EI$44,,MATCH('Debt Schedule'!B98,Model!$G$4:$EI$4,0)),0)</f>
        <v>0</v>
      </c>
      <c r="F98" s="227">
        <f>IF(AND(Assumptions!$G$34="Yes",'Debt Schedule'!B98&gt;Assumptions!$G$36),0,IF(B98&gt;Assumptions!$E$174,0,-IFERROR(PPMT($H$4/12,C98,$H$5*12,-$H$8),0)))</f>
        <v>0</v>
      </c>
      <c r="G98" s="227">
        <f>IF(AND(Assumptions!$G$34="yes",'Debt Schedule'!B98&gt;Assumptions!$G$36),0,IFERROR(IF(B98&gt;Assumptions!$E$174,0,IPMT($H$4/12,C98,$H$5*12,-$H$8)),$H$4/12*D98))</f>
        <v>0</v>
      </c>
      <c r="H98" s="227">
        <f t="shared" si="12"/>
        <v>0</v>
      </c>
      <c r="M98" s="226">
        <f t="shared" si="15"/>
        <v>119</v>
      </c>
      <c r="N98" s="224">
        <f t="shared" si="16"/>
        <v>86</v>
      </c>
      <c r="O98" s="227">
        <f>IF(M98&gt;Assumptions!$E$174,0,R97)</f>
        <v>0</v>
      </c>
      <c r="P98" s="227">
        <f>IF(M98&gt;Assumptions!$E$174,0,-PPMT($R$5/12,N98,$R$6*12,-$R$8))</f>
        <v>0</v>
      </c>
      <c r="Q98" s="227">
        <f>IF(M98&gt;Assumptions!$E$174,0,-IPMT($R$5/12,N98,$R$6*12,-$R$8))</f>
        <v>0</v>
      </c>
      <c r="R98" s="227">
        <f t="shared" si="18"/>
        <v>0</v>
      </c>
    </row>
    <row r="99" spans="2:18" x14ac:dyDescent="0.45">
      <c r="B99" s="226">
        <f t="shared" ref="B99:C99" si="34">+B98+1</f>
        <v>87</v>
      </c>
      <c r="C99" s="224">
        <f t="shared" si="34"/>
        <v>87</v>
      </c>
      <c r="D99" s="227">
        <f>IF(B99&gt;Assumptions!$E$174,0,H98)</f>
        <v>0</v>
      </c>
      <c r="E99" s="227" cm="1">
        <f t="array" ref="E99">IFERROR(INDEX(Model!$G$44:$EI$44,,MATCH('Debt Schedule'!B99,Model!$G$4:$EI$4,0)),0)</f>
        <v>0</v>
      </c>
      <c r="F99" s="227">
        <f>IF(AND(Assumptions!$G$34="Yes",'Debt Schedule'!B99&gt;Assumptions!$G$36),0,IF(B99&gt;Assumptions!$E$174,0,-IFERROR(PPMT($H$4/12,C99,$H$5*12,-$H$8),0)))</f>
        <v>0</v>
      </c>
      <c r="G99" s="227">
        <f>IF(AND(Assumptions!$G$34="yes",'Debt Schedule'!B99&gt;Assumptions!$G$36),0,IFERROR(IF(B99&gt;Assumptions!$E$174,0,IPMT($H$4/12,C99,$H$5*12,-$H$8)),$H$4/12*D99))</f>
        <v>0</v>
      </c>
      <c r="H99" s="227">
        <f t="shared" si="12"/>
        <v>0</v>
      </c>
      <c r="M99" s="226">
        <f t="shared" si="15"/>
        <v>120</v>
      </c>
      <c r="N99" s="224">
        <f t="shared" si="16"/>
        <v>87</v>
      </c>
      <c r="O99" s="227">
        <f>IF(M99&gt;Assumptions!$E$174,0,R98)</f>
        <v>0</v>
      </c>
      <c r="P99" s="227">
        <f>IF(M99&gt;Assumptions!$E$174,0,-PPMT($R$5/12,N99,$R$6*12,-$R$8))</f>
        <v>0</v>
      </c>
      <c r="Q99" s="227">
        <f>IF(M99&gt;Assumptions!$E$174,0,-IPMT($R$5/12,N99,$R$6*12,-$R$8))</f>
        <v>0</v>
      </c>
      <c r="R99" s="227">
        <f t="shared" si="18"/>
        <v>0</v>
      </c>
    </row>
    <row r="100" spans="2:18" x14ac:dyDescent="0.45">
      <c r="B100" s="226">
        <f t="shared" ref="B100:C100" si="35">+B99+1</f>
        <v>88</v>
      </c>
      <c r="C100" s="224">
        <f t="shared" si="35"/>
        <v>88</v>
      </c>
      <c r="D100" s="227">
        <f>IF(B100&gt;Assumptions!$E$174,0,H99)</f>
        <v>0</v>
      </c>
      <c r="E100" s="227" cm="1">
        <f t="array" ref="E100">IFERROR(INDEX(Model!$G$44:$EI$44,,MATCH('Debt Schedule'!B100,Model!$G$4:$EI$4,0)),0)</f>
        <v>0</v>
      </c>
      <c r="F100" s="227">
        <f>IF(AND(Assumptions!$G$34="Yes",'Debt Schedule'!B100&gt;Assumptions!$G$36),0,IF(B100&gt;Assumptions!$E$174,0,-IFERROR(PPMT($H$4/12,C100,$H$5*12,-$H$8),0)))</f>
        <v>0</v>
      </c>
      <c r="G100" s="227">
        <f>IF(AND(Assumptions!$G$34="yes",'Debt Schedule'!B100&gt;Assumptions!$G$36),0,IFERROR(IF(B100&gt;Assumptions!$E$174,0,IPMT($H$4/12,C100,$H$5*12,-$H$8)),$H$4/12*D100))</f>
        <v>0</v>
      </c>
      <c r="H100" s="227">
        <f t="shared" si="12"/>
        <v>0</v>
      </c>
      <c r="M100" s="226">
        <f t="shared" si="15"/>
        <v>121</v>
      </c>
      <c r="N100" s="224">
        <f t="shared" si="16"/>
        <v>88</v>
      </c>
      <c r="O100" s="227">
        <f>IF(M100&gt;Assumptions!$E$174,0,R99)</f>
        <v>0</v>
      </c>
      <c r="P100" s="227">
        <f>IF(M100&gt;Assumptions!$E$174,0,-PPMT($R$5/12,N100,$R$6*12,-$R$8))</f>
        <v>0</v>
      </c>
      <c r="Q100" s="227">
        <f>IF(M100&gt;Assumptions!$E$174,0,-IPMT($R$5/12,N100,$R$6*12,-$R$8))</f>
        <v>0</v>
      </c>
      <c r="R100" s="227">
        <f t="shared" si="18"/>
        <v>0</v>
      </c>
    </row>
    <row r="101" spans="2:18" x14ac:dyDescent="0.45">
      <c r="B101" s="226">
        <f t="shared" ref="B101:C101" si="36">+B100+1</f>
        <v>89</v>
      </c>
      <c r="C101" s="224">
        <f t="shared" si="36"/>
        <v>89</v>
      </c>
      <c r="D101" s="227">
        <f>IF(B101&gt;Assumptions!$E$174,0,H100)</f>
        <v>0</v>
      </c>
      <c r="E101" s="227" cm="1">
        <f t="array" ref="E101">IFERROR(INDEX(Model!$G$44:$EI$44,,MATCH('Debt Schedule'!B101,Model!$G$4:$EI$4,0)),0)</f>
        <v>0</v>
      </c>
      <c r="F101" s="227">
        <f>IF(AND(Assumptions!$G$34="Yes",'Debt Schedule'!B101&gt;Assumptions!$G$36),0,IF(B101&gt;Assumptions!$E$174,0,-IFERROR(PPMT($H$4/12,C101,$H$5*12,-$H$8),0)))</f>
        <v>0</v>
      </c>
      <c r="G101" s="227">
        <f>IF(AND(Assumptions!$G$34="yes",'Debt Schedule'!B101&gt;Assumptions!$G$36),0,IFERROR(IF(B101&gt;Assumptions!$E$174,0,IPMT($H$4/12,C101,$H$5*12,-$H$8)),$H$4/12*D101))</f>
        <v>0</v>
      </c>
      <c r="H101" s="227">
        <f t="shared" si="12"/>
        <v>0</v>
      </c>
      <c r="M101" s="226">
        <f t="shared" si="15"/>
        <v>122</v>
      </c>
      <c r="N101" s="224">
        <f t="shared" si="16"/>
        <v>89</v>
      </c>
      <c r="O101" s="227">
        <f>IF(M101&gt;Assumptions!$E$174,0,R100)</f>
        <v>0</v>
      </c>
      <c r="P101" s="227">
        <f>IF(M101&gt;Assumptions!$E$174,0,-PPMT($R$5/12,N101,$R$6*12,-$R$8))</f>
        <v>0</v>
      </c>
      <c r="Q101" s="227">
        <f>IF(M101&gt;Assumptions!$E$174,0,-IPMT($R$5/12,N101,$R$6*12,-$R$8))</f>
        <v>0</v>
      </c>
      <c r="R101" s="227">
        <f t="shared" si="18"/>
        <v>0</v>
      </c>
    </row>
    <row r="102" spans="2:18" x14ac:dyDescent="0.45">
      <c r="B102" s="226">
        <f t="shared" ref="B102:C102" si="37">+B101+1</f>
        <v>90</v>
      </c>
      <c r="C102" s="224">
        <f t="shared" si="37"/>
        <v>90</v>
      </c>
      <c r="D102" s="227">
        <f>IF(B102&gt;Assumptions!$E$174,0,H101)</f>
        <v>0</v>
      </c>
      <c r="E102" s="227" cm="1">
        <f t="array" ref="E102">IFERROR(INDEX(Model!$G$44:$EI$44,,MATCH('Debt Schedule'!B102,Model!$G$4:$EI$4,0)),0)</f>
        <v>0</v>
      </c>
      <c r="F102" s="227">
        <f>IF(AND(Assumptions!$G$34="Yes",'Debt Schedule'!B102&gt;Assumptions!$G$36),0,IF(B102&gt;Assumptions!$E$174,0,-IFERROR(PPMT($H$4/12,C102,$H$5*12,-$H$8),0)))</f>
        <v>0</v>
      </c>
      <c r="G102" s="227">
        <f>IF(AND(Assumptions!$G$34="yes",'Debt Schedule'!B102&gt;Assumptions!$G$36),0,IFERROR(IF(B102&gt;Assumptions!$E$174,0,IPMT($H$4/12,C102,$H$5*12,-$H$8)),$H$4/12*D102))</f>
        <v>0</v>
      </c>
      <c r="H102" s="227">
        <f t="shared" si="12"/>
        <v>0</v>
      </c>
      <c r="M102" s="226">
        <f t="shared" si="15"/>
        <v>123</v>
      </c>
      <c r="N102" s="224">
        <f t="shared" si="16"/>
        <v>90</v>
      </c>
      <c r="O102" s="227">
        <f>IF(M102&gt;Assumptions!$E$174,0,R101)</f>
        <v>0</v>
      </c>
      <c r="P102" s="227">
        <f>IF(M102&gt;Assumptions!$E$174,0,-PPMT($R$5/12,N102,$R$6*12,-$R$8))</f>
        <v>0</v>
      </c>
      <c r="Q102" s="227">
        <f>IF(M102&gt;Assumptions!$E$174,0,-IPMT($R$5/12,N102,$R$6*12,-$R$8))</f>
        <v>0</v>
      </c>
      <c r="R102" s="227">
        <f t="shared" si="18"/>
        <v>0</v>
      </c>
    </row>
    <row r="103" spans="2:18" x14ac:dyDescent="0.45">
      <c r="B103" s="226">
        <f t="shared" ref="B103:C103" si="38">+B102+1</f>
        <v>91</v>
      </c>
      <c r="C103" s="224">
        <f t="shared" si="38"/>
        <v>91</v>
      </c>
      <c r="D103" s="227">
        <f>IF(B103&gt;Assumptions!$E$174,0,H102)</f>
        <v>0</v>
      </c>
      <c r="E103" s="227" cm="1">
        <f t="array" ref="E103">IFERROR(INDEX(Model!$G$44:$EI$44,,MATCH('Debt Schedule'!B103,Model!$G$4:$EI$4,0)),0)</f>
        <v>0</v>
      </c>
      <c r="F103" s="227">
        <f>IF(AND(Assumptions!$G$34="Yes",'Debt Schedule'!B103&gt;Assumptions!$G$36),0,IF(B103&gt;Assumptions!$E$174,0,-IFERROR(PPMT($H$4/12,C103,$H$5*12,-$H$8),0)))</f>
        <v>0</v>
      </c>
      <c r="G103" s="227">
        <f>IF(AND(Assumptions!$G$34="yes",'Debt Schedule'!B103&gt;Assumptions!$G$36),0,IFERROR(IF(B103&gt;Assumptions!$E$174,0,IPMT($H$4/12,C103,$H$5*12,-$H$8)),$H$4/12*D103))</f>
        <v>0</v>
      </c>
      <c r="H103" s="227">
        <f t="shared" si="12"/>
        <v>0</v>
      </c>
      <c r="M103" s="226">
        <f t="shared" si="15"/>
        <v>124</v>
      </c>
      <c r="N103" s="224">
        <f t="shared" si="16"/>
        <v>91</v>
      </c>
      <c r="O103" s="227">
        <f>IF(M103&gt;Assumptions!$E$174,0,R102)</f>
        <v>0</v>
      </c>
      <c r="P103" s="227">
        <f>IF(M103&gt;Assumptions!$E$174,0,-PPMT($R$5/12,N103,$R$6*12,-$R$8))</f>
        <v>0</v>
      </c>
      <c r="Q103" s="227">
        <f>IF(M103&gt;Assumptions!$E$174,0,-IPMT($R$5/12,N103,$R$6*12,-$R$8))</f>
        <v>0</v>
      </c>
      <c r="R103" s="227">
        <f t="shared" si="18"/>
        <v>0</v>
      </c>
    </row>
    <row r="104" spans="2:18" x14ac:dyDescent="0.45">
      <c r="B104" s="226">
        <f t="shared" ref="B104:C104" si="39">+B103+1</f>
        <v>92</v>
      </c>
      <c r="C104" s="224">
        <f t="shared" si="39"/>
        <v>92</v>
      </c>
      <c r="D104" s="227">
        <f>IF(B104&gt;Assumptions!$E$174,0,H103)</f>
        <v>0</v>
      </c>
      <c r="E104" s="227" cm="1">
        <f t="array" ref="E104">IFERROR(INDEX(Model!$G$44:$EI$44,,MATCH('Debt Schedule'!B104,Model!$G$4:$EI$4,0)),0)</f>
        <v>0</v>
      </c>
      <c r="F104" s="227">
        <f>IF(AND(Assumptions!$G$34="Yes",'Debt Schedule'!B104&gt;Assumptions!$G$36),0,IF(B104&gt;Assumptions!$E$174,0,-IFERROR(PPMT($H$4/12,C104,$H$5*12,-$H$8),0)))</f>
        <v>0</v>
      </c>
      <c r="G104" s="227">
        <f>IF(AND(Assumptions!$G$34="yes",'Debt Schedule'!B104&gt;Assumptions!$G$36),0,IFERROR(IF(B104&gt;Assumptions!$E$174,0,IPMT($H$4/12,C104,$H$5*12,-$H$8)),$H$4/12*D104))</f>
        <v>0</v>
      </c>
      <c r="H104" s="227">
        <f t="shared" si="12"/>
        <v>0</v>
      </c>
      <c r="M104" s="226">
        <f t="shared" si="15"/>
        <v>125</v>
      </c>
      <c r="N104" s="224">
        <f t="shared" si="16"/>
        <v>92</v>
      </c>
      <c r="O104" s="227">
        <f>IF(M104&gt;Assumptions!$E$174,0,R103)</f>
        <v>0</v>
      </c>
      <c r="P104" s="227">
        <f>IF(M104&gt;Assumptions!$E$174,0,-PPMT($R$5/12,N104,$R$6*12,-$R$8))</f>
        <v>0</v>
      </c>
      <c r="Q104" s="227">
        <f>IF(M104&gt;Assumptions!$E$174,0,-IPMT($R$5/12,N104,$R$6*12,-$R$8))</f>
        <v>0</v>
      </c>
      <c r="R104" s="227">
        <f t="shared" si="18"/>
        <v>0</v>
      </c>
    </row>
    <row r="105" spans="2:18" x14ac:dyDescent="0.45">
      <c r="B105" s="226">
        <f t="shared" ref="B105:C105" si="40">+B104+1</f>
        <v>93</v>
      </c>
      <c r="C105" s="224">
        <f t="shared" si="40"/>
        <v>93</v>
      </c>
      <c r="D105" s="227">
        <f>IF(B105&gt;Assumptions!$E$174,0,H104)</f>
        <v>0</v>
      </c>
      <c r="E105" s="227" cm="1">
        <f t="array" ref="E105">IFERROR(INDEX(Model!$G$44:$EI$44,,MATCH('Debt Schedule'!B105,Model!$G$4:$EI$4,0)),0)</f>
        <v>0</v>
      </c>
      <c r="F105" s="227">
        <f>IF(AND(Assumptions!$G$34="Yes",'Debt Schedule'!B105&gt;Assumptions!$G$36),0,IF(B105&gt;Assumptions!$E$174,0,-IFERROR(PPMT($H$4/12,C105,$H$5*12,-$H$8),0)))</f>
        <v>0</v>
      </c>
      <c r="G105" s="227">
        <f>IF(AND(Assumptions!$G$34="yes",'Debt Schedule'!B105&gt;Assumptions!$G$36),0,IFERROR(IF(B105&gt;Assumptions!$E$174,0,IPMT($H$4/12,C105,$H$5*12,-$H$8)),$H$4/12*D105))</f>
        <v>0</v>
      </c>
      <c r="H105" s="227">
        <f t="shared" si="12"/>
        <v>0</v>
      </c>
      <c r="M105" s="226">
        <f t="shared" si="15"/>
        <v>126</v>
      </c>
      <c r="N105" s="224">
        <f t="shared" si="16"/>
        <v>93</v>
      </c>
      <c r="O105" s="227">
        <f>IF(M105&gt;Assumptions!$E$174,0,R104)</f>
        <v>0</v>
      </c>
      <c r="P105" s="227">
        <f>IF(M105&gt;Assumptions!$E$174,0,-PPMT($R$5/12,N105,$R$6*12,-$R$8))</f>
        <v>0</v>
      </c>
      <c r="Q105" s="227">
        <f>IF(M105&gt;Assumptions!$E$174,0,-IPMT($R$5/12,N105,$R$6*12,-$R$8))</f>
        <v>0</v>
      </c>
      <c r="R105" s="227">
        <f t="shared" si="18"/>
        <v>0</v>
      </c>
    </row>
    <row r="106" spans="2:18" x14ac:dyDescent="0.45">
      <c r="B106" s="226">
        <f t="shared" ref="B106:C106" si="41">+B105+1</f>
        <v>94</v>
      </c>
      <c r="C106" s="224">
        <f t="shared" si="41"/>
        <v>94</v>
      </c>
      <c r="D106" s="227">
        <f>IF(B106&gt;Assumptions!$E$174,0,H105)</f>
        <v>0</v>
      </c>
      <c r="E106" s="227" cm="1">
        <f t="array" ref="E106">IFERROR(INDEX(Model!$G$44:$EI$44,,MATCH('Debt Schedule'!B106,Model!$G$4:$EI$4,0)),0)</f>
        <v>0</v>
      </c>
      <c r="F106" s="227">
        <f>IF(AND(Assumptions!$G$34="Yes",'Debt Schedule'!B106&gt;Assumptions!$G$36),0,IF(B106&gt;Assumptions!$E$174,0,-IFERROR(PPMT($H$4/12,C106,$H$5*12,-$H$8),0)))</f>
        <v>0</v>
      </c>
      <c r="G106" s="227">
        <f>IF(AND(Assumptions!$G$34="yes",'Debt Schedule'!B106&gt;Assumptions!$G$36),0,IFERROR(IF(B106&gt;Assumptions!$E$174,0,IPMT($H$4/12,C106,$H$5*12,-$H$8)),$H$4/12*D106))</f>
        <v>0</v>
      </c>
      <c r="H106" s="227">
        <f t="shared" si="12"/>
        <v>0</v>
      </c>
      <c r="M106" s="226">
        <f t="shared" si="15"/>
        <v>127</v>
      </c>
      <c r="N106" s="224">
        <f t="shared" si="16"/>
        <v>94</v>
      </c>
      <c r="O106" s="227">
        <f>IF(M106&gt;Assumptions!$E$174,0,R105)</f>
        <v>0</v>
      </c>
      <c r="P106" s="227">
        <f>IF(M106&gt;Assumptions!$E$174,0,-PPMT($R$5/12,N106,$R$6*12,-$R$8))</f>
        <v>0</v>
      </c>
      <c r="Q106" s="227">
        <f>IF(M106&gt;Assumptions!$E$174,0,-IPMT($R$5/12,N106,$R$6*12,-$R$8))</f>
        <v>0</v>
      </c>
      <c r="R106" s="227">
        <f t="shared" si="18"/>
        <v>0</v>
      </c>
    </row>
    <row r="107" spans="2:18" x14ac:dyDescent="0.45">
      <c r="B107" s="226">
        <f t="shared" ref="B107:C107" si="42">+B106+1</f>
        <v>95</v>
      </c>
      <c r="C107" s="224">
        <f t="shared" si="42"/>
        <v>95</v>
      </c>
      <c r="D107" s="227">
        <f>IF(B107&gt;Assumptions!$E$174,0,H106)</f>
        <v>0</v>
      </c>
      <c r="E107" s="227" cm="1">
        <f t="array" ref="E107">IFERROR(INDEX(Model!$G$44:$EI$44,,MATCH('Debt Schedule'!B107,Model!$G$4:$EI$4,0)),0)</f>
        <v>0</v>
      </c>
      <c r="F107" s="227">
        <f>IF(AND(Assumptions!$G$34="Yes",'Debt Schedule'!B107&gt;Assumptions!$G$36),0,IF(B107&gt;Assumptions!$E$174,0,-IFERROR(PPMT($H$4/12,C107,$H$5*12,-$H$8),0)))</f>
        <v>0</v>
      </c>
      <c r="G107" s="227">
        <f>IF(AND(Assumptions!$G$34="yes",'Debt Schedule'!B107&gt;Assumptions!$G$36),0,IFERROR(IF(B107&gt;Assumptions!$E$174,0,IPMT($H$4/12,C107,$H$5*12,-$H$8)),$H$4/12*D107))</f>
        <v>0</v>
      </c>
      <c r="H107" s="227">
        <f t="shared" si="12"/>
        <v>0</v>
      </c>
      <c r="M107" s="226">
        <f t="shared" si="15"/>
        <v>128</v>
      </c>
      <c r="N107" s="224">
        <f t="shared" si="16"/>
        <v>95</v>
      </c>
      <c r="O107" s="227">
        <f>IF(M107&gt;Assumptions!$E$174,0,R106)</f>
        <v>0</v>
      </c>
      <c r="P107" s="227">
        <f>IF(M107&gt;Assumptions!$E$174,0,-PPMT($R$5/12,N107,$R$6*12,-$R$8))</f>
        <v>0</v>
      </c>
      <c r="Q107" s="227">
        <f>IF(M107&gt;Assumptions!$E$174,0,-IPMT($R$5/12,N107,$R$6*12,-$R$8))</f>
        <v>0</v>
      </c>
      <c r="R107" s="227">
        <f t="shared" si="18"/>
        <v>0</v>
      </c>
    </row>
    <row r="108" spans="2:18" x14ac:dyDescent="0.45">
      <c r="B108" s="226">
        <f t="shared" ref="B108:C108" si="43">+B107+1</f>
        <v>96</v>
      </c>
      <c r="C108" s="224">
        <f t="shared" si="43"/>
        <v>96</v>
      </c>
      <c r="D108" s="227">
        <f>IF(B108&gt;Assumptions!$E$174,0,H107)</f>
        <v>0</v>
      </c>
      <c r="E108" s="227" cm="1">
        <f t="array" ref="E108">IFERROR(INDEX(Model!$G$44:$EI$44,,MATCH('Debt Schedule'!B108,Model!$G$4:$EI$4,0)),0)</f>
        <v>0</v>
      </c>
      <c r="F108" s="227">
        <f>IF(AND(Assumptions!$G$34="Yes",'Debt Schedule'!B108&gt;Assumptions!$G$36),0,IF(B108&gt;Assumptions!$E$174,0,-IFERROR(PPMT($H$4/12,C108,$H$5*12,-$H$8),0)))</f>
        <v>0</v>
      </c>
      <c r="G108" s="227">
        <f>IF(AND(Assumptions!$G$34="yes",'Debt Schedule'!B108&gt;Assumptions!$G$36),0,IFERROR(IF(B108&gt;Assumptions!$E$174,0,IPMT($H$4/12,C108,$H$5*12,-$H$8)),$H$4/12*D108))</f>
        <v>0</v>
      </c>
      <c r="H108" s="227">
        <f t="shared" si="12"/>
        <v>0</v>
      </c>
      <c r="M108" s="226">
        <f t="shared" si="15"/>
        <v>129</v>
      </c>
      <c r="N108" s="224">
        <f t="shared" si="16"/>
        <v>96</v>
      </c>
      <c r="O108" s="227">
        <f>IF(M108&gt;Assumptions!$E$174,0,R107)</f>
        <v>0</v>
      </c>
      <c r="P108" s="227">
        <f>IF(M108&gt;Assumptions!$E$174,0,-PPMT($R$5/12,N108,$R$6*12,-$R$8))</f>
        <v>0</v>
      </c>
      <c r="Q108" s="227">
        <f>IF(M108&gt;Assumptions!$E$174,0,-IPMT($R$5/12,N108,$R$6*12,-$R$8))</f>
        <v>0</v>
      </c>
      <c r="R108" s="227">
        <f t="shared" si="18"/>
        <v>0</v>
      </c>
    </row>
    <row r="109" spans="2:18" x14ac:dyDescent="0.45">
      <c r="M109" s="226"/>
      <c r="N109" s="224"/>
      <c r="O109" s="227"/>
      <c r="P109" s="227"/>
      <c r="Q109" s="227"/>
      <c r="R109" s="227"/>
    </row>
    <row r="110" spans="2:18" x14ac:dyDescent="0.45">
      <c r="M110" s="226"/>
      <c r="N110" s="224"/>
      <c r="O110" s="227"/>
      <c r="P110" s="227"/>
      <c r="Q110" s="227"/>
      <c r="R110" s="227"/>
    </row>
    <row r="111" spans="2:18" x14ac:dyDescent="0.45">
      <c r="M111" s="224"/>
      <c r="N111" s="224"/>
      <c r="O111" s="224"/>
      <c r="P111" s="224"/>
      <c r="Q111" s="224"/>
      <c r="R111" s="224"/>
    </row>
    <row r="112" spans="2:18" x14ac:dyDescent="0.45">
      <c r="M112" s="224"/>
      <c r="N112" s="224"/>
      <c r="O112" s="224"/>
      <c r="P112" s="224"/>
      <c r="Q112" s="224"/>
      <c r="R112" s="224"/>
    </row>
    <row r="113" spans="13:18" x14ac:dyDescent="0.45">
      <c r="M113" s="224"/>
      <c r="N113" s="224"/>
      <c r="O113" s="224"/>
      <c r="P113" s="224"/>
      <c r="Q113" s="224"/>
      <c r="R113" s="224"/>
    </row>
    <row r="114" spans="13:18" x14ac:dyDescent="0.45">
      <c r="M114" s="224"/>
      <c r="N114" s="224"/>
      <c r="O114" s="224"/>
      <c r="P114" s="224"/>
      <c r="Q114" s="224"/>
      <c r="R114" s="224"/>
    </row>
    <row r="115" spans="13:18" x14ac:dyDescent="0.45">
      <c r="M115" s="224"/>
      <c r="N115" s="224"/>
      <c r="O115" s="224"/>
      <c r="P115" s="224"/>
      <c r="Q115" s="224"/>
      <c r="R115" s="224"/>
    </row>
    <row r="116" spans="13:18" x14ac:dyDescent="0.45">
      <c r="M116" s="224"/>
      <c r="N116" s="224"/>
      <c r="O116" s="224"/>
      <c r="P116" s="224"/>
      <c r="Q116" s="224"/>
      <c r="R116" s="224"/>
    </row>
    <row r="117" spans="13:18" x14ac:dyDescent="0.45">
      <c r="M117" s="224"/>
      <c r="N117" s="224"/>
      <c r="O117" s="224"/>
      <c r="P117" s="224"/>
      <c r="Q117" s="224"/>
      <c r="R117" s="224"/>
    </row>
    <row r="118" spans="13:18" x14ac:dyDescent="0.45">
      <c r="M118" s="224"/>
      <c r="N118" s="224"/>
      <c r="O118" s="224"/>
      <c r="P118" s="224"/>
      <c r="Q118" s="224"/>
      <c r="R118" s="224"/>
    </row>
    <row r="119" spans="13:18" x14ac:dyDescent="0.45">
      <c r="M119" s="224"/>
      <c r="N119" s="224"/>
      <c r="O119" s="224"/>
      <c r="P119" s="224"/>
      <c r="Q119" s="224"/>
      <c r="R119" s="224"/>
    </row>
    <row r="120" spans="13:18" x14ac:dyDescent="0.45">
      <c r="M120" s="224"/>
      <c r="N120" s="224"/>
      <c r="O120" s="224"/>
      <c r="P120" s="224"/>
      <c r="Q120" s="224"/>
      <c r="R120" s="224"/>
    </row>
    <row r="121" spans="13:18" x14ac:dyDescent="0.45">
      <c r="M121" s="224"/>
      <c r="N121" s="224"/>
      <c r="O121" s="224"/>
      <c r="P121" s="224"/>
      <c r="Q121" s="224"/>
      <c r="R121" s="224"/>
    </row>
    <row r="122" spans="13:18" x14ac:dyDescent="0.45">
      <c r="M122" s="224"/>
      <c r="N122" s="224"/>
      <c r="O122" s="224"/>
      <c r="P122" s="224"/>
      <c r="Q122" s="224"/>
      <c r="R122" s="224"/>
    </row>
    <row r="123" spans="13:18" x14ac:dyDescent="0.45">
      <c r="M123" s="224"/>
      <c r="N123" s="224"/>
      <c r="O123" s="224"/>
      <c r="P123" s="224"/>
      <c r="Q123" s="224"/>
      <c r="R123" s="224"/>
    </row>
    <row r="124" spans="13:18" x14ac:dyDescent="0.45">
      <c r="M124" s="224"/>
      <c r="N124" s="224"/>
      <c r="O124" s="224"/>
      <c r="P124" s="224"/>
      <c r="Q124" s="224"/>
      <c r="R124" s="224"/>
    </row>
    <row r="125" spans="13:18" x14ac:dyDescent="0.45">
      <c r="M125" s="224"/>
      <c r="N125" s="224"/>
      <c r="O125" s="224"/>
      <c r="P125" s="224"/>
      <c r="Q125" s="224"/>
      <c r="R125" s="224"/>
    </row>
    <row r="126" spans="13:18" x14ac:dyDescent="0.45">
      <c r="M126" s="224"/>
      <c r="N126" s="224"/>
      <c r="O126" s="224"/>
      <c r="P126" s="224"/>
      <c r="Q126" s="224"/>
      <c r="R126" s="224"/>
    </row>
    <row r="127" spans="13:18" x14ac:dyDescent="0.45">
      <c r="M127" s="224"/>
      <c r="N127" s="224"/>
      <c r="O127" s="224"/>
      <c r="P127" s="224"/>
      <c r="Q127" s="224"/>
      <c r="R127" s="224"/>
    </row>
    <row r="128" spans="13:18" x14ac:dyDescent="0.45">
      <c r="M128" s="224"/>
      <c r="N128" s="224"/>
      <c r="O128" s="224"/>
      <c r="P128" s="224"/>
      <c r="Q128" s="224"/>
      <c r="R128" s="224"/>
    </row>
    <row r="129" spans="13:18" x14ac:dyDescent="0.45">
      <c r="M129" s="224"/>
      <c r="N129" s="224"/>
      <c r="O129" s="224"/>
      <c r="P129" s="224"/>
      <c r="Q129" s="224"/>
      <c r="R129" s="224"/>
    </row>
    <row r="130" spans="13:18" x14ac:dyDescent="0.45">
      <c r="M130" s="224"/>
      <c r="N130" s="224"/>
      <c r="O130" s="224"/>
      <c r="P130" s="224"/>
      <c r="Q130" s="224"/>
      <c r="R130" s="224"/>
    </row>
    <row r="131" spans="13:18" x14ac:dyDescent="0.45">
      <c r="M131" s="224"/>
      <c r="N131" s="224"/>
      <c r="O131" s="224"/>
      <c r="P131" s="224"/>
      <c r="Q131" s="224"/>
      <c r="R131" s="224"/>
    </row>
    <row r="132" spans="13:18" x14ac:dyDescent="0.45">
      <c r="M132" s="224"/>
      <c r="N132" s="224"/>
      <c r="O132" s="224"/>
      <c r="P132" s="224"/>
      <c r="Q132" s="224"/>
      <c r="R132" s="224"/>
    </row>
    <row r="133" spans="13:18" x14ac:dyDescent="0.45">
      <c r="M133" s="224"/>
      <c r="N133" s="224"/>
      <c r="O133" s="224"/>
      <c r="P133" s="224"/>
      <c r="Q133" s="224"/>
      <c r="R133" s="224"/>
    </row>
    <row r="134" spans="13:18" x14ac:dyDescent="0.45">
      <c r="M134" s="224"/>
      <c r="N134" s="224"/>
      <c r="O134" s="224"/>
      <c r="P134" s="224"/>
      <c r="Q134" s="224"/>
      <c r="R134" s="224"/>
    </row>
    <row r="135" spans="13:18" x14ac:dyDescent="0.45">
      <c r="M135" s="224"/>
      <c r="N135" s="224"/>
      <c r="O135" s="224"/>
      <c r="P135" s="224"/>
      <c r="Q135" s="224"/>
      <c r="R135" s="224"/>
    </row>
    <row r="136" spans="13:18" x14ac:dyDescent="0.45">
      <c r="M136" s="224"/>
      <c r="N136" s="224"/>
      <c r="O136" s="224"/>
      <c r="P136" s="224"/>
      <c r="Q136" s="224"/>
      <c r="R136" s="224"/>
    </row>
    <row r="137" spans="13:18" x14ac:dyDescent="0.45">
      <c r="M137" s="224"/>
      <c r="N137" s="224"/>
      <c r="O137" s="224"/>
      <c r="P137" s="224"/>
      <c r="Q137" s="224"/>
      <c r="R137" s="224"/>
    </row>
    <row r="138" spans="13:18" x14ac:dyDescent="0.45">
      <c r="M138" s="224"/>
      <c r="N138" s="224"/>
      <c r="O138" s="224"/>
      <c r="P138" s="224"/>
      <c r="Q138" s="224"/>
      <c r="R138" s="224"/>
    </row>
    <row r="139" spans="13:18" x14ac:dyDescent="0.45">
      <c r="M139" s="224"/>
      <c r="N139" s="224"/>
      <c r="O139" s="224"/>
      <c r="P139" s="224"/>
      <c r="Q139" s="224"/>
      <c r="R139" s="224"/>
    </row>
    <row r="140" spans="13:18" x14ac:dyDescent="0.45">
      <c r="M140" s="224"/>
      <c r="N140" s="224"/>
      <c r="O140" s="224"/>
      <c r="P140" s="224"/>
      <c r="Q140" s="224"/>
      <c r="R140" s="224"/>
    </row>
    <row r="141" spans="13:18" x14ac:dyDescent="0.45">
      <c r="M141" s="224"/>
      <c r="N141" s="224"/>
      <c r="O141" s="224"/>
      <c r="P141" s="224"/>
      <c r="Q141" s="224"/>
      <c r="R141" s="224"/>
    </row>
    <row r="142" spans="13:18" x14ac:dyDescent="0.45">
      <c r="M142" s="224"/>
      <c r="N142" s="224"/>
      <c r="O142" s="224"/>
      <c r="P142" s="224"/>
      <c r="Q142" s="224"/>
      <c r="R142" s="224"/>
    </row>
    <row r="143" spans="13:18" x14ac:dyDescent="0.45">
      <c r="M143" s="224"/>
      <c r="N143" s="224"/>
      <c r="O143" s="224"/>
      <c r="P143" s="224"/>
      <c r="Q143" s="224"/>
      <c r="R143" s="224"/>
    </row>
    <row r="144" spans="13:18" x14ac:dyDescent="0.45">
      <c r="M144" s="224"/>
      <c r="N144" s="224"/>
      <c r="O144" s="224"/>
      <c r="P144" s="224"/>
      <c r="Q144" s="224"/>
      <c r="R144" s="224"/>
    </row>
    <row r="145" spans="13:18" x14ac:dyDescent="0.45">
      <c r="M145" s="224"/>
      <c r="N145" s="224"/>
      <c r="O145" s="224"/>
      <c r="P145" s="224"/>
      <c r="Q145" s="224"/>
      <c r="R145" s="224"/>
    </row>
    <row r="146" spans="13:18" x14ac:dyDescent="0.45">
      <c r="M146" s="224"/>
      <c r="N146" s="224"/>
      <c r="O146" s="224"/>
      <c r="P146" s="224"/>
      <c r="Q146" s="224"/>
      <c r="R146" s="224"/>
    </row>
    <row r="147" spans="13:18" x14ac:dyDescent="0.45">
      <c r="M147" s="224"/>
      <c r="N147" s="224"/>
      <c r="O147" s="224"/>
      <c r="P147" s="224"/>
      <c r="Q147" s="224"/>
      <c r="R147" s="224"/>
    </row>
    <row r="148" spans="13:18" x14ac:dyDescent="0.45">
      <c r="M148" s="224"/>
      <c r="N148" s="224"/>
      <c r="O148" s="224"/>
      <c r="P148" s="224"/>
      <c r="Q148" s="224"/>
      <c r="R148" s="224"/>
    </row>
    <row r="149" spans="13:18" x14ac:dyDescent="0.45">
      <c r="M149" s="224"/>
      <c r="N149" s="224"/>
      <c r="O149" s="224"/>
      <c r="P149" s="224"/>
      <c r="Q149" s="224"/>
      <c r="R149" s="224"/>
    </row>
    <row r="150" spans="13:18" x14ac:dyDescent="0.45">
      <c r="M150" s="224"/>
      <c r="N150" s="224"/>
      <c r="O150" s="224"/>
      <c r="P150" s="224"/>
      <c r="Q150" s="224"/>
      <c r="R150" s="224"/>
    </row>
    <row r="151" spans="13:18" x14ac:dyDescent="0.45">
      <c r="M151" s="224"/>
      <c r="N151" s="224"/>
      <c r="O151" s="224"/>
      <c r="P151" s="224"/>
      <c r="Q151" s="224"/>
      <c r="R151" s="224"/>
    </row>
    <row r="152" spans="13:18" x14ac:dyDescent="0.45">
      <c r="M152" s="224"/>
      <c r="N152" s="224"/>
      <c r="O152" s="224"/>
      <c r="P152" s="224"/>
      <c r="Q152" s="224"/>
      <c r="R152" s="224"/>
    </row>
    <row r="153" spans="13:18" x14ac:dyDescent="0.45">
      <c r="M153" s="224"/>
      <c r="N153" s="224"/>
      <c r="O153" s="224"/>
      <c r="P153" s="224"/>
      <c r="Q153" s="224"/>
      <c r="R153" s="224"/>
    </row>
    <row r="154" spans="13:18" x14ac:dyDescent="0.45">
      <c r="M154" s="224"/>
      <c r="N154" s="224"/>
      <c r="O154" s="224"/>
      <c r="P154" s="224"/>
      <c r="Q154" s="224"/>
      <c r="R154" s="224"/>
    </row>
    <row r="155" spans="13:18" x14ac:dyDescent="0.45">
      <c r="M155" s="224"/>
      <c r="N155" s="224"/>
      <c r="O155" s="224"/>
      <c r="P155" s="224"/>
      <c r="Q155" s="224"/>
      <c r="R155" s="224"/>
    </row>
    <row r="156" spans="13:18" x14ac:dyDescent="0.45">
      <c r="M156" s="224"/>
      <c r="N156" s="224"/>
      <c r="O156" s="224"/>
      <c r="P156" s="224"/>
      <c r="Q156" s="224"/>
      <c r="R156" s="224"/>
    </row>
    <row r="157" spans="13:18" x14ac:dyDescent="0.45">
      <c r="M157" s="224"/>
      <c r="N157" s="224"/>
      <c r="O157" s="224"/>
      <c r="P157" s="224"/>
      <c r="Q157" s="224"/>
      <c r="R157" s="224"/>
    </row>
    <row r="158" spans="13:18" x14ac:dyDescent="0.45">
      <c r="M158" s="224"/>
      <c r="N158" s="224"/>
      <c r="O158" s="224"/>
      <c r="P158" s="224"/>
      <c r="Q158" s="224"/>
      <c r="R158" s="224"/>
    </row>
    <row r="159" spans="13:18" x14ac:dyDescent="0.45">
      <c r="M159" s="224"/>
      <c r="N159" s="224"/>
      <c r="O159" s="224"/>
      <c r="P159" s="224"/>
      <c r="Q159" s="224"/>
      <c r="R159" s="224"/>
    </row>
    <row r="160" spans="13:18" x14ac:dyDescent="0.45">
      <c r="M160" s="224"/>
      <c r="N160" s="224"/>
      <c r="O160" s="224"/>
      <c r="P160" s="224"/>
      <c r="Q160" s="224"/>
      <c r="R160" s="224"/>
    </row>
    <row r="161" spans="13:18" x14ac:dyDescent="0.45">
      <c r="M161" s="224"/>
      <c r="N161" s="224"/>
      <c r="O161" s="224"/>
      <c r="P161" s="224"/>
      <c r="Q161" s="224"/>
      <c r="R161" s="224"/>
    </row>
    <row r="162" spans="13:18" x14ac:dyDescent="0.45">
      <c r="M162" s="224"/>
      <c r="N162" s="224"/>
      <c r="O162" s="224"/>
      <c r="P162" s="224"/>
      <c r="Q162" s="224"/>
      <c r="R162" s="224"/>
    </row>
    <row r="163" spans="13:18" x14ac:dyDescent="0.45">
      <c r="M163" s="224"/>
      <c r="N163" s="224"/>
      <c r="O163" s="224"/>
      <c r="P163" s="224"/>
      <c r="Q163" s="224"/>
      <c r="R163" s="224"/>
    </row>
    <row r="164" spans="13:18" x14ac:dyDescent="0.45">
      <c r="M164" s="224"/>
      <c r="N164" s="224"/>
      <c r="O164" s="224"/>
      <c r="P164" s="224"/>
      <c r="Q164" s="224"/>
      <c r="R164" s="224"/>
    </row>
    <row r="165" spans="13:18" x14ac:dyDescent="0.45">
      <c r="M165" s="224"/>
      <c r="N165" s="224"/>
      <c r="O165" s="224"/>
      <c r="P165" s="224"/>
      <c r="Q165" s="224"/>
      <c r="R165" s="224"/>
    </row>
    <row r="166" spans="13:18" x14ac:dyDescent="0.45">
      <c r="M166" s="224"/>
      <c r="N166" s="224"/>
      <c r="O166" s="224"/>
      <c r="P166" s="224"/>
      <c r="Q166" s="224"/>
      <c r="R166" s="224"/>
    </row>
    <row r="167" spans="13:18" x14ac:dyDescent="0.45">
      <c r="M167" s="224"/>
      <c r="N167" s="224"/>
      <c r="O167" s="224"/>
      <c r="P167" s="224"/>
      <c r="Q167" s="224"/>
      <c r="R167" s="224"/>
    </row>
    <row r="168" spans="13:18" x14ac:dyDescent="0.45">
      <c r="M168" s="224"/>
      <c r="N168" s="224"/>
      <c r="O168" s="224"/>
      <c r="P168" s="224"/>
      <c r="Q168" s="224"/>
      <c r="R168" s="224"/>
    </row>
    <row r="169" spans="13:18" x14ac:dyDescent="0.45">
      <c r="M169" s="224"/>
      <c r="N169" s="224"/>
      <c r="O169" s="224"/>
      <c r="P169" s="224"/>
      <c r="Q169" s="224"/>
      <c r="R169" s="224"/>
    </row>
    <row r="170" spans="13:18" x14ac:dyDescent="0.45">
      <c r="M170" s="224"/>
      <c r="N170" s="224"/>
      <c r="O170" s="224"/>
      <c r="P170" s="224"/>
      <c r="Q170" s="224"/>
      <c r="R170" s="224"/>
    </row>
    <row r="171" spans="13:18" x14ac:dyDescent="0.45">
      <c r="M171" s="224"/>
      <c r="N171" s="224"/>
      <c r="O171" s="224"/>
      <c r="P171" s="224"/>
      <c r="Q171" s="224"/>
      <c r="R171" s="224"/>
    </row>
    <row r="172" spans="13:18" x14ac:dyDescent="0.45">
      <c r="M172" s="224"/>
      <c r="N172" s="224"/>
      <c r="O172" s="224"/>
      <c r="P172" s="224"/>
      <c r="Q172" s="224"/>
      <c r="R172" s="224"/>
    </row>
    <row r="173" spans="13:18" x14ac:dyDescent="0.45">
      <c r="M173" s="224"/>
      <c r="N173" s="224"/>
      <c r="O173" s="224"/>
      <c r="P173" s="224"/>
      <c r="Q173" s="224"/>
      <c r="R173" s="224"/>
    </row>
    <row r="174" spans="13:18" x14ac:dyDescent="0.45">
      <c r="M174" s="224"/>
      <c r="N174" s="224"/>
      <c r="O174" s="224"/>
      <c r="P174" s="224"/>
      <c r="Q174" s="224"/>
      <c r="R174" s="224"/>
    </row>
    <row r="175" spans="13:18" x14ac:dyDescent="0.45">
      <c r="M175" s="224"/>
      <c r="N175" s="224"/>
      <c r="O175" s="224"/>
      <c r="P175" s="224"/>
      <c r="Q175" s="224"/>
      <c r="R175" s="224"/>
    </row>
    <row r="176" spans="13:18" x14ac:dyDescent="0.45">
      <c r="M176" s="224"/>
      <c r="N176" s="224"/>
      <c r="O176" s="224"/>
      <c r="P176" s="224"/>
      <c r="Q176" s="224"/>
      <c r="R176" s="224"/>
    </row>
    <row r="177" spans="13:18" x14ac:dyDescent="0.45">
      <c r="M177" s="224"/>
      <c r="N177" s="224"/>
      <c r="O177" s="224"/>
      <c r="P177" s="224"/>
      <c r="Q177" s="224"/>
      <c r="R177" s="224"/>
    </row>
    <row r="178" spans="13:18" x14ac:dyDescent="0.45">
      <c r="M178" s="224"/>
      <c r="N178" s="224"/>
      <c r="O178" s="224"/>
      <c r="P178" s="224"/>
      <c r="Q178" s="224"/>
      <c r="R178" s="224"/>
    </row>
    <row r="179" spans="13:18" x14ac:dyDescent="0.45">
      <c r="M179" s="224"/>
      <c r="N179" s="224"/>
      <c r="O179" s="224"/>
      <c r="P179" s="224"/>
      <c r="Q179" s="224"/>
      <c r="R179" s="224"/>
    </row>
    <row r="180" spans="13:18" x14ac:dyDescent="0.45">
      <c r="M180" s="224"/>
      <c r="N180" s="224"/>
      <c r="O180" s="224"/>
      <c r="P180" s="224"/>
      <c r="Q180" s="224"/>
      <c r="R180" s="224"/>
    </row>
    <row r="181" spans="13:18" x14ac:dyDescent="0.45">
      <c r="M181" s="224"/>
      <c r="N181" s="224"/>
      <c r="O181" s="224"/>
      <c r="P181" s="224"/>
      <c r="Q181" s="224"/>
      <c r="R181" s="224"/>
    </row>
    <row r="182" spans="13:18" x14ac:dyDescent="0.45">
      <c r="M182" s="224"/>
      <c r="N182" s="224"/>
      <c r="O182" s="224"/>
      <c r="P182" s="224"/>
      <c r="Q182" s="224"/>
      <c r="R182" s="224"/>
    </row>
    <row r="183" spans="13:18" x14ac:dyDescent="0.45">
      <c r="M183" s="224"/>
      <c r="N183" s="224"/>
      <c r="O183" s="224"/>
      <c r="P183" s="224"/>
      <c r="Q183" s="224"/>
      <c r="R183" s="224"/>
    </row>
    <row r="184" spans="13:18" x14ac:dyDescent="0.45">
      <c r="M184" s="224"/>
      <c r="N184" s="224"/>
      <c r="O184" s="224"/>
      <c r="P184" s="224"/>
      <c r="Q184" s="224"/>
      <c r="R184" s="224"/>
    </row>
    <row r="185" spans="13:18" x14ac:dyDescent="0.45">
      <c r="M185" s="224"/>
      <c r="N185" s="224"/>
      <c r="O185" s="224"/>
      <c r="P185" s="224"/>
      <c r="Q185" s="224"/>
      <c r="R185" s="224"/>
    </row>
    <row r="186" spans="13:18" x14ac:dyDescent="0.45">
      <c r="M186" s="224"/>
      <c r="N186" s="224"/>
      <c r="O186" s="224"/>
      <c r="P186" s="224"/>
      <c r="Q186" s="224"/>
      <c r="R186" s="224"/>
    </row>
    <row r="187" spans="13:18" x14ac:dyDescent="0.45">
      <c r="M187" s="224"/>
      <c r="N187" s="224"/>
      <c r="O187" s="224"/>
      <c r="P187" s="224"/>
      <c r="Q187" s="224"/>
      <c r="R187" s="224"/>
    </row>
    <row r="188" spans="13:18" x14ac:dyDescent="0.45">
      <c r="M188" s="224"/>
      <c r="N188" s="224"/>
      <c r="O188" s="224"/>
      <c r="P188" s="224"/>
      <c r="Q188" s="224"/>
      <c r="R188" s="22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D409B-E911-4883-9606-84ACD93F1868}">
  <dimension ref="B3:EO64"/>
  <sheetViews>
    <sheetView showGridLines="0" topLeftCell="A16" workbookViewId="0"/>
  </sheetViews>
  <sheetFormatPr defaultColWidth="9.1328125" defaultRowHeight="13.15" x14ac:dyDescent="0.45"/>
  <cols>
    <col min="1" max="2" width="9.1328125" style="58"/>
    <col min="3" max="3" width="11.73046875" style="58" bestFit="1" customWidth="1"/>
    <col min="4" max="4" width="9.3984375" style="58" bestFit="1" customWidth="1"/>
    <col min="5" max="5" width="11" style="58" bestFit="1" customWidth="1"/>
    <col min="6" max="6" width="9.1328125" style="58"/>
    <col min="7" max="7" width="10" style="58" bestFit="1" customWidth="1"/>
    <col min="8" max="8" width="13.1328125" style="58" bestFit="1" customWidth="1"/>
    <col min="9" max="9" width="12" style="58" bestFit="1" customWidth="1"/>
    <col min="10" max="10" width="16.265625" style="58" bestFit="1" customWidth="1"/>
    <col min="11" max="16384" width="9.1328125" style="58"/>
  </cols>
  <sheetData>
    <row r="3" spans="2:145" x14ac:dyDescent="0.45">
      <c r="L3" s="131">
        <f>+EOMONTH(Assumptions!F2,'Retail Assumptions'!L5)</f>
        <v>45838</v>
      </c>
      <c r="M3" s="131">
        <f>+EOMONTH(L3,1)</f>
        <v>45869</v>
      </c>
      <c r="N3" s="131">
        <f t="shared" ref="N3:BY3" si="0">+EOMONTH(M3,1)</f>
        <v>45900</v>
      </c>
      <c r="O3" s="131">
        <f t="shared" si="0"/>
        <v>45930</v>
      </c>
      <c r="P3" s="131">
        <f t="shared" si="0"/>
        <v>45961</v>
      </c>
      <c r="Q3" s="131">
        <f t="shared" si="0"/>
        <v>45991</v>
      </c>
      <c r="R3" s="131">
        <f t="shared" si="0"/>
        <v>46022</v>
      </c>
      <c r="S3" s="131">
        <f t="shared" si="0"/>
        <v>46053</v>
      </c>
      <c r="T3" s="131">
        <f t="shared" si="0"/>
        <v>46081</v>
      </c>
      <c r="U3" s="131">
        <f t="shared" si="0"/>
        <v>46112</v>
      </c>
      <c r="V3" s="131">
        <f t="shared" si="0"/>
        <v>46142</v>
      </c>
      <c r="W3" s="131">
        <f t="shared" si="0"/>
        <v>46173</v>
      </c>
      <c r="X3" s="131">
        <f t="shared" si="0"/>
        <v>46203</v>
      </c>
      <c r="Y3" s="131">
        <f t="shared" si="0"/>
        <v>46234</v>
      </c>
      <c r="Z3" s="131">
        <f t="shared" si="0"/>
        <v>46265</v>
      </c>
      <c r="AA3" s="131">
        <f t="shared" si="0"/>
        <v>46295</v>
      </c>
      <c r="AB3" s="131">
        <f t="shared" si="0"/>
        <v>46326</v>
      </c>
      <c r="AC3" s="131">
        <f t="shared" si="0"/>
        <v>46356</v>
      </c>
      <c r="AD3" s="131">
        <f t="shared" si="0"/>
        <v>46387</v>
      </c>
      <c r="AE3" s="131">
        <f t="shared" si="0"/>
        <v>46418</v>
      </c>
      <c r="AF3" s="131">
        <f t="shared" si="0"/>
        <v>46446</v>
      </c>
      <c r="AG3" s="131">
        <f t="shared" si="0"/>
        <v>46477</v>
      </c>
      <c r="AH3" s="131">
        <f t="shared" si="0"/>
        <v>46507</v>
      </c>
      <c r="AI3" s="131">
        <f t="shared" si="0"/>
        <v>46538</v>
      </c>
      <c r="AJ3" s="131">
        <f t="shared" si="0"/>
        <v>46568</v>
      </c>
      <c r="AK3" s="131">
        <f t="shared" si="0"/>
        <v>46599</v>
      </c>
      <c r="AL3" s="131">
        <f t="shared" si="0"/>
        <v>46630</v>
      </c>
      <c r="AM3" s="131">
        <f t="shared" si="0"/>
        <v>46660</v>
      </c>
      <c r="AN3" s="131">
        <f t="shared" si="0"/>
        <v>46691</v>
      </c>
      <c r="AO3" s="131">
        <f t="shared" si="0"/>
        <v>46721</v>
      </c>
      <c r="AP3" s="131">
        <f t="shared" si="0"/>
        <v>46752</v>
      </c>
      <c r="AQ3" s="131">
        <f t="shared" si="0"/>
        <v>46783</v>
      </c>
      <c r="AR3" s="131">
        <f t="shared" si="0"/>
        <v>46812</v>
      </c>
      <c r="AS3" s="131">
        <f t="shared" si="0"/>
        <v>46843</v>
      </c>
      <c r="AT3" s="131">
        <f t="shared" si="0"/>
        <v>46873</v>
      </c>
      <c r="AU3" s="131">
        <f t="shared" si="0"/>
        <v>46904</v>
      </c>
      <c r="AV3" s="131">
        <f t="shared" si="0"/>
        <v>46934</v>
      </c>
      <c r="AW3" s="131">
        <f t="shared" si="0"/>
        <v>46965</v>
      </c>
      <c r="AX3" s="131">
        <f t="shared" si="0"/>
        <v>46996</v>
      </c>
      <c r="AY3" s="131">
        <f t="shared" si="0"/>
        <v>47026</v>
      </c>
      <c r="AZ3" s="131">
        <f t="shared" si="0"/>
        <v>47057</v>
      </c>
      <c r="BA3" s="131">
        <f t="shared" si="0"/>
        <v>47087</v>
      </c>
      <c r="BB3" s="131">
        <f t="shared" si="0"/>
        <v>47118</v>
      </c>
      <c r="BC3" s="131">
        <f t="shared" si="0"/>
        <v>47149</v>
      </c>
      <c r="BD3" s="131">
        <f t="shared" si="0"/>
        <v>47177</v>
      </c>
      <c r="BE3" s="131">
        <f t="shared" si="0"/>
        <v>47208</v>
      </c>
      <c r="BF3" s="131">
        <f t="shared" si="0"/>
        <v>47238</v>
      </c>
      <c r="BG3" s="131">
        <f t="shared" si="0"/>
        <v>47269</v>
      </c>
      <c r="BH3" s="131">
        <f t="shared" si="0"/>
        <v>47299</v>
      </c>
      <c r="BI3" s="131">
        <f t="shared" si="0"/>
        <v>47330</v>
      </c>
      <c r="BJ3" s="131">
        <f t="shared" si="0"/>
        <v>47361</v>
      </c>
      <c r="BK3" s="131">
        <f t="shared" si="0"/>
        <v>47391</v>
      </c>
      <c r="BL3" s="131">
        <f t="shared" si="0"/>
        <v>47422</v>
      </c>
      <c r="BM3" s="131">
        <f t="shared" si="0"/>
        <v>47452</v>
      </c>
      <c r="BN3" s="131">
        <f t="shared" si="0"/>
        <v>47483</v>
      </c>
      <c r="BO3" s="131">
        <f t="shared" si="0"/>
        <v>47514</v>
      </c>
      <c r="BP3" s="131">
        <f t="shared" si="0"/>
        <v>47542</v>
      </c>
      <c r="BQ3" s="131">
        <f t="shared" si="0"/>
        <v>47573</v>
      </c>
      <c r="BR3" s="131">
        <f t="shared" si="0"/>
        <v>47603</v>
      </c>
      <c r="BS3" s="131">
        <f t="shared" si="0"/>
        <v>47634</v>
      </c>
      <c r="BT3" s="131">
        <f t="shared" si="0"/>
        <v>47664</v>
      </c>
      <c r="BU3" s="131">
        <f t="shared" si="0"/>
        <v>47695</v>
      </c>
      <c r="BV3" s="131">
        <f t="shared" si="0"/>
        <v>47726</v>
      </c>
      <c r="BW3" s="131">
        <f t="shared" si="0"/>
        <v>47756</v>
      </c>
      <c r="BX3" s="131">
        <f t="shared" si="0"/>
        <v>47787</v>
      </c>
      <c r="BY3" s="131">
        <f t="shared" si="0"/>
        <v>47817</v>
      </c>
      <c r="BZ3" s="131">
        <f t="shared" ref="BZ3:CQ3" si="1">+EOMONTH(BY3,1)</f>
        <v>47848</v>
      </c>
      <c r="CA3" s="131">
        <f t="shared" si="1"/>
        <v>47879</v>
      </c>
      <c r="CB3" s="131">
        <f t="shared" si="1"/>
        <v>47907</v>
      </c>
      <c r="CC3" s="131">
        <f t="shared" si="1"/>
        <v>47938</v>
      </c>
      <c r="CD3" s="131">
        <f t="shared" si="1"/>
        <v>47968</v>
      </c>
      <c r="CE3" s="131">
        <f t="shared" si="1"/>
        <v>47999</v>
      </c>
      <c r="CF3" s="131">
        <f t="shared" si="1"/>
        <v>48029</v>
      </c>
      <c r="CG3" s="131">
        <f t="shared" si="1"/>
        <v>48060</v>
      </c>
      <c r="CH3" s="131">
        <f t="shared" si="1"/>
        <v>48091</v>
      </c>
      <c r="CI3" s="131">
        <f t="shared" si="1"/>
        <v>48121</v>
      </c>
      <c r="CJ3" s="131">
        <f t="shared" si="1"/>
        <v>48152</v>
      </c>
      <c r="CK3" s="131">
        <f t="shared" si="1"/>
        <v>48182</v>
      </c>
      <c r="CL3" s="131">
        <f t="shared" si="1"/>
        <v>48213</v>
      </c>
      <c r="CM3" s="131">
        <f t="shared" si="1"/>
        <v>48244</v>
      </c>
      <c r="CN3" s="131">
        <f t="shared" si="1"/>
        <v>48273</v>
      </c>
      <c r="CO3" s="131">
        <f t="shared" si="1"/>
        <v>48304</v>
      </c>
      <c r="CP3" s="131">
        <f t="shared" si="1"/>
        <v>48334</v>
      </c>
      <c r="CQ3" s="131">
        <f t="shared" si="1"/>
        <v>48365</v>
      </c>
      <c r="CR3" s="131">
        <f t="shared" ref="CR3" si="2">+EOMONTH(CQ3,1)</f>
        <v>48395</v>
      </c>
      <c r="CS3" s="131">
        <f t="shared" ref="CS3" si="3">+EOMONTH(CR3,1)</f>
        <v>48426</v>
      </c>
      <c r="CT3" s="131">
        <f t="shared" ref="CT3" si="4">+EOMONTH(CS3,1)</f>
        <v>48457</v>
      </c>
      <c r="CU3" s="131">
        <f t="shared" ref="CU3" si="5">+EOMONTH(CT3,1)</f>
        <v>48487</v>
      </c>
      <c r="CV3" s="131">
        <f t="shared" ref="CV3" si="6">+EOMONTH(CU3,1)</f>
        <v>48518</v>
      </c>
      <c r="CW3" s="131">
        <f t="shared" ref="CW3" si="7">+EOMONTH(CV3,1)</f>
        <v>48548</v>
      </c>
      <c r="CX3" s="131">
        <f t="shared" ref="CX3" si="8">+EOMONTH(CW3,1)</f>
        <v>48579</v>
      </c>
      <c r="CY3" s="131">
        <f t="shared" ref="CY3" si="9">+EOMONTH(CX3,1)</f>
        <v>48610</v>
      </c>
      <c r="CZ3" s="131">
        <f t="shared" ref="CZ3" si="10">+EOMONTH(CY3,1)</f>
        <v>48638</v>
      </c>
      <c r="DA3" s="131">
        <f t="shared" ref="DA3" si="11">+EOMONTH(CZ3,1)</f>
        <v>48669</v>
      </c>
      <c r="DB3" s="131">
        <f t="shared" ref="DB3" si="12">+EOMONTH(DA3,1)</f>
        <v>48699</v>
      </c>
      <c r="DC3" s="131">
        <f t="shared" ref="DC3" si="13">+EOMONTH(DB3,1)</f>
        <v>48730</v>
      </c>
      <c r="DD3" s="131">
        <f t="shared" ref="DD3" si="14">+EOMONTH(DC3,1)</f>
        <v>48760</v>
      </c>
      <c r="DE3" s="131">
        <f t="shared" ref="DE3" si="15">+EOMONTH(DD3,1)</f>
        <v>48791</v>
      </c>
      <c r="DF3" s="131">
        <f t="shared" ref="DF3" si="16">+EOMONTH(DE3,1)</f>
        <v>48822</v>
      </c>
      <c r="DG3" s="131">
        <f t="shared" ref="DG3" si="17">+EOMONTH(DF3,1)</f>
        <v>48852</v>
      </c>
      <c r="DH3" s="131">
        <f t="shared" ref="DH3" si="18">+EOMONTH(DG3,1)</f>
        <v>48883</v>
      </c>
      <c r="DI3" s="131">
        <f t="shared" ref="DI3" si="19">+EOMONTH(DH3,1)</f>
        <v>48913</v>
      </c>
      <c r="DJ3" s="131">
        <f t="shared" ref="DJ3" si="20">+EOMONTH(DI3,1)</f>
        <v>48944</v>
      </c>
      <c r="DK3" s="131">
        <f t="shared" ref="DK3" si="21">+EOMONTH(DJ3,1)</f>
        <v>48975</v>
      </c>
      <c r="DL3" s="131">
        <f t="shared" ref="DL3" si="22">+EOMONTH(DK3,1)</f>
        <v>49003</v>
      </c>
      <c r="DM3" s="131">
        <f t="shared" ref="DM3" si="23">+EOMONTH(DL3,1)</f>
        <v>49034</v>
      </c>
      <c r="DN3" s="131">
        <f t="shared" ref="DN3" si="24">+EOMONTH(DM3,1)</f>
        <v>49064</v>
      </c>
      <c r="DO3" s="131">
        <f t="shared" ref="DO3" si="25">+EOMONTH(DN3,1)</f>
        <v>49095</v>
      </c>
      <c r="DP3" s="131">
        <f t="shared" ref="DP3" si="26">+EOMONTH(DO3,1)</f>
        <v>49125</v>
      </c>
      <c r="DQ3" s="131">
        <f t="shared" ref="DQ3" si="27">+EOMONTH(DP3,1)</f>
        <v>49156</v>
      </c>
      <c r="DR3" s="131">
        <f t="shared" ref="DR3" si="28">+EOMONTH(DQ3,1)</f>
        <v>49187</v>
      </c>
      <c r="DS3" s="131">
        <f t="shared" ref="DS3" si="29">+EOMONTH(DR3,1)</f>
        <v>49217</v>
      </c>
      <c r="DT3" s="131">
        <f t="shared" ref="DT3" si="30">+EOMONTH(DS3,1)</f>
        <v>49248</v>
      </c>
      <c r="DU3" s="131">
        <f t="shared" ref="DU3" si="31">+EOMONTH(DT3,1)</f>
        <v>49278</v>
      </c>
      <c r="DV3" s="131">
        <f t="shared" ref="DV3" si="32">+EOMONTH(DU3,1)</f>
        <v>49309</v>
      </c>
      <c r="DW3" s="131">
        <f t="shared" ref="DW3" si="33">+EOMONTH(DV3,1)</f>
        <v>49340</v>
      </c>
      <c r="DX3" s="131">
        <f t="shared" ref="DX3" si="34">+EOMONTH(DW3,1)</f>
        <v>49368</v>
      </c>
      <c r="DY3" s="131">
        <f t="shared" ref="DY3" si="35">+EOMONTH(DX3,1)</f>
        <v>49399</v>
      </c>
      <c r="DZ3" s="131">
        <f t="shared" ref="DZ3" si="36">+EOMONTH(DY3,1)</f>
        <v>49429</v>
      </c>
      <c r="EA3" s="131">
        <f t="shared" ref="EA3" si="37">+EOMONTH(DZ3,1)</f>
        <v>49460</v>
      </c>
      <c r="EB3" s="131">
        <f t="shared" ref="EB3" si="38">+EOMONTH(EA3,1)</f>
        <v>49490</v>
      </c>
      <c r="EC3" s="131">
        <f t="shared" ref="EC3" si="39">+EOMONTH(EB3,1)</f>
        <v>49521</v>
      </c>
      <c r="ED3" s="131">
        <f t="shared" ref="ED3" si="40">+EOMONTH(EC3,1)</f>
        <v>49552</v>
      </c>
      <c r="EE3" s="131">
        <f t="shared" ref="EE3" si="41">+EOMONTH(ED3,1)</f>
        <v>49582</v>
      </c>
      <c r="EF3" s="131">
        <f t="shared" ref="EF3" si="42">+EOMONTH(EE3,1)</f>
        <v>49613</v>
      </c>
      <c r="EG3" s="131">
        <f t="shared" ref="EG3" si="43">+EOMONTH(EF3,1)</f>
        <v>49643</v>
      </c>
      <c r="EH3" s="131">
        <f t="shared" ref="EH3" si="44">+EOMONTH(EG3,1)</f>
        <v>49674</v>
      </c>
      <c r="EI3" s="131">
        <f t="shared" ref="EI3" si="45">+EOMONTH(EH3,1)</f>
        <v>49705</v>
      </c>
      <c r="EJ3" s="131">
        <f t="shared" ref="EJ3" si="46">+EOMONTH(EI3,1)</f>
        <v>49734</v>
      </c>
      <c r="EK3" s="131">
        <f t="shared" ref="EK3" si="47">+EOMONTH(EJ3,1)</f>
        <v>49765</v>
      </c>
      <c r="EL3" s="131">
        <f t="shared" ref="EL3" si="48">+EOMONTH(EK3,1)</f>
        <v>49795</v>
      </c>
      <c r="EM3" s="131">
        <f t="shared" ref="EM3" si="49">+EOMONTH(EL3,1)</f>
        <v>49826</v>
      </c>
      <c r="EN3" s="131">
        <f t="shared" ref="EN3" si="50">+EOMONTH(EM3,1)</f>
        <v>49856</v>
      </c>
      <c r="EO3" s="131">
        <f t="shared" ref="EO3" si="51">+EOMONTH(EN3,1)</f>
        <v>49887</v>
      </c>
    </row>
    <row r="4" spans="2:145" x14ac:dyDescent="0.45">
      <c r="B4" s="86" t="s">
        <v>104</v>
      </c>
      <c r="L4" s="130">
        <f>ROUNDUP(L5/12,0)</f>
        <v>0</v>
      </c>
      <c r="M4" s="130">
        <f t="shared" ref="M4:BX4" si="52">ROUNDUP(M5/12,0)</f>
        <v>1</v>
      </c>
      <c r="N4" s="130">
        <f t="shared" si="52"/>
        <v>1</v>
      </c>
      <c r="O4" s="130">
        <f t="shared" si="52"/>
        <v>1</v>
      </c>
      <c r="P4" s="130">
        <f t="shared" si="52"/>
        <v>1</v>
      </c>
      <c r="Q4" s="130">
        <f t="shared" si="52"/>
        <v>1</v>
      </c>
      <c r="R4" s="130">
        <f t="shared" si="52"/>
        <v>1</v>
      </c>
      <c r="S4" s="130">
        <f t="shared" si="52"/>
        <v>1</v>
      </c>
      <c r="T4" s="130">
        <f t="shared" si="52"/>
        <v>1</v>
      </c>
      <c r="U4" s="130">
        <f t="shared" si="52"/>
        <v>1</v>
      </c>
      <c r="V4" s="130">
        <f t="shared" si="52"/>
        <v>1</v>
      </c>
      <c r="W4" s="130">
        <f t="shared" si="52"/>
        <v>1</v>
      </c>
      <c r="X4" s="130">
        <f t="shared" si="52"/>
        <v>1</v>
      </c>
      <c r="Y4" s="130">
        <f t="shared" si="52"/>
        <v>2</v>
      </c>
      <c r="Z4" s="130">
        <f t="shared" si="52"/>
        <v>2</v>
      </c>
      <c r="AA4" s="130">
        <f t="shared" si="52"/>
        <v>2</v>
      </c>
      <c r="AB4" s="130">
        <f t="shared" si="52"/>
        <v>2</v>
      </c>
      <c r="AC4" s="130">
        <f t="shared" si="52"/>
        <v>2</v>
      </c>
      <c r="AD4" s="130">
        <f t="shared" si="52"/>
        <v>2</v>
      </c>
      <c r="AE4" s="130">
        <f t="shared" si="52"/>
        <v>2</v>
      </c>
      <c r="AF4" s="130">
        <f t="shared" si="52"/>
        <v>2</v>
      </c>
      <c r="AG4" s="130">
        <f t="shared" si="52"/>
        <v>2</v>
      </c>
      <c r="AH4" s="130">
        <f t="shared" si="52"/>
        <v>2</v>
      </c>
      <c r="AI4" s="130">
        <f t="shared" si="52"/>
        <v>2</v>
      </c>
      <c r="AJ4" s="130">
        <f t="shared" si="52"/>
        <v>2</v>
      </c>
      <c r="AK4" s="130">
        <f t="shared" si="52"/>
        <v>3</v>
      </c>
      <c r="AL4" s="130">
        <f t="shared" si="52"/>
        <v>3</v>
      </c>
      <c r="AM4" s="130">
        <f t="shared" si="52"/>
        <v>3</v>
      </c>
      <c r="AN4" s="130">
        <f t="shared" si="52"/>
        <v>3</v>
      </c>
      <c r="AO4" s="130">
        <f t="shared" si="52"/>
        <v>3</v>
      </c>
      <c r="AP4" s="130">
        <f t="shared" si="52"/>
        <v>3</v>
      </c>
      <c r="AQ4" s="130">
        <f t="shared" si="52"/>
        <v>3</v>
      </c>
      <c r="AR4" s="130">
        <f t="shared" si="52"/>
        <v>3</v>
      </c>
      <c r="AS4" s="130">
        <f t="shared" si="52"/>
        <v>3</v>
      </c>
      <c r="AT4" s="130">
        <f t="shared" si="52"/>
        <v>3</v>
      </c>
      <c r="AU4" s="130">
        <f t="shared" si="52"/>
        <v>3</v>
      </c>
      <c r="AV4" s="130">
        <f t="shared" si="52"/>
        <v>3</v>
      </c>
      <c r="AW4" s="130">
        <f t="shared" si="52"/>
        <v>4</v>
      </c>
      <c r="AX4" s="130">
        <f t="shared" si="52"/>
        <v>4</v>
      </c>
      <c r="AY4" s="130">
        <f t="shared" si="52"/>
        <v>4</v>
      </c>
      <c r="AZ4" s="130">
        <f t="shared" si="52"/>
        <v>4</v>
      </c>
      <c r="BA4" s="130">
        <f t="shared" si="52"/>
        <v>4</v>
      </c>
      <c r="BB4" s="130">
        <f t="shared" si="52"/>
        <v>4</v>
      </c>
      <c r="BC4" s="130">
        <f t="shared" si="52"/>
        <v>4</v>
      </c>
      <c r="BD4" s="130">
        <f t="shared" si="52"/>
        <v>4</v>
      </c>
      <c r="BE4" s="130">
        <f t="shared" si="52"/>
        <v>4</v>
      </c>
      <c r="BF4" s="130">
        <f t="shared" si="52"/>
        <v>4</v>
      </c>
      <c r="BG4" s="130">
        <f t="shared" si="52"/>
        <v>4</v>
      </c>
      <c r="BH4" s="130">
        <f t="shared" si="52"/>
        <v>4</v>
      </c>
      <c r="BI4" s="130">
        <f t="shared" si="52"/>
        <v>5</v>
      </c>
      <c r="BJ4" s="130">
        <f t="shared" si="52"/>
        <v>5</v>
      </c>
      <c r="BK4" s="130">
        <f t="shared" si="52"/>
        <v>5</v>
      </c>
      <c r="BL4" s="130">
        <f t="shared" si="52"/>
        <v>5</v>
      </c>
      <c r="BM4" s="130">
        <f t="shared" si="52"/>
        <v>5</v>
      </c>
      <c r="BN4" s="130">
        <f t="shared" si="52"/>
        <v>5</v>
      </c>
      <c r="BO4" s="130">
        <f t="shared" si="52"/>
        <v>5</v>
      </c>
      <c r="BP4" s="130">
        <f t="shared" si="52"/>
        <v>5</v>
      </c>
      <c r="BQ4" s="130">
        <f t="shared" si="52"/>
        <v>5</v>
      </c>
      <c r="BR4" s="130">
        <f t="shared" si="52"/>
        <v>5</v>
      </c>
      <c r="BS4" s="130">
        <f t="shared" si="52"/>
        <v>5</v>
      </c>
      <c r="BT4" s="130">
        <f t="shared" si="52"/>
        <v>5</v>
      </c>
      <c r="BU4" s="130">
        <f t="shared" si="52"/>
        <v>6</v>
      </c>
      <c r="BV4" s="130">
        <f t="shared" si="52"/>
        <v>6</v>
      </c>
      <c r="BW4" s="130">
        <f t="shared" si="52"/>
        <v>6</v>
      </c>
      <c r="BX4" s="130">
        <f t="shared" si="52"/>
        <v>6</v>
      </c>
      <c r="BY4" s="130">
        <f t="shared" ref="BY4:EO4" si="53">ROUNDUP(BY5/12,0)</f>
        <v>6</v>
      </c>
      <c r="BZ4" s="130">
        <f t="shared" si="53"/>
        <v>6</v>
      </c>
      <c r="CA4" s="130">
        <f t="shared" si="53"/>
        <v>6</v>
      </c>
      <c r="CB4" s="130">
        <f t="shared" si="53"/>
        <v>6</v>
      </c>
      <c r="CC4" s="130">
        <f t="shared" si="53"/>
        <v>6</v>
      </c>
      <c r="CD4" s="130">
        <f t="shared" si="53"/>
        <v>6</v>
      </c>
      <c r="CE4" s="130">
        <f t="shared" si="53"/>
        <v>6</v>
      </c>
      <c r="CF4" s="130">
        <f t="shared" si="53"/>
        <v>6</v>
      </c>
      <c r="CG4" s="130">
        <f t="shared" si="53"/>
        <v>7</v>
      </c>
      <c r="CH4" s="130">
        <f t="shared" si="53"/>
        <v>7</v>
      </c>
      <c r="CI4" s="130">
        <f t="shared" si="53"/>
        <v>7</v>
      </c>
      <c r="CJ4" s="130">
        <f t="shared" si="53"/>
        <v>7</v>
      </c>
      <c r="CK4" s="130">
        <f t="shared" si="53"/>
        <v>7</v>
      </c>
      <c r="CL4" s="130">
        <f t="shared" si="53"/>
        <v>7</v>
      </c>
      <c r="CM4" s="130">
        <f t="shared" si="53"/>
        <v>7</v>
      </c>
      <c r="CN4" s="130">
        <f t="shared" si="53"/>
        <v>7</v>
      </c>
      <c r="CO4" s="130">
        <f t="shared" si="53"/>
        <v>7</v>
      </c>
      <c r="CP4" s="130">
        <f t="shared" si="53"/>
        <v>7</v>
      </c>
      <c r="CQ4" s="130">
        <f t="shared" si="53"/>
        <v>7</v>
      </c>
      <c r="CR4" s="130">
        <f t="shared" si="53"/>
        <v>7</v>
      </c>
      <c r="CS4" s="130">
        <f t="shared" si="53"/>
        <v>8</v>
      </c>
      <c r="CT4" s="130">
        <f t="shared" si="53"/>
        <v>8</v>
      </c>
      <c r="CU4" s="130">
        <f t="shared" si="53"/>
        <v>8</v>
      </c>
      <c r="CV4" s="130">
        <f t="shared" si="53"/>
        <v>8</v>
      </c>
      <c r="CW4" s="130">
        <f t="shared" si="53"/>
        <v>8</v>
      </c>
      <c r="CX4" s="130">
        <f t="shared" si="53"/>
        <v>8</v>
      </c>
      <c r="CY4" s="130">
        <f t="shared" si="53"/>
        <v>8</v>
      </c>
      <c r="CZ4" s="130">
        <f t="shared" si="53"/>
        <v>8</v>
      </c>
      <c r="DA4" s="130">
        <f t="shared" si="53"/>
        <v>8</v>
      </c>
      <c r="DB4" s="130">
        <f t="shared" si="53"/>
        <v>8</v>
      </c>
      <c r="DC4" s="130">
        <f t="shared" si="53"/>
        <v>8</v>
      </c>
      <c r="DD4" s="130">
        <f t="shared" si="53"/>
        <v>8</v>
      </c>
      <c r="DE4" s="130">
        <f t="shared" si="53"/>
        <v>9</v>
      </c>
      <c r="DF4" s="130">
        <f t="shared" si="53"/>
        <v>9</v>
      </c>
      <c r="DG4" s="130">
        <f t="shared" si="53"/>
        <v>9</v>
      </c>
      <c r="DH4" s="130">
        <f t="shared" si="53"/>
        <v>9</v>
      </c>
      <c r="DI4" s="130">
        <f t="shared" si="53"/>
        <v>9</v>
      </c>
      <c r="DJ4" s="130">
        <f t="shared" si="53"/>
        <v>9</v>
      </c>
      <c r="DK4" s="130">
        <f t="shared" si="53"/>
        <v>9</v>
      </c>
      <c r="DL4" s="130">
        <f t="shared" si="53"/>
        <v>9</v>
      </c>
      <c r="DM4" s="130">
        <f t="shared" si="53"/>
        <v>9</v>
      </c>
      <c r="DN4" s="130">
        <f t="shared" si="53"/>
        <v>9</v>
      </c>
      <c r="DO4" s="130">
        <f t="shared" si="53"/>
        <v>9</v>
      </c>
      <c r="DP4" s="130">
        <f t="shared" si="53"/>
        <v>9</v>
      </c>
      <c r="DQ4" s="130">
        <f t="shared" si="53"/>
        <v>10</v>
      </c>
      <c r="DR4" s="130">
        <f t="shared" si="53"/>
        <v>10</v>
      </c>
      <c r="DS4" s="130">
        <f t="shared" si="53"/>
        <v>10</v>
      </c>
      <c r="DT4" s="130">
        <f t="shared" si="53"/>
        <v>10</v>
      </c>
      <c r="DU4" s="130">
        <f t="shared" si="53"/>
        <v>10</v>
      </c>
      <c r="DV4" s="130">
        <f t="shared" si="53"/>
        <v>10</v>
      </c>
      <c r="DW4" s="130">
        <f t="shared" si="53"/>
        <v>10</v>
      </c>
      <c r="DX4" s="130">
        <f t="shared" si="53"/>
        <v>10</v>
      </c>
      <c r="DY4" s="130">
        <f t="shared" si="53"/>
        <v>10</v>
      </c>
      <c r="DZ4" s="130">
        <f t="shared" si="53"/>
        <v>10</v>
      </c>
      <c r="EA4" s="130">
        <f t="shared" si="53"/>
        <v>10</v>
      </c>
      <c r="EB4" s="130">
        <f t="shared" si="53"/>
        <v>10</v>
      </c>
      <c r="EC4" s="130">
        <f t="shared" si="53"/>
        <v>11</v>
      </c>
      <c r="ED4" s="130">
        <f t="shared" si="53"/>
        <v>11</v>
      </c>
      <c r="EE4" s="130">
        <f t="shared" si="53"/>
        <v>11</v>
      </c>
      <c r="EF4" s="130">
        <f t="shared" si="53"/>
        <v>11</v>
      </c>
      <c r="EG4" s="130">
        <f t="shared" si="53"/>
        <v>11</v>
      </c>
      <c r="EH4" s="130">
        <f t="shared" si="53"/>
        <v>11</v>
      </c>
      <c r="EI4" s="130">
        <f t="shared" si="53"/>
        <v>11</v>
      </c>
      <c r="EJ4" s="130">
        <f t="shared" si="53"/>
        <v>11</v>
      </c>
      <c r="EK4" s="130">
        <f t="shared" si="53"/>
        <v>11</v>
      </c>
      <c r="EL4" s="130">
        <f t="shared" si="53"/>
        <v>11</v>
      </c>
      <c r="EM4" s="130">
        <f t="shared" si="53"/>
        <v>11</v>
      </c>
      <c r="EN4" s="130">
        <f t="shared" si="53"/>
        <v>11</v>
      </c>
      <c r="EO4" s="130">
        <f t="shared" si="53"/>
        <v>12</v>
      </c>
    </row>
    <row r="5" spans="2:145" x14ac:dyDescent="0.45">
      <c r="B5" s="87" t="s">
        <v>105</v>
      </c>
      <c r="C5" s="87" t="s">
        <v>108</v>
      </c>
      <c r="D5" s="60"/>
      <c r="E5" s="87" t="s">
        <v>106</v>
      </c>
      <c r="F5" s="89" t="s">
        <v>107</v>
      </c>
      <c r="G5" s="91" t="s">
        <v>111</v>
      </c>
      <c r="H5" s="91" t="s">
        <v>112</v>
      </c>
      <c r="I5" s="91" t="s">
        <v>113</v>
      </c>
      <c r="J5" s="91" t="s">
        <v>114</v>
      </c>
      <c r="L5" s="61">
        <f>+G19</f>
        <v>0</v>
      </c>
      <c r="M5" s="61">
        <f>+L5+1</f>
        <v>1</v>
      </c>
      <c r="N5" s="61">
        <f t="shared" ref="N5:BY5" si="54">+M5+1</f>
        <v>2</v>
      </c>
      <c r="O5" s="61">
        <f t="shared" si="54"/>
        <v>3</v>
      </c>
      <c r="P5" s="61">
        <f t="shared" si="54"/>
        <v>4</v>
      </c>
      <c r="Q5" s="61">
        <f t="shared" si="54"/>
        <v>5</v>
      </c>
      <c r="R5" s="61">
        <f t="shared" si="54"/>
        <v>6</v>
      </c>
      <c r="S5" s="61">
        <f t="shared" si="54"/>
        <v>7</v>
      </c>
      <c r="T5" s="61">
        <f t="shared" si="54"/>
        <v>8</v>
      </c>
      <c r="U5" s="61">
        <f t="shared" si="54"/>
        <v>9</v>
      </c>
      <c r="V5" s="61">
        <f t="shared" si="54"/>
        <v>10</v>
      </c>
      <c r="W5" s="61">
        <f t="shared" si="54"/>
        <v>11</v>
      </c>
      <c r="X5" s="61">
        <f t="shared" si="54"/>
        <v>12</v>
      </c>
      <c r="Y5" s="61">
        <f t="shared" si="54"/>
        <v>13</v>
      </c>
      <c r="Z5" s="61">
        <f t="shared" si="54"/>
        <v>14</v>
      </c>
      <c r="AA5" s="61">
        <f t="shared" si="54"/>
        <v>15</v>
      </c>
      <c r="AB5" s="61">
        <f t="shared" si="54"/>
        <v>16</v>
      </c>
      <c r="AC5" s="61">
        <f t="shared" si="54"/>
        <v>17</v>
      </c>
      <c r="AD5" s="61">
        <f t="shared" si="54"/>
        <v>18</v>
      </c>
      <c r="AE5" s="61">
        <f t="shared" si="54"/>
        <v>19</v>
      </c>
      <c r="AF5" s="61">
        <f t="shared" si="54"/>
        <v>20</v>
      </c>
      <c r="AG5" s="61">
        <f t="shared" si="54"/>
        <v>21</v>
      </c>
      <c r="AH5" s="61">
        <f t="shared" si="54"/>
        <v>22</v>
      </c>
      <c r="AI5" s="61">
        <f t="shared" si="54"/>
        <v>23</v>
      </c>
      <c r="AJ5" s="61">
        <f t="shared" si="54"/>
        <v>24</v>
      </c>
      <c r="AK5" s="61">
        <f t="shared" si="54"/>
        <v>25</v>
      </c>
      <c r="AL5" s="61">
        <f t="shared" si="54"/>
        <v>26</v>
      </c>
      <c r="AM5" s="61">
        <f t="shared" si="54"/>
        <v>27</v>
      </c>
      <c r="AN5" s="61">
        <f t="shared" si="54"/>
        <v>28</v>
      </c>
      <c r="AO5" s="61">
        <f t="shared" si="54"/>
        <v>29</v>
      </c>
      <c r="AP5" s="61">
        <f t="shared" si="54"/>
        <v>30</v>
      </c>
      <c r="AQ5" s="61">
        <f t="shared" si="54"/>
        <v>31</v>
      </c>
      <c r="AR5" s="61">
        <f t="shared" si="54"/>
        <v>32</v>
      </c>
      <c r="AS5" s="61">
        <f t="shared" si="54"/>
        <v>33</v>
      </c>
      <c r="AT5" s="61">
        <f t="shared" si="54"/>
        <v>34</v>
      </c>
      <c r="AU5" s="61">
        <f t="shared" si="54"/>
        <v>35</v>
      </c>
      <c r="AV5" s="61">
        <f t="shared" si="54"/>
        <v>36</v>
      </c>
      <c r="AW5" s="61">
        <f t="shared" si="54"/>
        <v>37</v>
      </c>
      <c r="AX5" s="61">
        <f t="shared" si="54"/>
        <v>38</v>
      </c>
      <c r="AY5" s="61">
        <f t="shared" si="54"/>
        <v>39</v>
      </c>
      <c r="AZ5" s="61">
        <f t="shared" si="54"/>
        <v>40</v>
      </c>
      <c r="BA5" s="61">
        <f t="shared" si="54"/>
        <v>41</v>
      </c>
      <c r="BB5" s="61">
        <f t="shared" si="54"/>
        <v>42</v>
      </c>
      <c r="BC5" s="61">
        <f t="shared" si="54"/>
        <v>43</v>
      </c>
      <c r="BD5" s="61">
        <f t="shared" si="54"/>
        <v>44</v>
      </c>
      <c r="BE5" s="61">
        <f t="shared" si="54"/>
        <v>45</v>
      </c>
      <c r="BF5" s="61">
        <f t="shared" si="54"/>
        <v>46</v>
      </c>
      <c r="BG5" s="61">
        <f t="shared" si="54"/>
        <v>47</v>
      </c>
      <c r="BH5" s="61">
        <f t="shared" si="54"/>
        <v>48</v>
      </c>
      <c r="BI5" s="61">
        <f t="shared" si="54"/>
        <v>49</v>
      </c>
      <c r="BJ5" s="61">
        <f t="shared" si="54"/>
        <v>50</v>
      </c>
      <c r="BK5" s="61">
        <f t="shared" si="54"/>
        <v>51</v>
      </c>
      <c r="BL5" s="61">
        <f t="shared" si="54"/>
        <v>52</v>
      </c>
      <c r="BM5" s="61">
        <f t="shared" si="54"/>
        <v>53</v>
      </c>
      <c r="BN5" s="61">
        <f t="shared" si="54"/>
        <v>54</v>
      </c>
      <c r="BO5" s="61">
        <f t="shared" si="54"/>
        <v>55</v>
      </c>
      <c r="BP5" s="61">
        <f t="shared" si="54"/>
        <v>56</v>
      </c>
      <c r="BQ5" s="61">
        <f t="shared" si="54"/>
        <v>57</v>
      </c>
      <c r="BR5" s="61">
        <f t="shared" si="54"/>
        <v>58</v>
      </c>
      <c r="BS5" s="61">
        <f t="shared" si="54"/>
        <v>59</v>
      </c>
      <c r="BT5" s="61">
        <f t="shared" si="54"/>
        <v>60</v>
      </c>
      <c r="BU5" s="61">
        <f t="shared" si="54"/>
        <v>61</v>
      </c>
      <c r="BV5" s="61">
        <f t="shared" si="54"/>
        <v>62</v>
      </c>
      <c r="BW5" s="61">
        <f t="shared" si="54"/>
        <v>63</v>
      </c>
      <c r="BX5" s="61">
        <f t="shared" si="54"/>
        <v>64</v>
      </c>
      <c r="BY5" s="61">
        <f t="shared" si="54"/>
        <v>65</v>
      </c>
      <c r="BZ5" s="61">
        <f t="shared" ref="BZ5:CQ5" si="55">+BY5+1</f>
        <v>66</v>
      </c>
      <c r="CA5" s="61">
        <f t="shared" si="55"/>
        <v>67</v>
      </c>
      <c r="CB5" s="61">
        <f t="shared" si="55"/>
        <v>68</v>
      </c>
      <c r="CC5" s="61">
        <f t="shared" si="55"/>
        <v>69</v>
      </c>
      <c r="CD5" s="61">
        <f t="shared" si="55"/>
        <v>70</v>
      </c>
      <c r="CE5" s="61">
        <f t="shared" si="55"/>
        <v>71</v>
      </c>
      <c r="CF5" s="61">
        <f t="shared" si="55"/>
        <v>72</v>
      </c>
      <c r="CG5" s="61">
        <f t="shared" si="55"/>
        <v>73</v>
      </c>
      <c r="CH5" s="61">
        <f t="shared" si="55"/>
        <v>74</v>
      </c>
      <c r="CI5" s="61">
        <f t="shared" si="55"/>
        <v>75</v>
      </c>
      <c r="CJ5" s="61">
        <f t="shared" si="55"/>
        <v>76</v>
      </c>
      <c r="CK5" s="61">
        <f t="shared" si="55"/>
        <v>77</v>
      </c>
      <c r="CL5" s="61">
        <f t="shared" si="55"/>
        <v>78</v>
      </c>
      <c r="CM5" s="61">
        <f t="shared" si="55"/>
        <v>79</v>
      </c>
      <c r="CN5" s="61">
        <f t="shared" si="55"/>
        <v>80</v>
      </c>
      <c r="CO5" s="61">
        <f t="shared" si="55"/>
        <v>81</v>
      </c>
      <c r="CP5" s="61">
        <f t="shared" si="55"/>
        <v>82</v>
      </c>
      <c r="CQ5" s="61">
        <f t="shared" si="55"/>
        <v>83</v>
      </c>
      <c r="CR5" s="61">
        <f t="shared" ref="CR5" si="56">+CQ5+1</f>
        <v>84</v>
      </c>
      <c r="CS5" s="61">
        <f t="shared" ref="CS5" si="57">+CR5+1</f>
        <v>85</v>
      </c>
      <c r="CT5" s="61">
        <f t="shared" ref="CT5" si="58">+CS5+1</f>
        <v>86</v>
      </c>
      <c r="CU5" s="61">
        <f t="shared" ref="CU5" si="59">+CT5+1</f>
        <v>87</v>
      </c>
      <c r="CV5" s="61">
        <f t="shared" ref="CV5" si="60">+CU5+1</f>
        <v>88</v>
      </c>
      <c r="CW5" s="61">
        <f t="shared" ref="CW5" si="61">+CV5+1</f>
        <v>89</v>
      </c>
      <c r="CX5" s="61">
        <f t="shared" ref="CX5" si="62">+CW5+1</f>
        <v>90</v>
      </c>
      <c r="CY5" s="61">
        <f t="shared" ref="CY5" si="63">+CX5+1</f>
        <v>91</v>
      </c>
      <c r="CZ5" s="61">
        <f t="shared" ref="CZ5" si="64">+CY5+1</f>
        <v>92</v>
      </c>
      <c r="DA5" s="61">
        <f t="shared" ref="DA5" si="65">+CZ5+1</f>
        <v>93</v>
      </c>
      <c r="DB5" s="61">
        <f t="shared" ref="DB5" si="66">+DA5+1</f>
        <v>94</v>
      </c>
      <c r="DC5" s="61">
        <f t="shared" ref="DC5" si="67">+DB5+1</f>
        <v>95</v>
      </c>
      <c r="DD5" s="61">
        <f t="shared" ref="DD5" si="68">+DC5+1</f>
        <v>96</v>
      </c>
      <c r="DE5" s="61">
        <f t="shared" ref="DE5" si="69">+DD5+1</f>
        <v>97</v>
      </c>
      <c r="DF5" s="61">
        <f t="shared" ref="DF5" si="70">+DE5+1</f>
        <v>98</v>
      </c>
      <c r="DG5" s="61">
        <f t="shared" ref="DG5" si="71">+DF5+1</f>
        <v>99</v>
      </c>
      <c r="DH5" s="61">
        <f t="shared" ref="DH5" si="72">+DG5+1</f>
        <v>100</v>
      </c>
      <c r="DI5" s="61">
        <f t="shared" ref="DI5" si="73">+DH5+1</f>
        <v>101</v>
      </c>
      <c r="DJ5" s="61">
        <f t="shared" ref="DJ5" si="74">+DI5+1</f>
        <v>102</v>
      </c>
      <c r="DK5" s="61">
        <f t="shared" ref="DK5" si="75">+DJ5+1</f>
        <v>103</v>
      </c>
      <c r="DL5" s="61">
        <f t="shared" ref="DL5" si="76">+DK5+1</f>
        <v>104</v>
      </c>
      <c r="DM5" s="61">
        <f t="shared" ref="DM5" si="77">+DL5+1</f>
        <v>105</v>
      </c>
      <c r="DN5" s="61">
        <f t="shared" ref="DN5" si="78">+DM5+1</f>
        <v>106</v>
      </c>
      <c r="DO5" s="61">
        <f t="shared" ref="DO5" si="79">+DN5+1</f>
        <v>107</v>
      </c>
      <c r="DP5" s="61">
        <f t="shared" ref="DP5" si="80">+DO5+1</f>
        <v>108</v>
      </c>
      <c r="DQ5" s="61">
        <f t="shared" ref="DQ5" si="81">+DP5+1</f>
        <v>109</v>
      </c>
      <c r="DR5" s="61">
        <f t="shared" ref="DR5" si="82">+DQ5+1</f>
        <v>110</v>
      </c>
      <c r="DS5" s="61">
        <f t="shared" ref="DS5" si="83">+DR5+1</f>
        <v>111</v>
      </c>
      <c r="DT5" s="61">
        <f t="shared" ref="DT5" si="84">+DS5+1</f>
        <v>112</v>
      </c>
      <c r="DU5" s="61">
        <f t="shared" ref="DU5" si="85">+DT5+1</f>
        <v>113</v>
      </c>
      <c r="DV5" s="61">
        <f t="shared" ref="DV5" si="86">+DU5+1</f>
        <v>114</v>
      </c>
      <c r="DW5" s="61">
        <f t="shared" ref="DW5" si="87">+DV5+1</f>
        <v>115</v>
      </c>
      <c r="DX5" s="61">
        <f t="shared" ref="DX5" si="88">+DW5+1</f>
        <v>116</v>
      </c>
      <c r="DY5" s="61">
        <f t="shared" ref="DY5" si="89">+DX5+1</f>
        <v>117</v>
      </c>
      <c r="DZ5" s="61">
        <f t="shared" ref="DZ5" si="90">+DY5+1</f>
        <v>118</v>
      </c>
      <c r="EA5" s="61">
        <f t="shared" ref="EA5" si="91">+DZ5+1</f>
        <v>119</v>
      </c>
      <c r="EB5" s="61">
        <f t="shared" ref="EB5" si="92">+EA5+1</f>
        <v>120</v>
      </c>
      <c r="EC5" s="61">
        <f t="shared" ref="EC5" si="93">+EB5+1</f>
        <v>121</v>
      </c>
      <c r="ED5" s="61">
        <f t="shared" ref="ED5" si="94">+EC5+1</f>
        <v>122</v>
      </c>
      <c r="EE5" s="61">
        <f t="shared" ref="EE5" si="95">+ED5+1</f>
        <v>123</v>
      </c>
      <c r="EF5" s="61">
        <f t="shared" ref="EF5" si="96">+EE5+1</f>
        <v>124</v>
      </c>
      <c r="EG5" s="61">
        <f t="shared" ref="EG5" si="97">+EF5+1</f>
        <v>125</v>
      </c>
      <c r="EH5" s="61">
        <f t="shared" ref="EH5" si="98">+EG5+1</f>
        <v>126</v>
      </c>
      <c r="EI5" s="61">
        <f t="shared" ref="EI5" si="99">+EH5+1</f>
        <v>127</v>
      </c>
      <c r="EJ5" s="61">
        <f t="shared" ref="EJ5" si="100">+EI5+1</f>
        <v>128</v>
      </c>
      <c r="EK5" s="61">
        <f t="shared" ref="EK5" si="101">+EJ5+1</f>
        <v>129</v>
      </c>
      <c r="EL5" s="61">
        <f t="shared" ref="EL5" si="102">+EK5+1</f>
        <v>130</v>
      </c>
      <c r="EM5" s="61">
        <f t="shared" ref="EM5" si="103">+EL5+1</f>
        <v>131</v>
      </c>
      <c r="EN5" s="61">
        <f t="shared" ref="EN5" si="104">+EM5+1</f>
        <v>132</v>
      </c>
      <c r="EO5" s="61">
        <f t="shared" ref="EO5" si="105">+EN5+1</f>
        <v>133</v>
      </c>
    </row>
    <row r="6" spans="2:145" x14ac:dyDescent="0.45">
      <c r="B6" s="86">
        <v>100</v>
      </c>
      <c r="C6" s="86" t="s">
        <v>315</v>
      </c>
      <c r="E6" s="88">
        <v>1</v>
      </c>
      <c r="F6" s="90">
        <v>0</v>
      </c>
      <c r="G6" s="92">
        <v>1</v>
      </c>
      <c r="H6" s="99">
        <v>0.01</v>
      </c>
      <c r="I6" s="93">
        <v>0</v>
      </c>
      <c r="J6" s="65">
        <f>+I6*F6</f>
        <v>0</v>
      </c>
      <c r="L6" s="65">
        <f>($G6&lt;=L$5)*($J6/12)*(1+$H6)^(ROUNDUP(MAX(L$5-$G6+1,0)/12,0)-1)</f>
        <v>0</v>
      </c>
      <c r="M6" s="65">
        <f t="shared" ref="M6:AC18" si="106">($G6&lt;=M$5)*($J6/12)*(1+$H6)^(ROUNDUP(MAX(M$5-$G6+1,0)/12,0)-1)</f>
        <v>0</v>
      </c>
      <c r="N6" s="65">
        <f t="shared" si="106"/>
        <v>0</v>
      </c>
      <c r="O6" s="65">
        <f t="shared" si="106"/>
        <v>0</v>
      </c>
      <c r="P6" s="65">
        <f t="shared" si="106"/>
        <v>0</v>
      </c>
      <c r="Q6" s="65">
        <f t="shared" si="106"/>
        <v>0</v>
      </c>
      <c r="R6" s="65">
        <f t="shared" si="106"/>
        <v>0</v>
      </c>
      <c r="S6" s="65">
        <f t="shared" si="106"/>
        <v>0</v>
      </c>
      <c r="T6" s="65">
        <f t="shared" si="106"/>
        <v>0</v>
      </c>
      <c r="U6" s="65">
        <f t="shared" si="106"/>
        <v>0</v>
      </c>
      <c r="V6" s="65">
        <f t="shared" si="106"/>
        <v>0</v>
      </c>
      <c r="W6" s="65">
        <f t="shared" si="106"/>
        <v>0</v>
      </c>
      <c r="X6" s="65">
        <f t="shared" si="106"/>
        <v>0</v>
      </c>
      <c r="Y6" s="65">
        <f t="shared" si="106"/>
        <v>0</v>
      </c>
      <c r="Z6" s="65">
        <f t="shared" si="106"/>
        <v>0</v>
      </c>
      <c r="AA6" s="65">
        <f t="shared" si="106"/>
        <v>0</v>
      </c>
      <c r="AB6" s="65">
        <f t="shared" si="106"/>
        <v>0</v>
      </c>
      <c r="AC6" s="65">
        <f t="shared" si="106"/>
        <v>0</v>
      </c>
      <c r="AD6" s="65">
        <f t="shared" ref="AD6:CO9" si="107">($G6&lt;=AD$5)*($J6/12)*(1+$H6)^(ROUNDUP(MAX(AD$5-$G6+1,0)/12,0)-1)</f>
        <v>0</v>
      </c>
      <c r="AE6" s="65">
        <f t="shared" si="107"/>
        <v>0</v>
      </c>
      <c r="AF6" s="65">
        <f t="shared" si="107"/>
        <v>0</v>
      </c>
      <c r="AG6" s="65">
        <f t="shared" si="107"/>
        <v>0</v>
      </c>
      <c r="AH6" s="65">
        <f t="shared" si="107"/>
        <v>0</v>
      </c>
      <c r="AI6" s="65">
        <f t="shared" si="107"/>
        <v>0</v>
      </c>
      <c r="AJ6" s="65">
        <f t="shared" si="107"/>
        <v>0</v>
      </c>
      <c r="AK6" s="65">
        <f t="shared" si="107"/>
        <v>0</v>
      </c>
      <c r="AL6" s="65">
        <f t="shared" si="107"/>
        <v>0</v>
      </c>
      <c r="AM6" s="65">
        <f t="shared" si="107"/>
        <v>0</v>
      </c>
      <c r="AN6" s="65">
        <f t="shared" si="107"/>
        <v>0</v>
      </c>
      <c r="AO6" s="65">
        <f t="shared" si="107"/>
        <v>0</v>
      </c>
      <c r="AP6" s="65">
        <f t="shared" si="107"/>
        <v>0</v>
      </c>
      <c r="AQ6" s="65">
        <f t="shared" si="107"/>
        <v>0</v>
      </c>
      <c r="AR6" s="65">
        <f t="shared" si="107"/>
        <v>0</v>
      </c>
      <c r="AS6" s="65">
        <f t="shared" si="107"/>
        <v>0</v>
      </c>
      <c r="AT6" s="65">
        <f t="shared" si="107"/>
        <v>0</v>
      </c>
      <c r="AU6" s="65">
        <f t="shared" si="107"/>
        <v>0</v>
      </c>
      <c r="AV6" s="65">
        <f t="shared" si="107"/>
        <v>0</v>
      </c>
      <c r="AW6" s="65">
        <f t="shared" si="107"/>
        <v>0</v>
      </c>
      <c r="AX6" s="65">
        <f t="shared" si="107"/>
        <v>0</v>
      </c>
      <c r="AY6" s="65">
        <f t="shared" si="107"/>
        <v>0</v>
      </c>
      <c r="AZ6" s="65">
        <f t="shared" si="107"/>
        <v>0</v>
      </c>
      <c r="BA6" s="65">
        <f t="shared" si="107"/>
        <v>0</v>
      </c>
      <c r="BB6" s="65">
        <f t="shared" si="107"/>
        <v>0</v>
      </c>
      <c r="BC6" s="65">
        <f t="shared" si="107"/>
        <v>0</v>
      </c>
      <c r="BD6" s="65">
        <f t="shared" si="107"/>
        <v>0</v>
      </c>
      <c r="BE6" s="65">
        <f t="shared" si="107"/>
        <v>0</v>
      </c>
      <c r="BF6" s="65">
        <f t="shared" si="107"/>
        <v>0</v>
      </c>
      <c r="BG6" s="65">
        <f t="shared" si="107"/>
        <v>0</v>
      </c>
      <c r="BH6" s="65">
        <f t="shared" si="107"/>
        <v>0</v>
      </c>
      <c r="BI6" s="65">
        <f t="shared" si="107"/>
        <v>0</v>
      </c>
      <c r="BJ6" s="65">
        <f t="shared" si="107"/>
        <v>0</v>
      </c>
      <c r="BK6" s="65">
        <f t="shared" si="107"/>
        <v>0</v>
      </c>
      <c r="BL6" s="65">
        <f t="shared" si="107"/>
        <v>0</v>
      </c>
      <c r="BM6" s="65">
        <f t="shared" si="107"/>
        <v>0</v>
      </c>
      <c r="BN6" s="65">
        <f t="shared" si="107"/>
        <v>0</v>
      </c>
      <c r="BO6" s="65">
        <f t="shared" si="107"/>
        <v>0</v>
      </c>
      <c r="BP6" s="65">
        <f t="shared" si="107"/>
        <v>0</v>
      </c>
      <c r="BQ6" s="65">
        <f t="shared" si="107"/>
        <v>0</v>
      </c>
      <c r="BR6" s="65">
        <f t="shared" si="107"/>
        <v>0</v>
      </c>
      <c r="BS6" s="65">
        <f t="shared" si="107"/>
        <v>0</v>
      </c>
      <c r="BT6" s="65">
        <f t="shared" si="107"/>
        <v>0</v>
      </c>
      <c r="BU6" s="65">
        <f t="shared" si="107"/>
        <v>0</v>
      </c>
      <c r="BV6" s="65">
        <f t="shared" si="107"/>
        <v>0</v>
      </c>
      <c r="BW6" s="65">
        <f t="shared" si="107"/>
        <v>0</v>
      </c>
      <c r="BX6" s="65">
        <f t="shared" si="107"/>
        <v>0</v>
      </c>
      <c r="BY6" s="65">
        <f t="shared" si="107"/>
        <v>0</v>
      </c>
      <c r="BZ6" s="65">
        <f t="shared" si="107"/>
        <v>0</v>
      </c>
      <c r="CA6" s="65">
        <f t="shared" si="107"/>
        <v>0</v>
      </c>
      <c r="CB6" s="65">
        <f t="shared" si="107"/>
        <v>0</v>
      </c>
      <c r="CC6" s="65">
        <f t="shared" si="107"/>
        <v>0</v>
      </c>
      <c r="CD6" s="65">
        <f t="shared" si="107"/>
        <v>0</v>
      </c>
      <c r="CE6" s="65">
        <f t="shared" si="107"/>
        <v>0</v>
      </c>
      <c r="CF6" s="65">
        <f t="shared" si="107"/>
        <v>0</v>
      </c>
      <c r="CG6" s="65">
        <f t="shared" si="107"/>
        <v>0</v>
      </c>
      <c r="CH6" s="65">
        <f t="shared" si="107"/>
        <v>0</v>
      </c>
      <c r="CI6" s="65">
        <f t="shared" si="107"/>
        <v>0</v>
      </c>
      <c r="CJ6" s="65">
        <f t="shared" si="107"/>
        <v>0</v>
      </c>
      <c r="CK6" s="65">
        <f t="shared" si="107"/>
        <v>0</v>
      </c>
      <c r="CL6" s="65">
        <f t="shared" si="107"/>
        <v>0</v>
      </c>
      <c r="CM6" s="65">
        <f t="shared" si="107"/>
        <v>0</v>
      </c>
      <c r="CN6" s="65">
        <f t="shared" si="107"/>
        <v>0</v>
      </c>
      <c r="CO6" s="65">
        <f t="shared" si="107"/>
        <v>0</v>
      </c>
      <c r="CP6" s="65">
        <f t="shared" ref="CP6:EO18" si="108">($G6&lt;=CP$5)*($J6/12)*(1+$H6)^(ROUNDUP(MAX(CP$5-$G6+1,0)/12,0)-1)</f>
        <v>0</v>
      </c>
      <c r="CQ6" s="65">
        <f t="shared" si="108"/>
        <v>0</v>
      </c>
      <c r="CR6" s="65">
        <f t="shared" si="108"/>
        <v>0</v>
      </c>
      <c r="CS6" s="65">
        <f t="shared" si="108"/>
        <v>0</v>
      </c>
      <c r="CT6" s="65">
        <f t="shared" si="108"/>
        <v>0</v>
      </c>
      <c r="CU6" s="65">
        <f t="shared" si="108"/>
        <v>0</v>
      </c>
      <c r="CV6" s="65">
        <f t="shared" si="108"/>
        <v>0</v>
      </c>
      <c r="CW6" s="65">
        <f t="shared" si="108"/>
        <v>0</v>
      </c>
      <c r="CX6" s="65">
        <f t="shared" si="108"/>
        <v>0</v>
      </c>
      <c r="CY6" s="65">
        <f t="shared" si="108"/>
        <v>0</v>
      </c>
      <c r="CZ6" s="65">
        <f t="shared" si="108"/>
        <v>0</v>
      </c>
      <c r="DA6" s="65">
        <f t="shared" si="108"/>
        <v>0</v>
      </c>
      <c r="DB6" s="65">
        <f t="shared" si="108"/>
        <v>0</v>
      </c>
      <c r="DC6" s="65">
        <f t="shared" si="108"/>
        <v>0</v>
      </c>
      <c r="DD6" s="65">
        <f t="shared" si="108"/>
        <v>0</v>
      </c>
      <c r="DE6" s="65">
        <f t="shared" si="108"/>
        <v>0</v>
      </c>
      <c r="DF6" s="65">
        <f t="shared" si="108"/>
        <v>0</v>
      </c>
      <c r="DG6" s="65">
        <f t="shared" si="108"/>
        <v>0</v>
      </c>
      <c r="DH6" s="65">
        <f t="shared" si="108"/>
        <v>0</v>
      </c>
      <c r="DI6" s="65">
        <f t="shared" si="108"/>
        <v>0</v>
      </c>
      <c r="DJ6" s="65">
        <f t="shared" si="108"/>
        <v>0</v>
      </c>
      <c r="DK6" s="65">
        <f t="shared" si="108"/>
        <v>0</v>
      </c>
      <c r="DL6" s="65">
        <f t="shared" si="108"/>
        <v>0</v>
      </c>
      <c r="DM6" s="65">
        <f t="shared" si="108"/>
        <v>0</v>
      </c>
      <c r="DN6" s="65">
        <f t="shared" si="108"/>
        <v>0</v>
      </c>
      <c r="DO6" s="65">
        <f t="shared" si="108"/>
        <v>0</v>
      </c>
      <c r="DP6" s="65">
        <f t="shared" si="108"/>
        <v>0</v>
      </c>
      <c r="DQ6" s="65">
        <f t="shared" si="108"/>
        <v>0</v>
      </c>
      <c r="DR6" s="65">
        <f t="shared" si="108"/>
        <v>0</v>
      </c>
      <c r="DS6" s="65">
        <f t="shared" si="108"/>
        <v>0</v>
      </c>
      <c r="DT6" s="65">
        <f t="shared" si="108"/>
        <v>0</v>
      </c>
      <c r="DU6" s="65">
        <f t="shared" si="108"/>
        <v>0</v>
      </c>
      <c r="DV6" s="65">
        <f t="shared" si="108"/>
        <v>0</v>
      </c>
      <c r="DW6" s="65">
        <f t="shared" si="108"/>
        <v>0</v>
      </c>
      <c r="DX6" s="65">
        <f t="shared" si="108"/>
        <v>0</v>
      </c>
      <c r="DY6" s="65">
        <f t="shared" si="108"/>
        <v>0</v>
      </c>
      <c r="DZ6" s="65">
        <f t="shared" si="108"/>
        <v>0</v>
      </c>
      <c r="EA6" s="65">
        <f t="shared" si="108"/>
        <v>0</v>
      </c>
      <c r="EB6" s="65">
        <f t="shared" si="108"/>
        <v>0</v>
      </c>
      <c r="EC6" s="65">
        <f t="shared" si="108"/>
        <v>0</v>
      </c>
      <c r="ED6" s="65">
        <f t="shared" si="108"/>
        <v>0</v>
      </c>
      <c r="EE6" s="65">
        <f t="shared" si="108"/>
        <v>0</v>
      </c>
      <c r="EF6" s="65">
        <f t="shared" si="108"/>
        <v>0</v>
      </c>
      <c r="EG6" s="65">
        <f t="shared" si="108"/>
        <v>0</v>
      </c>
      <c r="EH6" s="65">
        <f t="shared" si="108"/>
        <v>0</v>
      </c>
      <c r="EI6" s="65">
        <f t="shared" si="108"/>
        <v>0</v>
      </c>
      <c r="EJ6" s="65">
        <f t="shared" si="108"/>
        <v>0</v>
      </c>
      <c r="EK6" s="65">
        <f t="shared" si="108"/>
        <v>0</v>
      </c>
      <c r="EL6" s="65">
        <f t="shared" si="108"/>
        <v>0</v>
      </c>
      <c r="EM6" s="65">
        <f t="shared" si="108"/>
        <v>0</v>
      </c>
      <c r="EN6" s="65">
        <f t="shared" si="108"/>
        <v>0</v>
      </c>
      <c r="EO6" s="65">
        <f t="shared" si="108"/>
        <v>0</v>
      </c>
    </row>
    <row r="7" spans="2:145" x14ac:dyDescent="0.45">
      <c r="B7" s="86">
        <f t="shared" ref="B7:B13" si="109">+B6+100</f>
        <v>200</v>
      </c>
      <c r="C7" s="86" t="s">
        <v>109</v>
      </c>
      <c r="E7" s="88">
        <v>1</v>
      </c>
      <c r="F7" s="90">
        <v>0</v>
      </c>
      <c r="G7" s="92">
        <v>0</v>
      </c>
      <c r="H7" s="99">
        <v>0.01</v>
      </c>
      <c r="I7" s="93">
        <v>0</v>
      </c>
      <c r="J7" s="65">
        <f t="shared" ref="J7:J13" si="110">+I7*F7</f>
        <v>0</v>
      </c>
      <c r="L7" s="65">
        <f t="shared" ref="L7:AA18" si="111">($G7&lt;=L$5)*($J7/12)*(1+$H7)^(ROUNDUP(MAX(L$5-$G7+1,0)/12,0)-1)</f>
        <v>0</v>
      </c>
      <c r="M7" s="65">
        <f t="shared" si="111"/>
        <v>0</v>
      </c>
      <c r="N7" s="65">
        <f t="shared" si="111"/>
        <v>0</v>
      </c>
      <c r="O7" s="65">
        <f t="shared" si="111"/>
        <v>0</v>
      </c>
      <c r="P7" s="65">
        <f t="shared" si="111"/>
        <v>0</v>
      </c>
      <c r="Q7" s="65">
        <f t="shared" si="111"/>
        <v>0</v>
      </c>
      <c r="R7" s="65">
        <f t="shared" si="111"/>
        <v>0</v>
      </c>
      <c r="S7" s="65">
        <f t="shared" si="111"/>
        <v>0</v>
      </c>
      <c r="T7" s="65">
        <f t="shared" si="111"/>
        <v>0</v>
      </c>
      <c r="U7" s="65">
        <f t="shared" si="111"/>
        <v>0</v>
      </c>
      <c r="V7" s="65">
        <f t="shared" si="111"/>
        <v>0</v>
      </c>
      <c r="W7" s="65">
        <f t="shared" si="111"/>
        <v>0</v>
      </c>
      <c r="X7" s="65">
        <f t="shared" si="111"/>
        <v>0</v>
      </c>
      <c r="Y7" s="65">
        <f t="shared" si="111"/>
        <v>0</v>
      </c>
      <c r="Z7" s="65">
        <f t="shared" si="111"/>
        <v>0</v>
      </c>
      <c r="AA7" s="65">
        <f t="shared" si="111"/>
        <v>0</v>
      </c>
      <c r="AB7" s="65">
        <f t="shared" si="106"/>
        <v>0</v>
      </c>
      <c r="AC7" s="65">
        <f t="shared" ref="AC7:CN10" si="112">($G7&lt;=AC$5)*($J7/12)*(1+$H7)^(ROUNDUP(MAX(AC$5-$G7+1,0)/12,0)-1)</f>
        <v>0</v>
      </c>
      <c r="AD7" s="65">
        <f t="shared" si="112"/>
        <v>0</v>
      </c>
      <c r="AE7" s="65">
        <f t="shared" si="112"/>
        <v>0</v>
      </c>
      <c r="AF7" s="65">
        <f t="shared" si="112"/>
        <v>0</v>
      </c>
      <c r="AG7" s="65">
        <f t="shared" si="112"/>
        <v>0</v>
      </c>
      <c r="AH7" s="65">
        <f t="shared" si="112"/>
        <v>0</v>
      </c>
      <c r="AI7" s="65">
        <f t="shared" si="112"/>
        <v>0</v>
      </c>
      <c r="AJ7" s="65">
        <f t="shared" si="112"/>
        <v>0</v>
      </c>
      <c r="AK7" s="65">
        <f t="shared" si="112"/>
        <v>0</v>
      </c>
      <c r="AL7" s="65">
        <f t="shared" si="112"/>
        <v>0</v>
      </c>
      <c r="AM7" s="65">
        <f t="shared" si="112"/>
        <v>0</v>
      </c>
      <c r="AN7" s="65">
        <f t="shared" si="112"/>
        <v>0</v>
      </c>
      <c r="AO7" s="65">
        <f t="shared" si="112"/>
        <v>0</v>
      </c>
      <c r="AP7" s="65">
        <f t="shared" si="112"/>
        <v>0</v>
      </c>
      <c r="AQ7" s="65">
        <f t="shared" si="112"/>
        <v>0</v>
      </c>
      <c r="AR7" s="65">
        <f t="shared" si="112"/>
        <v>0</v>
      </c>
      <c r="AS7" s="65">
        <f t="shared" si="112"/>
        <v>0</v>
      </c>
      <c r="AT7" s="65">
        <f t="shared" si="112"/>
        <v>0</v>
      </c>
      <c r="AU7" s="65">
        <f t="shared" si="112"/>
        <v>0</v>
      </c>
      <c r="AV7" s="65">
        <f t="shared" si="112"/>
        <v>0</v>
      </c>
      <c r="AW7" s="65">
        <f t="shared" si="112"/>
        <v>0</v>
      </c>
      <c r="AX7" s="65">
        <f t="shared" si="112"/>
        <v>0</v>
      </c>
      <c r="AY7" s="65">
        <f t="shared" si="112"/>
        <v>0</v>
      </c>
      <c r="AZ7" s="65">
        <f t="shared" si="112"/>
        <v>0</v>
      </c>
      <c r="BA7" s="65">
        <f t="shared" si="112"/>
        <v>0</v>
      </c>
      <c r="BB7" s="65">
        <f t="shared" si="112"/>
        <v>0</v>
      </c>
      <c r="BC7" s="65">
        <f t="shared" si="112"/>
        <v>0</v>
      </c>
      <c r="BD7" s="65">
        <f t="shared" si="112"/>
        <v>0</v>
      </c>
      <c r="BE7" s="65">
        <f t="shared" si="112"/>
        <v>0</v>
      </c>
      <c r="BF7" s="65">
        <f t="shared" si="112"/>
        <v>0</v>
      </c>
      <c r="BG7" s="65">
        <f t="shared" si="112"/>
        <v>0</v>
      </c>
      <c r="BH7" s="65">
        <f t="shared" si="112"/>
        <v>0</v>
      </c>
      <c r="BI7" s="65">
        <f t="shared" si="112"/>
        <v>0</v>
      </c>
      <c r="BJ7" s="65">
        <f t="shared" si="112"/>
        <v>0</v>
      </c>
      <c r="BK7" s="65">
        <f t="shared" si="112"/>
        <v>0</v>
      </c>
      <c r="BL7" s="65">
        <f t="shared" si="112"/>
        <v>0</v>
      </c>
      <c r="BM7" s="65">
        <f t="shared" si="112"/>
        <v>0</v>
      </c>
      <c r="BN7" s="65">
        <f t="shared" si="112"/>
        <v>0</v>
      </c>
      <c r="BO7" s="65">
        <f t="shared" si="112"/>
        <v>0</v>
      </c>
      <c r="BP7" s="65">
        <f t="shared" si="112"/>
        <v>0</v>
      </c>
      <c r="BQ7" s="65">
        <f t="shared" si="112"/>
        <v>0</v>
      </c>
      <c r="BR7" s="65">
        <f t="shared" si="112"/>
        <v>0</v>
      </c>
      <c r="BS7" s="65">
        <f t="shared" si="112"/>
        <v>0</v>
      </c>
      <c r="BT7" s="65">
        <f t="shared" si="112"/>
        <v>0</v>
      </c>
      <c r="BU7" s="65">
        <f t="shared" si="112"/>
        <v>0</v>
      </c>
      <c r="BV7" s="65">
        <f t="shared" si="112"/>
        <v>0</v>
      </c>
      <c r="BW7" s="65">
        <f t="shared" si="112"/>
        <v>0</v>
      </c>
      <c r="BX7" s="65">
        <f t="shared" si="112"/>
        <v>0</v>
      </c>
      <c r="BY7" s="65">
        <f t="shared" si="112"/>
        <v>0</v>
      </c>
      <c r="BZ7" s="65">
        <f t="shared" si="112"/>
        <v>0</v>
      </c>
      <c r="CA7" s="65">
        <f t="shared" si="112"/>
        <v>0</v>
      </c>
      <c r="CB7" s="65">
        <f t="shared" si="112"/>
        <v>0</v>
      </c>
      <c r="CC7" s="65">
        <f t="shared" si="112"/>
        <v>0</v>
      </c>
      <c r="CD7" s="65">
        <f t="shared" si="112"/>
        <v>0</v>
      </c>
      <c r="CE7" s="65">
        <f t="shared" si="112"/>
        <v>0</v>
      </c>
      <c r="CF7" s="65">
        <f t="shared" si="112"/>
        <v>0</v>
      </c>
      <c r="CG7" s="65">
        <f t="shared" si="112"/>
        <v>0</v>
      </c>
      <c r="CH7" s="65">
        <f t="shared" si="112"/>
        <v>0</v>
      </c>
      <c r="CI7" s="65">
        <f t="shared" si="112"/>
        <v>0</v>
      </c>
      <c r="CJ7" s="65">
        <f t="shared" si="112"/>
        <v>0</v>
      </c>
      <c r="CK7" s="65">
        <f t="shared" si="112"/>
        <v>0</v>
      </c>
      <c r="CL7" s="65">
        <f t="shared" si="112"/>
        <v>0</v>
      </c>
      <c r="CM7" s="65">
        <f t="shared" si="112"/>
        <v>0</v>
      </c>
      <c r="CN7" s="65">
        <f t="shared" si="112"/>
        <v>0</v>
      </c>
      <c r="CO7" s="65">
        <f t="shared" si="107"/>
        <v>0</v>
      </c>
      <c r="CP7" s="65">
        <f t="shared" si="108"/>
        <v>0</v>
      </c>
      <c r="CQ7" s="65">
        <f t="shared" si="108"/>
        <v>0</v>
      </c>
      <c r="CR7" s="65">
        <f t="shared" si="108"/>
        <v>0</v>
      </c>
      <c r="CS7" s="65">
        <f t="shared" si="108"/>
        <v>0</v>
      </c>
      <c r="CT7" s="65">
        <f t="shared" si="108"/>
        <v>0</v>
      </c>
      <c r="CU7" s="65">
        <f t="shared" si="108"/>
        <v>0</v>
      </c>
      <c r="CV7" s="65">
        <f t="shared" si="108"/>
        <v>0</v>
      </c>
      <c r="CW7" s="65">
        <f t="shared" si="108"/>
        <v>0</v>
      </c>
      <c r="CX7" s="65">
        <f t="shared" si="108"/>
        <v>0</v>
      </c>
      <c r="CY7" s="65">
        <f t="shared" si="108"/>
        <v>0</v>
      </c>
      <c r="CZ7" s="65">
        <f t="shared" si="108"/>
        <v>0</v>
      </c>
      <c r="DA7" s="65">
        <f t="shared" si="108"/>
        <v>0</v>
      </c>
      <c r="DB7" s="65">
        <f t="shared" si="108"/>
        <v>0</v>
      </c>
      <c r="DC7" s="65">
        <f t="shared" si="108"/>
        <v>0</v>
      </c>
      <c r="DD7" s="65">
        <f t="shared" si="108"/>
        <v>0</v>
      </c>
      <c r="DE7" s="65">
        <f t="shared" si="108"/>
        <v>0</v>
      </c>
      <c r="DF7" s="65">
        <f t="shared" si="108"/>
        <v>0</v>
      </c>
      <c r="DG7" s="65">
        <f t="shared" si="108"/>
        <v>0</v>
      </c>
      <c r="DH7" s="65">
        <f t="shared" si="108"/>
        <v>0</v>
      </c>
      <c r="DI7" s="65">
        <f t="shared" si="108"/>
        <v>0</v>
      </c>
      <c r="DJ7" s="65">
        <f t="shared" si="108"/>
        <v>0</v>
      </c>
      <c r="DK7" s="65">
        <f t="shared" si="108"/>
        <v>0</v>
      </c>
      <c r="DL7" s="65">
        <f t="shared" si="108"/>
        <v>0</v>
      </c>
      <c r="DM7" s="65">
        <f t="shared" si="108"/>
        <v>0</v>
      </c>
      <c r="DN7" s="65">
        <f t="shared" si="108"/>
        <v>0</v>
      </c>
      <c r="DO7" s="65">
        <f t="shared" si="108"/>
        <v>0</v>
      </c>
      <c r="DP7" s="65">
        <f t="shared" si="108"/>
        <v>0</v>
      </c>
      <c r="DQ7" s="65">
        <f t="shared" si="108"/>
        <v>0</v>
      </c>
      <c r="DR7" s="65">
        <f t="shared" si="108"/>
        <v>0</v>
      </c>
      <c r="DS7" s="65">
        <f t="shared" si="108"/>
        <v>0</v>
      </c>
      <c r="DT7" s="65">
        <f t="shared" si="108"/>
        <v>0</v>
      </c>
      <c r="DU7" s="65">
        <f t="shared" si="108"/>
        <v>0</v>
      </c>
      <c r="DV7" s="65">
        <f t="shared" si="108"/>
        <v>0</v>
      </c>
      <c r="DW7" s="65">
        <f t="shared" si="108"/>
        <v>0</v>
      </c>
      <c r="DX7" s="65">
        <f t="shared" si="108"/>
        <v>0</v>
      </c>
      <c r="DY7" s="65">
        <f t="shared" si="108"/>
        <v>0</v>
      </c>
      <c r="DZ7" s="65">
        <f t="shared" si="108"/>
        <v>0</v>
      </c>
      <c r="EA7" s="65">
        <f t="shared" si="108"/>
        <v>0</v>
      </c>
      <c r="EB7" s="65">
        <f t="shared" si="108"/>
        <v>0</v>
      </c>
      <c r="EC7" s="65">
        <f t="shared" si="108"/>
        <v>0</v>
      </c>
      <c r="ED7" s="65">
        <f t="shared" si="108"/>
        <v>0</v>
      </c>
      <c r="EE7" s="65">
        <f t="shared" si="108"/>
        <v>0</v>
      </c>
      <c r="EF7" s="65">
        <f t="shared" si="108"/>
        <v>0</v>
      </c>
      <c r="EG7" s="65">
        <f t="shared" si="108"/>
        <v>0</v>
      </c>
      <c r="EH7" s="65">
        <f t="shared" si="108"/>
        <v>0</v>
      </c>
      <c r="EI7" s="65">
        <f t="shared" si="108"/>
        <v>0</v>
      </c>
      <c r="EJ7" s="65">
        <f t="shared" si="108"/>
        <v>0</v>
      </c>
      <c r="EK7" s="65">
        <f t="shared" si="108"/>
        <v>0</v>
      </c>
      <c r="EL7" s="65">
        <f t="shared" si="108"/>
        <v>0</v>
      </c>
      <c r="EM7" s="65">
        <f t="shared" si="108"/>
        <v>0</v>
      </c>
      <c r="EN7" s="65">
        <f t="shared" si="108"/>
        <v>0</v>
      </c>
      <c r="EO7" s="65">
        <f t="shared" si="108"/>
        <v>0</v>
      </c>
    </row>
    <row r="8" spans="2:145" x14ac:dyDescent="0.45">
      <c r="B8" s="86">
        <f t="shared" si="109"/>
        <v>300</v>
      </c>
      <c r="C8" s="86" t="s">
        <v>109</v>
      </c>
      <c r="E8" s="88">
        <v>1</v>
      </c>
      <c r="F8" s="90">
        <v>0</v>
      </c>
      <c r="G8" s="92">
        <v>0</v>
      </c>
      <c r="H8" s="99">
        <v>0.01</v>
      </c>
      <c r="I8" s="93">
        <v>0</v>
      </c>
      <c r="J8" s="65">
        <f t="shared" si="110"/>
        <v>0</v>
      </c>
      <c r="L8" s="65">
        <f t="shared" si="111"/>
        <v>0</v>
      </c>
      <c r="M8" s="65">
        <f t="shared" si="106"/>
        <v>0</v>
      </c>
      <c r="N8" s="65">
        <f t="shared" si="106"/>
        <v>0</v>
      </c>
      <c r="O8" s="65">
        <f t="shared" si="106"/>
        <v>0</v>
      </c>
      <c r="P8" s="65">
        <f t="shared" si="106"/>
        <v>0</v>
      </c>
      <c r="Q8" s="65">
        <f t="shared" si="106"/>
        <v>0</v>
      </c>
      <c r="R8" s="65">
        <f t="shared" si="106"/>
        <v>0</v>
      </c>
      <c r="S8" s="65">
        <f t="shared" si="106"/>
        <v>0</v>
      </c>
      <c r="T8" s="65">
        <f t="shared" si="106"/>
        <v>0</v>
      </c>
      <c r="U8" s="65">
        <f t="shared" si="106"/>
        <v>0</v>
      </c>
      <c r="V8" s="65">
        <f t="shared" si="106"/>
        <v>0</v>
      </c>
      <c r="W8" s="65">
        <f t="shared" si="106"/>
        <v>0</v>
      </c>
      <c r="X8" s="65">
        <f t="shared" si="106"/>
        <v>0</v>
      </c>
      <c r="Y8" s="65">
        <f t="shared" si="106"/>
        <v>0</v>
      </c>
      <c r="Z8" s="65">
        <f t="shared" si="106"/>
        <v>0</v>
      </c>
      <c r="AA8" s="65">
        <f t="shared" si="106"/>
        <v>0</v>
      </c>
      <c r="AB8" s="65">
        <f t="shared" si="106"/>
        <v>0</v>
      </c>
      <c r="AC8" s="65">
        <f t="shared" si="112"/>
        <v>0</v>
      </c>
      <c r="AD8" s="65">
        <f t="shared" si="112"/>
        <v>0</v>
      </c>
      <c r="AE8" s="65">
        <f t="shared" si="112"/>
        <v>0</v>
      </c>
      <c r="AF8" s="65">
        <f t="shared" si="112"/>
        <v>0</v>
      </c>
      <c r="AG8" s="65">
        <f t="shared" si="112"/>
        <v>0</v>
      </c>
      <c r="AH8" s="65">
        <f t="shared" si="112"/>
        <v>0</v>
      </c>
      <c r="AI8" s="65">
        <f t="shared" si="112"/>
        <v>0</v>
      </c>
      <c r="AJ8" s="65">
        <f t="shared" si="112"/>
        <v>0</v>
      </c>
      <c r="AK8" s="65">
        <f t="shared" si="112"/>
        <v>0</v>
      </c>
      <c r="AL8" s="65">
        <f t="shared" si="112"/>
        <v>0</v>
      </c>
      <c r="AM8" s="65">
        <f t="shared" si="112"/>
        <v>0</v>
      </c>
      <c r="AN8" s="65">
        <f t="shared" si="112"/>
        <v>0</v>
      </c>
      <c r="AO8" s="65">
        <f t="shared" si="112"/>
        <v>0</v>
      </c>
      <c r="AP8" s="65">
        <f t="shared" si="112"/>
        <v>0</v>
      </c>
      <c r="AQ8" s="65">
        <f t="shared" si="112"/>
        <v>0</v>
      </c>
      <c r="AR8" s="65">
        <f t="shared" si="112"/>
        <v>0</v>
      </c>
      <c r="AS8" s="65">
        <f t="shared" si="112"/>
        <v>0</v>
      </c>
      <c r="AT8" s="65">
        <f t="shared" si="112"/>
        <v>0</v>
      </c>
      <c r="AU8" s="65">
        <f t="shared" si="112"/>
        <v>0</v>
      </c>
      <c r="AV8" s="65">
        <f t="shared" si="112"/>
        <v>0</v>
      </c>
      <c r="AW8" s="65">
        <f t="shared" si="112"/>
        <v>0</v>
      </c>
      <c r="AX8" s="65">
        <f t="shared" si="112"/>
        <v>0</v>
      </c>
      <c r="AY8" s="65">
        <f t="shared" si="112"/>
        <v>0</v>
      </c>
      <c r="AZ8" s="65">
        <f t="shared" si="112"/>
        <v>0</v>
      </c>
      <c r="BA8" s="65">
        <f t="shared" si="112"/>
        <v>0</v>
      </c>
      <c r="BB8" s="65">
        <f t="shared" si="112"/>
        <v>0</v>
      </c>
      <c r="BC8" s="65">
        <f t="shared" si="112"/>
        <v>0</v>
      </c>
      <c r="BD8" s="65">
        <f t="shared" si="112"/>
        <v>0</v>
      </c>
      <c r="BE8" s="65">
        <f t="shared" si="112"/>
        <v>0</v>
      </c>
      <c r="BF8" s="65">
        <f t="shared" si="112"/>
        <v>0</v>
      </c>
      <c r="BG8" s="65">
        <f t="shared" si="112"/>
        <v>0</v>
      </c>
      <c r="BH8" s="65">
        <f t="shared" si="112"/>
        <v>0</v>
      </c>
      <c r="BI8" s="65">
        <f t="shared" si="112"/>
        <v>0</v>
      </c>
      <c r="BJ8" s="65">
        <f t="shared" si="112"/>
        <v>0</v>
      </c>
      <c r="BK8" s="65">
        <f t="shared" si="112"/>
        <v>0</v>
      </c>
      <c r="BL8" s="65">
        <f t="shared" si="112"/>
        <v>0</v>
      </c>
      <c r="BM8" s="65">
        <f t="shared" si="112"/>
        <v>0</v>
      </c>
      <c r="BN8" s="65">
        <f t="shared" si="112"/>
        <v>0</v>
      </c>
      <c r="BO8" s="65">
        <f t="shared" si="112"/>
        <v>0</v>
      </c>
      <c r="BP8" s="65">
        <f t="shared" si="112"/>
        <v>0</v>
      </c>
      <c r="BQ8" s="65">
        <f t="shared" si="112"/>
        <v>0</v>
      </c>
      <c r="BR8" s="65">
        <f t="shared" si="112"/>
        <v>0</v>
      </c>
      <c r="BS8" s="65">
        <f t="shared" si="112"/>
        <v>0</v>
      </c>
      <c r="BT8" s="65">
        <f t="shared" si="112"/>
        <v>0</v>
      </c>
      <c r="BU8" s="65">
        <f t="shared" si="112"/>
        <v>0</v>
      </c>
      <c r="BV8" s="65">
        <f t="shared" si="112"/>
        <v>0</v>
      </c>
      <c r="BW8" s="65">
        <f t="shared" si="112"/>
        <v>0</v>
      </c>
      <c r="BX8" s="65">
        <f t="shared" si="112"/>
        <v>0</v>
      </c>
      <c r="BY8" s="65">
        <f t="shared" si="112"/>
        <v>0</v>
      </c>
      <c r="BZ8" s="65">
        <f t="shared" si="112"/>
        <v>0</v>
      </c>
      <c r="CA8" s="65">
        <f t="shared" si="112"/>
        <v>0</v>
      </c>
      <c r="CB8" s="65">
        <f t="shared" si="112"/>
        <v>0</v>
      </c>
      <c r="CC8" s="65">
        <f t="shared" si="112"/>
        <v>0</v>
      </c>
      <c r="CD8" s="65">
        <f t="shared" si="112"/>
        <v>0</v>
      </c>
      <c r="CE8" s="65">
        <f t="shared" si="112"/>
        <v>0</v>
      </c>
      <c r="CF8" s="65">
        <f t="shared" si="112"/>
        <v>0</v>
      </c>
      <c r="CG8" s="65">
        <f t="shared" si="112"/>
        <v>0</v>
      </c>
      <c r="CH8" s="65">
        <f t="shared" si="112"/>
        <v>0</v>
      </c>
      <c r="CI8" s="65">
        <f t="shared" si="112"/>
        <v>0</v>
      </c>
      <c r="CJ8" s="65">
        <f t="shared" si="112"/>
        <v>0</v>
      </c>
      <c r="CK8" s="65">
        <f t="shared" si="112"/>
        <v>0</v>
      </c>
      <c r="CL8" s="65">
        <f t="shared" si="112"/>
        <v>0</v>
      </c>
      <c r="CM8" s="65">
        <f t="shared" si="112"/>
        <v>0</v>
      </c>
      <c r="CN8" s="65">
        <f t="shared" si="112"/>
        <v>0</v>
      </c>
      <c r="CO8" s="65">
        <f t="shared" si="107"/>
        <v>0</v>
      </c>
      <c r="CP8" s="65">
        <f t="shared" si="108"/>
        <v>0</v>
      </c>
      <c r="CQ8" s="65">
        <f t="shared" si="108"/>
        <v>0</v>
      </c>
      <c r="CR8" s="65">
        <f t="shared" si="108"/>
        <v>0</v>
      </c>
      <c r="CS8" s="65">
        <f t="shared" si="108"/>
        <v>0</v>
      </c>
      <c r="CT8" s="65">
        <f t="shared" si="108"/>
        <v>0</v>
      </c>
      <c r="CU8" s="65">
        <f t="shared" si="108"/>
        <v>0</v>
      </c>
      <c r="CV8" s="65">
        <f t="shared" si="108"/>
        <v>0</v>
      </c>
      <c r="CW8" s="65">
        <f t="shared" si="108"/>
        <v>0</v>
      </c>
      <c r="CX8" s="65">
        <f t="shared" si="108"/>
        <v>0</v>
      </c>
      <c r="CY8" s="65">
        <f t="shared" si="108"/>
        <v>0</v>
      </c>
      <c r="CZ8" s="65">
        <f t="shared" si="108"/>
        <v>0</v>
      </c>
      <c r="DA8" s="65">
        <f t="shared" si="108"/>
        <v>0</v>
      </c>
      <c r="DB8" s="65">
        <f t="shared" si="108"/>
        <v>0</v>
      </c>
      <c r="DC8" s="65">
        <f t="shared" si="108"/>
        <v>0</v>
      </c>
      <c r="DD8" s="65">
        <f t="shared" si="108"/>
        <v>0</v>
      </c>
      <c r="DE8" s="65">
        <f t="shared" si="108"/>
        <v>0</v>
      </c>
      <c r="DF8" s="65">
        <f t="shared" si="108"/>
        <v>0</v>
      </c>
      <c r="DG8" s="65">
        <f t="shared" si="108"/>
        <v>0</v>
      </c>
      <c r="DH8" s="65">
        <f t="shared" si="108"/>
        <v>0</v>
      </c>
      <c r="DI8" s="65">
        <f t="shared" si="108"/>
        <v>0</v>
      </c>
      <c r="DJ8" s="65">
        <f t="shared" si="108"/>
        <v>0</v>
      </c>
      <c r="DK8" s="65">
        <f t="shared" si="108"/>
        <v>0</v>
      </c>
      <c r="DL8" s="65">
        <f t="shared" si="108"/>
        <v>0</v>
      </c>
      <c r="DM8" s="65">
        <f t="shared" si="108"/>
        <v>0</v>
      </c>
      <c r="DN8" s="65">
        <f t="shared" si="108"/>
        <v>0</v>
      </c>
      <c r="DO8" s="65">
        <f t="shared" si="108"/>
        <v>0</v>
      </c>
      <c r="DP8" s="65">
        <f t="shared" si="108"/>
        <v>0</v>
      </c>
      <c r="DQ8" s="65">
        <f t="shared" si="108"/>
        <v>0</v>
      </c>
      <c r="DR8" s="65">
        <f t="shared" si="108"/>
        <v>0</v>
      </c>
      <c r="DS8" s="65">
        <f t="shared" si="108"/>
        <v>0</v>
      </c>
      <c r="DT8" s="65">
        <f t="shared" si="108"/>
        <v>0</v>
      </c>
      <c r="DU8" s="65">
        <f t="shared" si="108"/>
        <v>0</v>
      </c>
      <c r="DV8" s="65">
        <f t="shared" si="108"/>
        <v>0</v>
      </c>
      <c r="DW8" s="65">
        <f t="shared" si="108"/>
        <v>0</v>
      </c>
      <c r="DX8" s="65">
        <f t="shared" si="108"/>
        <v>0</v>
      </c>
      <c r="DY8" s="65">
        <f t="shared" si="108"/>
        <v>0</v>
      </c>
      <c r="DZ8" s="65">
        <f t="shared" si="108"/>
        <v>0</v>
      </c>
      <c r="EA8" s="65">
        <f t="shared" si="108"/>
        <v>0</v>
      </c>
      <c r="EB8" s="65">
        <f t="shared" si="108"/>
        <v>0</v>
      </c>
      <c r="EC8" s="65">
        <f t="shared" si="108"/>
        <v>0</v>
      </c>
      <c r="ED8" s="65">
        <f t="shared" si="108"/>
        <v>0</v>
      </c>
      <c r="EE8" s="65">
        <f t="shared" si="108"/>
        <v>0</v>
      </c>
      <c r="EF8" s="65">
        <f t="shared" si="108"/>
        <v>0</v>
      </c>
      <c r="EG8" s="65">
        <f t="shared" si="108"/>
        <v>0</v>
      </c>
      <c r="EH8" s="65">
        <f t="shared" si="108"/>
        <v>0</v>
      </c>
      <c r="EI8" s="65">
        <f t="shared" si="108"/>
        <v>0</v>
      </c>
      <c r="EJ8" s="65">
        <f t="shared" si="108"/>
        <v>0</v>
      </c>
      <c r="EK8" s="65">
        <f t="shared" si="108"/>
        <v>0</v>
      </c>
      <c r="EL8" s="65">
        <f t="shared" si="108"/>
        <v>0</v>
      </c>
      <c r="EM8" s="65">
        <f t="shared" si="108"/>
        <v>0</v>
      </c>
      <c r="EN8" s="65">
        <f t="shared" si="108"/>
        <v>0</v>
      </c>
      <c r="EO8" s="65">
        <f t="shared" si="108"/>
        <v>0</v>
      </c>
    </row>
    <row r="9" spans="2:145" x14ac:dyDescent="0.45">
      <c r="B9" s="86">
        <f t="shared" si="109"/>
        <v>400</v>
      </c>
      <c r="C9" s="86" t="s">
        <v>109</v>
      </c>
      <c r="E9" s="88">
        <v>1</v>
      </c>
      <c r="F9" s="90">
        <v>0</v>
      </c>
      <c r="G9" s="92">
        <v>0</v>
      </c>
      <c r="H9" s="99">
        <v>0.01</v>
      </c>
      <c r="I9" s="93">
        <v>0</v>
      </c>
      <c r="J9" s="65">
        <f t="shared" si="110"/>
        <v>0</v>
      </c>
      <c r="L9" s="65">
        <f t="shared" si="111"/>
        <v>0</v>
      </c>
      <c r="M9" s="65">
        <f t="shared" si="106"/>
        <v>0</v>
      </c>
      <c r="N9" s="65">
        <f t="shared" si="106"/>
        <v>0</v>
      </c>
      <c r="O9" s="65">
        <f t="shared" si="106"/>
        <v>0</v>
      </c>
      <c r="P9" s="65">
        <f t="shared" si="106"/>
        <v>0</v>
      </c>
      <c r="Q9" s="65">
        <f t="shared" si="106"/>
        <v>0</v>
      </c>
      <c r="R9" s="65">
        <f t="shared" si="106"/>
        <v>0</v>
      </c>
      <c r="S9" s="65">
        <f t="shared" si="106"/>
        <v>0</v>
      </c>
      <c r="T9" s="65">
        <f t="shared" si="106"/>
        <v>0</v>
      </c>
      <c r="U9" s="65">
        <f t="shared" si="106"/>
        <v>0</v>
      </c>
      <c r="V9" s="65">
        <f t="shared" si="106"/>
        <v>0</v>
      </c>
      <c r="W9" s="65">
        <f t="shared" si="106"/>
        <v>0</v>
      </c>
      <c r="X9" s="65">
        <f t="shared" si="106"/>
        <v>0</v>
      </c>
      <c r="Y9" s="65">
        <f t="shared" si="106"/>
        <v>0</v>
      </c>
      <c r="Z9" s="65">
        <f t="shared" si="106"/>
        <v>0</v>
      </c>
      <c r="AA9" s="65">
        <f t="shared" si="106"/>
        <v>0</v>
      </c>
      <c r="AB9" s="65">
        <f t="shared" si="106"/>
        <v>0</v>
      </c>
      <c r="AC9" s="65">
        <f t="shared" si="112"/>
        <v>0</v>
      </c>
      <c r="AD9" s="65">
        <f t="shared" si="112"/>
        <v>0</v>
      </c>
      <c r="AE9" s="65">
        <f t="shared" si="112"/>
        <v>0</v>
      </c>
      <c r="AF9" s="65">
        <f t="shared" si="112"/>
        <v>0</v>
      </c>
      <c r="AG9" s="65">
        <f t="shared" si="112"/>
        <v>0</v>
      </c>
      <c r="AH9" s="65">
        <f t="shared" si="112"/>
        <v>0</v>
      </c>
      <c r="AI9" s="65">
        <f t="shared" si="112"/>
        <v>0</v>
      </c>
      <c r="AJ9" s="65">
        <f t="shared" si="112"/>
        <v>0</v>
      </c>
      <c r="AK9" s="65">
        <f t="shared" si="112"/>
        <v>0</v>
      </c>
      <c r="AL9" s="65">
        <f t="shared" si="112"/>
        <v>0</v>
      </c>
      <c r="AM9" s="65">
        <f t="shared" si="112"/>
        <v>0</v>
      </c>
      <c r="AN9" s="65">
        <f t="shared" si="112"/>
        <v>0</v>
      </c>
      <c r="AO9" s="65">
        <f t="shared" si="112"/>
        <v>0</v>
      </c>
      <c r="AP9" s="65">
        <f t="shared" si="112"/>
        <v>0</v>
      </c>
      <c r="AQ9" s="65">
        <f t="shared" si="112"/>
        <v>0</v>
      </c>
      <c r="AR9" s="65">
        <f t="shared" si="112"/>
        <v>0</v>
      </c>
      <c r="AS9" s="65">
        <f t="shared" si="112"/>
        <v>0</v>
      </c>
      <c r="AT9" s="65">
        <f t="shared" si="112"/>
        <v>0</v>
      </c>
      <c r="AU9" s="65">
        <f t="shared" si="112"/>
        <v>0</v>
      </c>
      <c r="AV9" s="65">
        <f t="shared" si="112"/>
        <v>0</v>
      </c>
      <c r="AW9" s="65">
        <f t="shared" si="112"/>
        <v>0</v>
      </c>
      <c r="AX9" s="65">
        <f t="shared" si="112"/>
        <v>0</v>
      </c>
      <c r="AY9" s="65">
        <f t="shared" si="112"/>
        <v>0</v>
      </c>
      <c r="AZ9" s="65">
        <f t="shared" si="112"/>
        <v>0</v>
      </c>
      <c r="BA9" s="65">
        <f t="shared" si="112"/>
        <v>0</v>
      </c>
      <c r="BB9" s="65">
        <f t="shared" si="112"/>
        <v>0</v>
      </c>
      <c r="BC9" s="65">
        <f t="shared" si="112"/>
        <v>0</v>
      </c>
      <c r="BD9" s="65">
        <f t="shared" si="112"/>
        <v>0</v>
      </c>
      <c r="BE9" s="65">
        <f t="shared" si="112"/>
        <v>0</v>
      </c>
      <c r="BF9" s="65">
        <f t="shared" si="112"/>
        <v>0</v>
      </c>
      <c r="BG9" s="65">
        <f t="shared" si="112"/>
        <v>0</v>
      </c>
      <c r="BH9" s="65">
        <f t="shared" si="112"/>
        <v>0</v>
      </c>
      <c r="BI9" s="65">
        <f t="shared" si="112"/>
        <v>0</v>
      </c>
      <c r="BJ9" s="65">
        <f t="shared" si="112"/>
        <v>0</v>
      </c>
      <c r="BK9" s="65">
        <f t="shared" si="112"/>
        <v>0</v>
      </c>
      <c r="BL9" s="65">
        <f t="shared" si="112"/>
        <v>0</v>
      </c>
      <c r="BM9" s="65">
        <f t="shared" si="112"/>
        <v>0</v>
      </c>
      <c r="BN9" s="65">
        <f t="shared" si="112"/>
        <v>0</v>
      </c>
      <c r="BO9" s="65">
        <f t="shared" si="112"/>
        <v>0</v>
      </c>
      <c r="BP9" s="65">
        <f t="shared" si="112"/>
        <v>0</v>
      </c>
      <c r="BQ9" s="65">
        <f t="shared" si="112"/>
        <v>0</v>
      </c>
      <c r="BR9" s="65">
        <f t="shared" si="112"/>
        <v>0</v>
      </c>
      <c r="BS9" s="65">
        <f t="shared" si="112"/>
        <v>0</v>
      </c>
      <c r="BT9" s="65">
        <f t="shared" si="112"/>
        <v>0</v>
      </c>
      <c r="BU9" s="65">
        <f t="shared" si="112"/>
        <v>0</v>
      </c>
      <c r="BV9" s="65">
        <f t="shared" si="112"/>
        <v>0</v>
      </c>
      <c r="BW9" s="65">
        <f t="shared" si="112"/>
        <v>0</v>
      </c>
      <c r="BX9" s="65">
        <f t="shared" si="112"/>
        <v>0</v>
      </c>
      <c r="BY9" s="65">
        <f t="shared" si="112"/>
        <v>0</v>
      </c>
      <c r="BZ9" s="65">
        <f t="shared" si="112"/>
        <v>0</v>
      </c>
      <c r="CA9" s="65">
        <f t="shared" si="112"/>
        <v>0</v>
      </c>
      <c r="CB9" s="65">
        <f t="shared" si="112"/>
        <v>0</v>
      </c>
      <c r="CC9" s="65">
        <f t="shared" si="112"/>
        <v>0</v>
      </c>
      <c r="CD9" s="65">
        <f t="shared" si="112"/>
        <v>0</v>
      </c>
      <c r="CE9" s="65">
        <f t="shared" si="112"/>
        <v>0</v>
      </c>
      <c r="CF9" s="65">
        <f t="shared" si="112"/>
        <v>0</v>
      </c>
      <c r="CG9" s="65">
        <f t="shared" si="112"/>
        <v>0</v>
      </c>
      <c r="CH9" s="65">
        <f t="shared" si="112"/>
        <v>0</v>
      </c>
      <c r="CI9" s="65">
        <f t="shared" si="112"/>
        <v>0</v>
      </c>
      <c r="CJ9" s="65">
        <f t="shared" si="112"/>
        <v>0</v>
      </c>
      <c r="CK9" s="65">
        <f t="shared" si="112"/>
        <v>0</v>
      </c>
      <c r="CL9" s="65">
        <f t="shared" si="112"/>
        <v>0</v>
      </c>
      <c r="CM9" s="65">
        <f t="shared" si="112"/>
        <v>0</v>
      </c>
      <c r="CN9" s="65">
        <f t="shared" si="112"/>
        <v>0</v>
      </c>
      <c r="CO9" s="65">
        <f t="shared" si="107"/>
        <v>0</v>
      </c>
      <c r="CP9" s="65">
        <f t="shared" si="108"/>
        <v>0</v>
      </c>
      <c r="CQ9" s="65">
        <f t="shared" si="108"/>
        <v>0</v>
      </c>
      <c r="CR9" s="65">
        <f t="shared" si="108"/>
        <v>0</v>
      </c>
      <c r="CS9" s="65">
        <f t="shared" si="108"/>
        <v>0</v>
      </c>
      <c r="CT9" s="65">
        <f t="shared" si="108"/>
        <v>0</v>
      </c>
      <c r="CU9" s="65">
        <f t="shared" si="108"/>
        <v>0</v>
      </c>
      <c r="CV9" s="65">
        <f t="shared" si="108"/>
        <v>0</v>
      </c>
      <c r="CW9" s="65">
        <f t="shared" si="108"/>
        <v>0</v>
      </c>
      <c r="CX9" s="65">
        <f t="shared" si="108"/>
        <v>0</v>
      </c>
      <c r="CY9" s="65">
        <f t="shared" si="108"/>
        <v>0</v>
      </c>
      <c r="CZ9" s="65">
        <f t="shared" si="108"/>
        <v>0</v>
      </c>
      <c r="DA9" s="65">
        <f t="shared" si="108"/>
        <v>0</v>
      </c>
      <c r="DB9" s="65">
        <f t="shared" si="108"/>
        <v>0</v>
      </c>
      <c r="DC9" s="65">
        <f t="shared" si="108"/>
        <v>0</v>
      </c>
      <c r="DD9" s="65">
        <f t="shared" si="108"/>
        <v>0</v>
      </c>
      <c r="DE9" s="65">
        <f t="shared" si="108"/>
        <v>0</v>
      </c>
      <c r="DF9" s="65">
        <f t="shared" si="108"/>
        <v>0</v>
      </c>
      <c r="DG9" s="65">
        <f t="shared" si="108"/>
        <v>0</v>
      </c>
      <c r="DH9" s="65">
        <f t="shared" si="108"/>
        <v>0</v>
      </c>
      <c r="DI9" s="65">
        <f t="shared" si="108"/>
        <v>0</v>
      </c>
      <c r="DJ9" s="65">
        <f t="shared" si="108"/>
        <v>0</v>
      </c>
      <c r="DK9" s="65">
        <f t="shared" si="108"/>
        <v>0</v>
      </c>
      <c r="DL9" s="65">
        <f t="shared" si="108"/>
        <v>0</v>
      </c>
      <c r="DM9" s="65">
        <f t="shared" si="108"/>
        <v>0</v>
      </c>
      <c r="DN9" s="65">
        <f t="shared" si="108"/>
        <v>0</v>
      </c>
      <c r="DO9" s="65">
        <f t="shared" si="108"/>
        <v>0</v>
      </c>
      <c r="DP9" s="65">
        <f t="shared" si="108"/>
        <v>0</v>
      </c>
      <c r="DQ9" s="65">
        <f t="shared" si="108"/>
        <v>0</v>
      </c>
      <c r="DR9" s="65">
        <f t="shared" si="108"/>
        <v>0</v>
      </c>
      <c r="DS9" s="65">
        <f t="shared" si="108"/>
        <v>0</v>
      </c>
      <c r="DT9" s="65">
        <f t="shared" si="108"/>
        <v>0</v>
      </c>
      <c r="DU9" s="65">
        <f t="shared" si="108"/>
        <v>0</v>
      </c>
      <c r="DV9" s="65">
        <f t="shared" si="108"/>
        <v>0</v>
      </c>
      <c r="DW9" s="65">
        <f t="shared" si="108"/>
        <v>0</v>
      </c>
      <c r="DX9" s="65">
        <f t="shared" si="108"/>
        <v>0</v>
      </c>
      <c r="DY9" s="65">
        <f t="shared" si="108"/>
        <v>0</v>
      </c>
      <c r="DZ9" s="65">
        <f t="shared" si="108"/>
        <v>0</v>
      </c>
      <c r="EA9" s="65">
        <f t="shared" si="108"/>
        <v>0</v>
      </c>
      <c r="EB9" s="65">
        <f t="shared" si="108"/>
        <v>0</v>
      </c>
      <c r="EC9" s="65">
        <f t="shared" si="108"/>
        <v>0</v>
      </c>
      <c r="ED9" s="65">
        <f t="shared" si="108"/>
        <v>0</v>
      </c>
      <c r="EE9" s="65">
        <f t="shared" si="108"/>
        <v>0</v>
      </c>
      <c r="EF9" s="65">
        <f t="shared" si="108"/>
        <v>0</v>
      </c>
      <c r="EG9" s="65">
        <f t="shared" si="108"/>
        <v>0</v>
      </c>
      <c r="EH9" s="65">
        <f t="shared" si="108"/>
        <v>0</v>
      </c>
      <c r="EI9" s="65">
        <f t="shared" si="108"/>
        <v>0</v>
      </c>
      <c r="EJ9" s="65">
        <f t="shared" si="108"/>
        <v>0</v>
      </c>
      <c r="EK9" s="65">
        <f t="shared" si="108"/>
        <v>0</v>
      </c>
      <c r="EL9" s="65">
        <f t="shared" si="108"/>
        <v>0</v>
      </c>
      <c r="EM9" s="65">
        <f t="shared" si="108"/>
        <v>0</v>
      </c>
      <c r="EN9" s="65">
        <f t="shared" si="108"/>
        <v>0</v>
      </c>
      <c r="EO9" s="65">
        <f t="shared" si="108"/>
        <v>0</v>
      </c>
    </row>
    <row r="10" spans="2:145" x14ac:dyDescent="0.45">
      <c r="B10" s="86">
        <f t="shared" si="109"/>
        <v>500</v>
      </c>
      <c r="C10" s="86" t="s">
        <v>109</v>
      </c>
      <c r="E10" s="88">
        <v>1</v>
      </c>
      <c r="F10" s="90">
        <v>0</v>
      </c>
      <c r="G10" s="92">
        <v>0</v>
      </c>
      <c r="H10" s="99">
        <v>0.01</v>
      </c>
      <c r="I10" s="93">
        <v>0</v>
      </c>
      <c r="J10" s="65">
        <f t="shared" si="110"/>
        <v>0</v>
      </c>
      <c r="L10" s="65">
        <f t="shared" si="111"/>
        <v>0</v>
      </c>
      <c r="M10" s="65">
        <f t="shared" si="106"/>
        <v>0</v>
      </c>
      <c r="N10" s="65">
        <f t="shared" si="106"/>
        <v>0</v>
      </c>
      <c r="O10" s="65">
        <f t="shared" si="106"/>
        <v>0</v>
      </c>
      <c r="P10" s="65">
        <f t="shared" si="106"/>
        <v>0</v>
      </c>
      <c r="Q10" s="65">
        <f t="shared" si="106"/>
        <v>0</v>
      </c>
      <c r="R10" s="65">
        <f t="shared" si="106"/>
        <v>0</v>
      </c>
      <c r="S10" s="65">
        <f t="shared" si="106"/>
        <v>0</v>
      </c>
      <c r="T10" s="65">
        <f t="shared" si="106"/>
        <v>0</v>
      </c>
      <c r="U10" s="65">
        <f t="shared" si="106"/>
        <v>0</v>
      </c>
      <c r="V10" s="65">
        <f t="shared" si="106"/>
        <v>0</v>
      </c>
      <c r="W10" s="65">
        <f t="shared" si="106"/>
        <v>0</v>
      </c>
      <c r="X10" s="65">
        <f t="shared" si="106"/>
        <v>0</v>
      </c>
      <c r="Y10" s="65">
        <f t="shared" si="106"/>
        <v>0</v>
      </c>
      <c r="Z10" s="65">
        <f t="shared" si="106"/>
        <v>0</v>
      </c>
      <c r="AA10" s="65">
        <f t="shared" si="106"/>
        <v>0</v>
      </c>
      <c r="AB10" s="65">
        <f t="shared" si="106"/>
        <v>0</v>
      </c>
      <c r="AC10" s="65">
        <f t="shared" si="112"/>
        <v>0</v>
      </c>
      <c r="AD10" s="65">
        <f t="shared" si="112"/>
        <v>0</v>
      </c>
      <c r="AE10" s="65">
        <f t="shared" si="112"/>
        <v>0</v>
      </c>
      <c r="AF10" s="65">
        <f t="shared" si="112"/>
        <v>0</v>
      </c>
      <c r="AG10" s="65">
        <f t="shared" si="112"/>
        <v>0</v>
      </c>
      <c r="AH10" s="65">
        <f t="shared" si="112"/>
        <v>0</v>
      </c>
      <c r="AI10" s="65">
        <f t="shared" si="112"/>
        <v>0</v>
      </c>
      <c r="AJ10" s="65">
        <f t="shared" si="112"/>
        <v>0</v>
      </c>
      <c r="AK10" s="65">
        <f t="shared" si="112"/>
        <v>0</v>
      </c>
      <c r="AL10" s="65">
        <f t="shared" si="112"/>
        <v>0</v>
      </c>
      <c r="AM10" s="65">
        <f t="shared" si="112"/>
        <v>0</v>
      </c>
      <c r="AN10" s="65">
        <f t="shared" si="112"/>
        <v>0</v>
      </c>
      <c r="AO10" s="65">
        <f t="shared" si="112"/>
        <v>0</v>
      </c>
      <c r="AP10" s="65">
        <f t="shared" si="112"/>
        <v>0</v>
      </c>
      <c r="AQ10" s="65">
        <f t="shared" si="112"/>
        <v>0</v>
      </c>
      <c r="AR10" s="65">
        <f t="shared" si="112"/>
        <v>0</v>
      </c>
      <c r="AS10" s="65">
        <f t="shared" si="112"/>
        <v>0</v>
      </c>
      <c r="AT10" s="65">
        <f t="shared" si="112"/>
        <v>0</v>
      </c>
      <c r="AU10" s="65">
        <f t="shared" si="112"/>
        <v>0</v>
      </c>
      <c r="AV10" s="65">
        <f t="shared" si="112"/>
        <v>0</v>
      </c>
      <c r="AW10" s="65">
        <f t="shared" si="112"/>
        <v>0</v>
      </c>
      <c r="AX10" s="65">
        <f t="shared" si="112"/>
        <v>0</v>
      </c>
      <c r="AY10" s="65">
        <f t="shared" si="112"/>
        <v>0</v>
      </c>
      <c r="AZ10" s="65">
        <f t="shared" si="112"/>
        <v>0</v>
      </c>
      <c r="BA10" s="65">
        <f t="shared" si="112"/>
        <v>0</v>
      </c>
      <c r="BB10" s="65">
        <f t="shared" si="112"/>
        <v>0</v>
      </c>
      <c r="BC10" s="65">
        <f t="shared" si="112"/>
        <v>0</v>
      </c>
      <c r="BD10" s="65">
        <f t="shared" si="112"/>
        <v>0</v>
      </c>
      <c r="BE10" s="65">
        <f t="shared" si="112"/>
        <v>0</v>
      </c>
      <c r="BF10" s="65">
        <f t="shared" si="112"/>
        <v>0</v>
      </c>
      <c r="BG10" s="65">
        <f t="shared" si="112"/>
        <v>0</v>
      </c>
      <c r="BH10" s="65">
        <f t="shared" si="112"/>
        <v>0</v>
      </c>
      <c r="BI10" s="65">
        <f t="shared" si="112"/>
        <v>0</v>
      </c>
      <c r="BJ10" s="65">
        <f t="shared" si="112"/>
        <v>0</v>
      </c>
      <c r="BK10" s="65">
        <f t="shared" si="112"/>
        <v>0</v>
      </c>
      <c r="BL10" s="65">
        <f t="shared" si="112"/>
        <v>0</v>
      </c>
      <c r="BM10" s="65">
        <f t="shared" si="112"/>
        <v>0</v>
      </c>
      <c r="BN10" s="65">
        <f t="shared" si="112"/>
        <v>0</v>
      </c>
      <c r="BO10" s="65">
        <f t="shared" si="112"/>
        <v>0</v>
      </c>
      <c r="BP10" s="65">
        <f t="shared" si="112"/>
        <v>0</v>
      </c>
      <c r="BQ10" s="65">
        <f t="shared" si="112"/>
        <v>0</v>
      </c>
      <c r="BR10" s="65">
        <f t="shared" si="112"/>
        <v>0</v>
      </c>
      <c r="BS10" s="65">
        <f t="shared" si="112"/>
        <v>0</v>
      </c>
      <c r="BT10" s="65">
        <f t="shared" si="112"/>
        <v>0</v>
      </c>
      <c r="BU10" s="65">
        <f t="shared" si="112"/>
        <v>0</v>
      </c>
      <c r="BV10" s="65">
        <f t="shared" si="112"/>
        <v>0</v>
      </c>
      <c r="BW10" s="65">
        <f t="shared" si="112"/>
        <v>0</v>
      </c>
      <c r="BX10" s="65">
        <f t="shared" si="112"/>
        <v>0</v>
      </c>
      <c r="BY10" s="65">
        <f t="shared" si="112"/>
        <v>0</v>
      </c>
      <c r="BZ10" s="65">
        <f t="shared" si="112"/>
        <v>0</v>
      </c>
      <c r="CA10" s="65">
        <f t="shared" si="112"/>
        <v>0</v>
      </c>
      <c r="CB10" s="65">
        <f t="shared" si="112"/>
        <v>0</v>
      </c>
      <c r="CC10" s="65">
        <f t="shared" si="112"/>
        <v>0</v>
      </c>
      <c r="CD10" s="65">
        <f t="shared" si="112"/>
        <v>0</v>
      </c>
      <c r="CE10" s="65">
        <f t="shared" si="112"/>
        <v>0</v>
      </c>
      <c r="CF10" s="65">
        <f t="shared" si="112"/>
        <v>0</v>
      </c>
      <c r="CG10" s="65">
        <f t="shared" si="112"/>
        <v>0</v>
      </c>
      <c r="CH10" s="65">
        <f t="shared" si="112"/>
        <v>0</v>
      </c>
      <c r="CI10" s="65">
        <f t="shared" si="112"/>
        <v>0</v>
      </c>
      <c r="CJ10" s="65">
        <f t="shared" si="112"/>
        <v>0</v>
      </c>
      <c r="CK10" s="65">
        <f t="shared" si="112"/>
        <v>0</v>
      </c>
      <c r="CL10" s="65">
        <f t="shared" si="112"/>
        <v>0</v>
      </c>
      <c r="CM10" s="65">
        <f t="shared" si="112"/>
        <v>0</v>
      </c>
      <c r="CN10" s="65">
        <f t="shared" ref="CN10:DC18" si="113">($G10&lt;=CN$5)*($J10/12)*(1+$H10)^(ROUNDUP(MAX(CN$5-$G10+1,0)/12,0)-1)</f>
        <v>0</v>
      </c>
      <c r="CO10" s="65">
        <f t="shared" si="113"/>
        <v>0</v>
      </c>
      <c r="CP10" s="65">
        <f t="shared" si="113"/>
        <v>0</v>
      </c>
      <c r="CQ10" s="65">
        <f t="shared" si="113"/>
        <v>0</v>
      </c>
      <c r="CR10" s="65">
        <f t="shared" si="113"/>
        <v>0</v>
      </c>
      <c r="CS10" s="65">
        <f t="shared" si="113"/>
        <v>0</v>
      </c>
      <c r="CT10" s="65">
        <f t="shared" si="113"/>
        <v>0</v>
      </c>
      <c r="CU10" s="65">
        <f t="shared" si="113"/>
        <v>0</v>
      </c>
      <c r="CV10" s="65">
        <f t="shared" si="113"/>
        <v>0</v>
      </c>
      <c r="CW10" s="65">
        <f t="shared" si="113"/>
        <v>0</v>
      </c>
      <c r="CX10" s="65">
        <f t="shared" si="113"/>
        <v>0</v>
      </c>
      <c r="CY10" s="65">
        <f t="shared" si="113"/>
        <v>0</v>
      </c>
      <c r="CZ10" s="65">
        <f t="shared" si="113"/>
        <v>0</v>
      </c>
      <c r="DA10" s="65">
        <f t="shared" si="113"/>
        <v>0</v>
      </c>
      <c r="DB10" s="65">
        <f t="shared" si="113"/>
        <v>0</v>
      </c>
      <c r="DC10" s="65">
        <f t="shared" si="113"/>
        <v>0</v>
      </c>
      <c r="DD10" s="65">
        <f t="shared" si="108"/>
        <v>0</v>
      </c>
      <c r="DE10" s="65">
        <f t="shared" si="108"/>
        <v>0</v>
      </c>
      <c r="DF10" s="65">
        <f t="shared" si="108"/>
        <v>0</v>
      </c>
      <c r="DG10" s="65">
        <f t="shared" si="108"/>
        <v>0</v>
      </c>
      <c r="DH10" s="65">
        <f t="shared" si="108"/>
        <v>0</v>
      </c>
      <c r="DI10" s="65">
        <f t="shared" si="108"/>
        <v>0</v>
      </c>
      <c r="DJ10" s="65">
        <f t="shared" si="108"/>
        <v>0</v>
      </c>
      <c r="DK10" s="65">
        <f t="shared" si="108"/>
        <v>0</v>
      </c>
      <c r="DL10" s="65">
        <f t="shared" si="108"/>
        <v>0</v>
      </c>
      <c r="DM10" s="65">
        <f t="shared" si="108"/>
        <v>0</v>
      </c>
      <c r="DN10" s="65">
        <f t="shared" si="108"/>
        <v>0</v>
      </c>
      <c r="DO10" s="65">
        <f t="shared" si="108"/>
        <v>0</v>
      </c>
      <c r="DP10" s="65">
        <f t="shared" si="108"/>
        <v>0</v>
      </c>
      <c r="DQ10" s="65">
        <f t="shared" si="108"/>
        <v>0</v>
      </c>
      <c r="DR10" s="65">
        <f t="shared" si="108"/>
        <v>0</v>
      </c>
      <c r="DS10" s="65">
        <f t="shared" si="108"/>
        <v>0</v>
      </c>
      <c r="DT10" s="65">
        <f t="shared" si="108"/>
        <v>0</v>
      </c>
      <c r="DU10" s="65">
        <f t="shared" si="108"/>
        <v>0</v>
      </c>
      <c r="DV10" s="65">
        <f t="shared" si="108"/>
        <v>0</v>
      </c>
      <c r="DW10" s="65">
        <f t="shared" si="108"/>
        <v>0</v>
      </c>
      <c r="DX10" s="65">
        <f t="shared" si="108"/>
        <v>0</v>
      </c>
      <c r="DY10" s="65">
        <f t="shared" si="108"/>
        <v>0</v>
      </c>
      <c r="DZ10" s="65">
        <f t="shared" si="108"/>
        <v>0</v>
      </c>
      <c r="EA10" s="65">
        <f t="shared" si="108"/>
        <v>0</v>
      </c>
      <c r="EB10" s="65">
        <f t="shared" si="108"/>
        <v>0</v>
      </c>
      <c r="EC10" s="65">
        <f t="shared" si="108"/>
        <v>0</v>
      </c>
      <c r="ED10" s="65">
        <f t="shared" ref="DE10:EO17" si="114">($G10&lt;=ED$5)*($J10/12)*(1+$H10)^(ROUNDUP(MAX(ED$5-$G10+1,0)/12,0)-1)</f>
        <v>0</v>
      </c>
      <c r="EE10" s="65">
        <f t="shared" si="114"/>
        <v>0</v>
      </c>
      <c r="EF10" s="65">
        <f t="shared" si="114"/>
        <v>0</v>
      </c>
      <c r="EG10" s="65">
        <f t="shared" si="114"/>
        <v>0</v>
      </c>
      <c r="EH10" s="65">
        <f t="shared" si="114"/>
        <v>0</v>
      </c>
      <c r="EI10" s="65">
        <f t="shared" si="114"/>
        <v>0</v>
      </c>
      <c r="EJ10" s="65">
        <f t="shared" si="114"/>
        <v>0</v>
      </c>
      <c r="EK10" s="65">
        <f t="shared" si="114"/>
        <v>0</v>
      </c>
      <c r="EL10" s="65">
        <f t="shared" si="114"/>
        <v>0</v>
      </c>
      <c r="EM10" s="65">
        <f t="shared" si="114"/>
        <v>0</v>
      </c>
      <c r="EN10" s="65">
        <f t="shared" si="114"/>
        <v>0</v>
      </c>
      <c r="EO10" s="65">
        <f t="shared" si="114"/>
        <v>0</v>
      </c>
    </row>
    <row r="11" spans="2:145" x14ac:dyDescent="0.45">
      <c r="B11" s="86">
        <f t="shared" si="109"/>
        <v>600</v>
      </c>
      <c r="C11" s="86" t="s">
        <v>109</v>
      </c>
      <c r="E11" s="88">
        <v>1</v>
      </c>
      <c r="F11" s="90">
        <v>0</v>
      </c>
      <c r="G11" s="92">
        <v>0</v>
      </c>
      <c r="H11" s="99">
        <v>0.01</v>
      </c>
      <c r="I11" s="93">
        <v>0</v>
      </c>
      <c r="J11" s="65">
        <f t="shared" si="110"/>
        <v>0</v>
      </c>
      <c r="L11" s="65">
        <f t="shared" si="111"/>
        <v>0</v>
      </c>
      <c r="M11" s="65">
        <f t="shared" si="106"/>
        <v>0</v>
      </c>
      <c r="N11" s="65">
        <f t="shared" si="106"/>
        <v>0</v>
      </c>
      <c r="O11" s="65">
        <f t="shared" si="106"/>
        <v>0</v>
      </c>
      <c r="P11" s="65">
        <f t="shared" si="106"/>
        <v>0</v>
      </c>
      <c r="Q11" s="65">
        <f t="shared" si="106"/>
        <v>0</v>
      </c>
      <c r="R11" s="65">
        <f t="shared" si="106"/>
        <v>0</v>
      </c>
      <c r="S11" s="65">
        <f t="shared" si="106"/>
        <v>0</v>
      </c>
      <c r="T11" s="65">
        <f t="shared" si="106"/>
        <v>0</v>
      </c>
      <c r="U11" s="65">
        <f t="shared" si="106"/>
        <v>0</v>
      </c>
      <c r="V11" s="65">
        <f t="shared" si="106"/>
        <v>0</v>
      </c>
      <c r="W11" s="65">
        <f t="shared" si="106"/>
        <v>0</v>
      </c>
      <c r="X11" s="65">
        <f t="shared" si="106"/>
        <v>0</v>
      </c>
      <c r="Y11" s="65">
        <f t="shared" si="106"/>
        <v>0</v>
      </c>
      <c r="Z11" s="65">
        <f t="shared" si="106"/>
        <v>0</v>
      </c>
      <c r="AA11" s="65">
        <f t="shared" si="106"/>
        <v>0</v>
      </c>
      <c r="AB11" s="65">
        <f t="shared" si="106"/>
        <v>0</v>
      </c>
      <c r="AC11" s="65">
        <f t="shared" si="106"/>
        <v>0</v>
      </c>
      <c r="AD11" s="65">
        <f t="shared" ref="AD11:AS18" si="115">($G11&lt;=AD$5)*($J11/12)*(1+$H11)^(ROUNDUP(MAX(AD$5-$G11+1,0)/12,0)-1)</f>
        <v>0</v>
      </c>
      <c r="AE11" s="65">
        <f t="shared" si="115"/>
        <v>0</v>
      </c>
      <c r="AF11" s="65">
        <f t="shared" si="115"/>
        <v>0</v>
      </c>
      <c r="AG11" s="65">
        <f t="shared" si="115"/>
        <v>0</v>
      </c>
      <c r="AH11" s="65">
        <f t="shared" si="115"/>
        <v>0</v>
      </c>
      <c r="AI11" s="65">
        <f t="shared" si="115"/>
        <v>0</v>
      </c>
      <c r="AJ11" s="65">
        <f t="shared" si="115"/>
        <v>0</v>
      </c>
      <c r="AK11" s="65">
        <f t="shared" si="115"/>
        <v>0</v>
      </c>
      <c r="AL11" s="65">
        <f t="shared" si="115"/>
        <v>0</v>
      </c>
      <c r="AM11" s="65">
        <f t="shared" si="115"/>
        <v>0</v>
      </c>
      <c r="AN11" s="65">
        <f t="shared" si="115"/>
        <v>0</v>
      </c>
      <c r="AO11" s="65">
        <f t="shared" si="115"/>
        <v>0</v>
      </c>
      <c r="AP11" s="65">
        <f t="shared" si="115"/>
        <v>0</v>
      </c>
      <c r="AQ11" s="65">
        <f t="shared" si="115"/>
        <v>0</v>
      </c>
      <c r="AR11" s="65">
        <f t="shared" si="115"/>
        <v>0</v>
      </c>
      <c r="AS11" s="65">
        <f t="shared" si="115"/>
        <v>0</v>
      </c>
      <c r="AT11" s="65">
        <f t="shared" ref="AT11:BI18" si="116">($G11&lt;=AT$5)*($J11/12)*(1+$H11)^(ROUNDUP(MAX(AT$5-$G11+1,0)/12,0)-1)</f>
        <v>0</v>
      </c>
      <c r="AU11" s="65">
        <f t="shared" si="116"/>
        <v>0</v>
      </c>
      <c r="AV11" s="65">
        <f t="shared" si="116"/>
        <v>0</v>
      </c>
      <c r="AW11" s="65">
        <f t="shared" si="116"/>
        <v>0</v>
      </c>
      <c r="AX11" s="65">
        <f t="shared" si="116"/>
        <v>0</v>
      </c>
      <c r="AY11" s="65">
        <f t="shared" si="116"/>
        <v>0</v>
      </c>
      <c r="AZ11" s="65">
        <f t="shared" si="116"/>
        <v>0</v>
      </c>
      <c r="BA11" s="65">
        <f t="shared" si="116"/>
        <v>0</v>
      </c>
      <c r="BB11" s="65">
        <f t="shared" si="116"/>
        <v>0</v>
      </c>
      <c r="BC11" s="65">
        <f t="shared" si="116"/>
        <v>0</v>
      </c>
      <c r="BD11" s="65">
        <f t="shared" si="116"/>
        <v>0</v>
      </c>
      <c r="BE11" s="65">
        <f t="shared" si="116"/>
        <v>0</v>
      </c>
      <c r="BF11" s="65">
        <f t="shared" si="116"/>
        <v>0</v>
      </c>
      <c r="BG11" s="65">
        <f t="shared" si="116"/>
        <v>0</v>
      </c>
      <c r="BH11" s="65">
        <f t="shared" si="116"/>
        <v>0</v>
      </c>
      <c r="BI11" s="65">
        <f t="shared" si="116"/>
        <v>0</v>
      </c>
      <c r="BJ11" s="65">
        <f t="shared" ref="BJ11:BY18" si="117">($G11&lt;=BJ$5)*($J11/12)*(1+$H11)^(ROUNDUP(MAX(BJ$5-$G11+1,0)/12,0)-1)</f>
        <v>0</v>
      </c>
      <c r="BK11" s="65">
        <f t="shared" si="117"/>
        <v>0</v>
      </c>
      <c r="BL11" s="65">
        <f t="shared" si="117"/>
        <v>0</v>
      </c>
      <c r="BM11" s="65">
        <f t="shared" si="117"/>
        <v>0</v>
      </c>
      <c r="BN11" s="65">
        <f t="shared" si="117"/>
        <v>0</v>
      </c>
      <c r="BO11" s="65">
        <f t="shared" si="117"/>
        <v>0</v>
      </c>
      <c r="BP11" s="65">
        <f t="shared" si="117"/>
        <v>0</v>
      </c>
      <c r="BQ11" s="65">
        <f t="shared" si="117"/>
        <v>0</v>
      </c>
      <c r="BR11" s="65">
        <f t="shared" si="117"/>
        <v>0</v>
      </c>
      <c r="BS11" s="65">
        <f t="shared" si="117"/>
        <v>0</v>
      </c>
      <c r="BT11" s="65">
        <f t="shared" si="117"/>
        <v>0</v>
      </c>
      <c r="BU11" s="65">
        <f t="shared" si="117"/>
        <v>0</v>
      </c>
      <c r="BV11" s="65">
        <f t="shared" si="117"/>
        <v>0</v>
      </c>
      <c r="BW11" s="65">
        <f t="shared" si="117"/>
        <v>0</v>
      </c>
      <c r="BX11" s="65">
        <f t="shared" si="117"/>
        <v>0</v>
      </c>
      <c r="BY11" s="65">
        <f t="shared" si="117"/>
        <v>0</v>
      </c>
      <c r="BZ11" s="65">
        <f t="shared" ref="BZ11:CM18" si="118">($G11&lt;=BZ$5)*($J11/12)*(1+$H11)^(ROUNDUP(MAX(BZ$5-$G11+1,0)/12,0)-1)</f>
        <v>0</v>
      </c>
      <c r="CA11" s="65">
        <f t="shared" si="118"/>
        <v>0</v>
      </c>
      <c r="CB11" s="65">
        <f t="shared" si="118"/>
        <v>0</v>
      </c>
      <c r="CC11" s="65">
        <f t="shared" si="118"/>
        <v>0</v>
      </c>
      <c r="CD11" s="65">
        <f t="shared" si="118"/>
        <v>0</v>
      </c>
      <c r="CE11" s="65">
        <f t="shared" si="118"/>
        <v>0</v>
      </c>
      <c r="CF11" s="65">
        <f t="shared" si="118"/>
        <v>0</v>
      </c>
      <c r="CG11" s="65">
        <f t="shared" si="118"/>
        <v>0</v>
      </c>
      <c r="CH11" s="65">
        <f t="shared" si="118"/>
        <v>0</v>
      </c>
      <c r="CI11" s="65">
        <f t="shared" si="118"/>
        <v>0</v>
      </c>
      <c r="CJ11" s="65">
        <f t="shared" si="118"/>
        <v>0</v>
      </c>
      <c r="CK11" s="65">
        <f t="shared" si="118"/>
        <v>0</v>
      </c>
      <c r="CL11" s="65">
        <f t="shared" si="118"/>
        <v>0</v>
      </c>
      <c r="CM11" s="65">
        <f t="shared" si="118"/>
        <v>0</v>
      </c>
      <c r="CN11" s="65">
        <f t="shared" si="113"/>
        <v>0</v>
      </c>
      <c r="CO11" s="65">
        <f t="shared" si="113"/>
        <v>0</v>
      </c>
      <c r="CP11" s="65">
        <f t="shared" si="113"/>
        <v>0</v>
      </c>
      <c r="CQ11" s="65">
        <f t="shared" si="113"/>
        <v>0</v>
      </c>
      <c r="CR11" s="65">
        <f t="shared" si="113"/>
        <v>0</v>
      </c>
      <c r="CS11" s="65">
        <f t="shared" si="113"/>
        <v>0</v>
      </c>
      <c r="CT11" s="65">
        <f t="shared" si="113"/>
        <v>0</v>
      </c>
      <c r="CU11" s="65">
        <f t="shared" si="113"/>
        <v>0</v>
      </c>
      <c r="CV11" s="65">
        <f t="shared" si="113"/>
        <v>0</v>
      </c>
      <c r="CW11" s="65">
        <f t="shared" si="113"/>
        <v>0</v>
      </c>
      <c r="CX11" s="65">
        <f t="shared" si="113"/>
        <v>0</v>
      </c>
      <c r="CY11" s="65">
        <f t="shared" si="113"/>
        <v>0</v>
      </c>
      <c r="CZ11" s="65">
        <f t="shared" si="113"/>
        <v>0</v>
      </c>
      <c r="DA11" s="65">
        <f t="shared" si="113"/>
        <v>0</v>
      </c>
      <c r="DB11" s="65">
        <f t="shared" si="113"/>
        <v>0</v>
      </c>
      <c r="DC11" s="65">
        <f t="shared" si="113"/>
        <v>0</v>
      </c>
      <c r="DD11" s="65">
        <f t="shared" si="108"/>
        <v>0</v>
      </c>
      <c r="DE11" s="65">
        <f t="shared" si="114"/>
        <v>0</v>
      </c>
      <c r="DF11" s="65">
        <f t="shared" si="114"/>
        <v>0</v>
      </c>
      <c r="DG11" s="65">
        <f t="shared" si="114"/>
        <v>0</v>
      </c>
      <c r="DH11" s="65">
        <f t="shared" si="114"/>
        <v>0</v>
      </c>
      <c r="DI11" s="65">
        <f t="shared" si="114"/>
        <v>0</v>
      </c>
      <c r="DJ11" s="65">
        <f t="shared" si="114"/>
        <v>0</v>
      </c>
      <c r="DK11" s="65">
        <f t="shared" si="114"/>
        <v>0</v>
      </c>
      <c r="DL11" s="65">
        <f t="shared" si="114"/>
        <v>0</v>
      </c>
      <c r="DM11" s="65">
        <f t="shared" si="114"/>
        <v>0</v>
      </c>
      <c r="DN11" s="65">
        <f t="shared" si="114"/>
        <v>0</v>
      </c>
      <c r="DO11" s="65">
        <f t="shared" si="114"/>
        <v>0</v>
      </c>
      <c r="DP11" s="65">
        <f t="shared" si="114"/>
        <v>0</v>
      </c>
      <c r="DQ11" s="65">
        <f t="shared" si="114"/>
        <v>0</v>
      </c>
      <c r="DR11" s="65">
        <f t="shared" si="114"/>
        <v>0</v>
      </c>
      <c r="DS11" s="65">
        <f t="shared" si="114"/>
        <v>0</v>
      </c>
      <c r="DT11" s="65">
        <f t="shared" si="114"/>
        <v>0</v>
      </c>
      <c r="DU11" s="65">
        <f t="shared" si="114"/>
        <v>0</v>
      </c>
      <c r="DV11" s="65">
        <f t="shared" si="114"/>
        <v>0</v>
      </c>
      <c r="DW11" s="65">
        <f t="shared" si="114"/>
        <v>0</v>
      </c>
      <c r="DX11" s="65">
        <f t="shared" si="114"/>
        <v>0</v>
      </c>
      <c r="DY11" s="65">
        <f t="shared" si="114"/>
        <v>0</v>
      </c>
      <c r="DZ11" s="65">
        <f t="shared" si="114"/>
        <v>0</v>
      </c>
      <c r="EA11" s="65">
        <f t="shared" si="114"/>
        <v>0</v>
      </c>
      <c r="EB11" s="65">
        <f t="shared" si="114"/>
        <v>0</v>
      </c>
      <c r="EC11" s="65">
        <f t="shared" si="114"/>
        <v>0</v>
      </c>
      <c r="ED11" s="65">
        <f t="shared" si="114"/>
        <v>0</v>
      </c>
      <c r="EE11" s="65">
        <f t="shared" si="114"/>
        <v>0</v>
      </c>
      <c r="EF11" s="65">
        <f t="shared" si="114"/>
        <v>0</v>
      </c>
      <c r="EG11" s="65">
        <f t="shared" si="114"/>
        <v>0</v>
      </c>
      <c r="EH11" s="65">
        <f t="shared" si="114"/>
        <v>0</v>
      </c>
      <c r="EI11" s="65">
        <f t="shared" si="114"/>
        <v>0</v>
      </c>
      <c r="EJ11" s="65">
        <f t="shared" si="114"/>
        <v>0</v>
      </c>
      <c r="EK11" s="65">
        <f t="shared" si="114"/>
        <v>0</v>
      </c>
      <c r="EL11" s="65">
        <f t="shared" si="114"/>
        <v>0</v>
      </c>
      <c r="EM11" s="65">
        <f t="shared" si="114"/>
        <v>0</v>
      </c>
      <c r="EN11" s="65">
        <f t="shared" si="114"/>
        <v>0</v>
      </c>
      <c r="EO11" s="65">
        <f t="shared" si="114"/>
        <v>0</v>
      </c>
    </row>
    <row r="12" spans="2:145" x14ac:dyDescent="0.45">
      <c r="B12" s="86">
        <f t="shared" si="109"/>
        <v>700</v>
      </c>
      <c r="C12" s="86" t="s">
        <v>109</v>
      </c>
      <c r="E12" s="88">
        <v>1</v>
      </c>
      <c r="F12" s="90">
        <v>0</v>
      </c>
      <c r="G12" s="92">
        <v>0</v>
      </c>
      <c r="H12" s="99">
        <v>0.01</v>
      </c>
      <c r="I12" s="93">
        <v>0</v>
      </c>
      <c r="J12" s="65">
        <f t="shared" si="110"/>
        <v>0</v>
      </c>
      <c r="L12" s="65">
        <f t="shared" si="111"/>
        <v>0</v>
      </c>
      <c r="M12" s="65">
        <f t="shared" si="106"/>
        <v>0</v>
      </c>
      <c r="N12" s="65">
        <f t="shared" si="106"/>
        <v>0</v>
      </c>
      <c r="O12" s="65">
        <f t="shared" si="106"/>
        <v>0</v>
      </c>
      <c r="P12" s="65">
        <f t="shared" si="106"/>
        <v>0</v>
      </c>
      <c r="Q12" s="65">
        <f t="shared" si="106"/>
        <v>0</v>
      </c>
      <c r="R12" s="65">
        <f t="shared" si="106"/>
        <v>0</v>
      </c>
      <c r="S12" s="65">
        <f t="shared" si="106"/>
        <v>0</v>
      </c>
      <c r="T12" s="65">
        <f t="shared" si="106"/>
        <v>0</v>
      </c>
      <c r="U12" s="65">
        <f t="shared" si="106"/>
        <v>0</v>
      </c>
      <c r="V12" s="65">
        <f t="shared" si="106"/>
        <v>0</v>
      </c>
      <c r="W12" s="65">
        <f t="shared" si="106"/>
        <v>0</v>
      </c>
      <c r="X12" s="65">
        <f t="shared" si="106"/>
        <v>0</v>
      </c>
      <c r="Y12" s="65">
        <f t="shared" si="106"/>
        <v>0</v>
      </c>
      <c r="Z12" s="65">
        <f t="shared" si="106"/>
        <v>0</v>
      </c>
      <c r="AA12" s="65">
        <f t="shared" si="106"/>
        <v>0</v>
      </c>
      <c r="AB12" s="65">
        <f t="shared" si="106"/>
        <v>0</v>
      </c>
      <c r="AC12" s="65">
        <f t="shared" si="106"/>
        <v>0</v>
      </c>
      <c r="AD12" s="65">
        <f t="shared" si="115"/>
        <v>0</v>
      </c>
      <c r="AE12" s="65">
        <f t="shared" si="115"/>
        <v>0</v>
      </c>
      <c r="AF12" s="65">
        <f t="shared" si="115"/>
        <v>0</v>
      </c>
      <c r="AG12" s="65">
        <f t="shared" si="115"/>
        <v>0</v>
      </c>
      <c r="AH12" s="65">
        <f t="shared" si="115"/>
        <v>0</v>
      </c>
      <c r="AI12" s="65">
        <f t="shared" si="115"/>
        <v>0</v>
      </c>
      <c r="AJ12" s="65">
        <f t="shared" si="115"/>
        <v>0</v>
      </c>
      <c r="AK12" s="65">
        <f t="shared" si="115"/>
        <v>0</v>
      </c>
      <c r="AL12" s="65">
        <f t="shared" si="115"/>
        <v>0</v>
      </c>
      <c r="AM12" s="65">
        <f t="shared" si="115"/>
        <v>0</v>
      </c>
      <c r="AN12" s="65">
        <f t="shared" si="115"/>
        <v>0</v>
      </c>
      <c r="AO12" s="65">
        <f t="shared" si="115"/>
        <v>0</v>
      </c>
      <c r="AP12" s="65">
        <f t="shared" si="115"/>
        <v>0</v>
      </c>
      <c r="AQ12" s="65">
        <f t="shared" si="115"/>
        <v>0</v>
      </c>
      <c r="AR12" s="65">
        <f t="shared" si="115"/>
        <v>0</v>
      </c>
      <c r="AS12" s="65">
        <f t="shared" si="115"/>
        <v>0</v>
      </c>
      <c r="AT12" s="65">
        <f t="shared" si="116"/>
        <v>0</v>
      </c>
      <c r="AU12" s="65">
        <f t="shared" si="116"/>
        <v>0</v>
      </c>
      <c r="AV12" s="65">
        <f t="shared" si="116"/>
        <v>0</v>
      </c>
      <c r="AW12" s="65">
        <f t="shared" si="116"/>
        <v>0</v>
      </c>
      <c r="AX12" s="65">
        <f t="shared" si="116"/>
        <v>0</v>
      </c>
      <c r="AY12" s="65">
        <f t="shared" si="116"/>
        <v>0</v>
      </c>
      <c r="AZ12" s="65">
        <f t="shared" si="116"/>
        <v>0</v>
      </c>
      <c r="BA12" s="65">
        <f t="shared" si="116"/>
        <v>0</v>
      </c>
      <c r="BB12" s="65">
        <f t="shared" si="116"/>
        <v>0</v>
      </c>
      <c r="BC12" s="65">
        <f t="shared" si="116"/>
        <v>0</v>
      </c>
      <c r="BD12" s="65">
        <f t="shared" si="116"/>
        <v>0</v>
      </c>
      <c r="BE12" s="65">
        <f t="shared" si="116"/>
        <v>0</v>
      </c>
      <c r="BF12" s="65">
        <f t="shared" si="116"/>
        <v>0</v>
      </c>
      <c r="BG12" s="65">
        <f t="shared" si="116"/>
        <v>0</v>
      </c>
      <c r="BH12" s="65">
        <f t="shared" si="116"/>
        <v>0</v>
      </c>
      <c r="BI12" s="65">
        <f t="shared" si="116"/>
        <v>0</v>
      </c>
      <c r="BJ12" s="65">
        <f t="shared" si="117"/>
        <v>0</v>
      </c>
      <c r="BK12" s="65">
        <f t="shared" si="117"/>
        <v>0</v>
      </c>
      <c r="BL12" s="65">
        <f t="shared" si="117"/>
        <v>0</v>
      </c>
      <c r="BM12" s="65">
        <f t="shared" si="117"/>
        <v>0</v>
      </c>
      <c r="BN12" s="65">
        <f t="shared" si="117"/>
        <v>0</v>
      </c>
      <c r="BO12" s="65">
        <f t="shared" si="117"/>
        <v>0</v>
      </c>
      <c r="BP12" s="65">
        <f t="shared" si="117"/>
        <v>0</v>
      </c>
      <c r="BQ12" s="65">
        <f t="shared" si="117"/>
        <v>0</v>
      </c>
      <c r="BR12" s="65">
        <f t="shared" si="117"/>
        <v>0</v>
      </c>
      <c r="BS12" s="65">
        <f t="shared" si="117"/>
        <v>0</v>
      </c>
      <c r="BT12" s="65">
        <f t="shared" si="117"/>
        <v>0</v>
      </c>
      <c r="BU12" s="65">
        <f t="shared" si="117"/>
        <v>0</v>
      </c>
      <c r="BV12" s="65">
        <f t="shared" si="117"/>
        <v>0</v>
      </c>
      <c r="BW12" s="65">
        <f t="shared" si="117"/>
        <v>0</v>
      </c>
      <c r="BX12" s="65">
        <f t="shared" si="117"/>
        <v>0</v>
      </c>
      <c r="BY12" s="65">
        <f t="shared" si="117"/>
        <v>0</v>
      </c>
      <c r="BZ12" s="65">
        <f t="shared" si="118"/>
        <v>0</v>
      </c>
      <c r="CA12" s="65">
        <f t="shared" si="118"/>
        <v>0</v>
      </c>
      <c r="CB12" s="65">
        <f t="shared" si="118"/>
        <v>0</v>
      </c>
      <c r="CC12" s="65">
        <f t="shared" si="118"/>
        <v>0</v>
      </c>
      <c r="CD12" s="65">
        <f t="shared" si="118"/>
        <v>0</v>
      </c>
      <c r="CE12" s="65">
        <f t="shared" si="118"/>
        <v>0</v>
      </c>
      <c r="CF12" s="65">
        <f t="shared" si="118"/>
        <v>0</v>
      </c>
      <c r="CG12" s="65">
        <f t="shared" si="118"/>
        <v>0</v>
      </c>
      <c r="CH12" s="65">
        <f t="shared" si="118"/>
        <v>0</v>
      </c>
      <c r="CI12" s="65">
        <f t="shared" si="118"/>
        <v>0</v>
      </c>
      <c r="CJ12" s="65">
        <f t="shared" si="118"/>
        <v>0</v>
      </c>
      <c r="CK12" s="65">
        <f t="shared" si="118"/>
        <v>0</v>
      </c>
      <c r="CL12" s="65">
        <f t="shared" si="118"/>
        <v>0</v>
      </c>
      <c r="CM12" s="65">
        <f t="shared" si="118"/>
        <v>0</v>
      </c>
      <c r="CN12" s="65">
        <f t="shared" si="113"/>
        <v>0</v>
      </c>
      <c r="CO12" s="65">
        <f t="shared" si="113"/>
        <v>0</v>
      </c>
      <c r="CP12" s="65">
        <f t="shared" si="113"/>
        <v>0</v>
      </c>
      <c r="CQ12" s="65">
        <f t="shared" si="113"/>
        <v>0</v>
      </c>
      <c r="CR12" s="65">
        <f t="shared" si="113"/>
        <v>0</v>
      </c>
      <c r="CS12" s="65">
        <f t="shared" si="113"/>
        <v>0</v>
      </c>
      <c r="CT12" s="65">
        <f t="shared" si="113"/>
        <v>0</v>
      </c>
      <c r="CU12" s="65">
        <f t="shared" si="113"/>
        <v>0</v>
      </c>
      <c r="CV12" s="65">
        <f t="shared" si="113"/>
        <v>0</v>
      </c>
      <c r="CW12" s="65">
        <f t="shared" si="113"/>
        <v>0</v>
      </c>
      <c r="CX12" s="65">
        <f t="shared" si="113"/>
        <v>0</v>
      </c>
      <c r="CY12" s="65">
        <f t="shared" si="113"/>
        <v>0</v>
      </c>
      <c r="CZ12" s="65">
        <f t="shared" si="113"/>
        <v>0</v>
      </c>
      <c r="DA12" s="65">
        <f t="shared" si="113"/>
        <v>0</v>
      </c>
      <c r="DB12" s="65">
        <f t="shared" si="113"/>
        <v>0</v>
      </c>
      <c r="DC12" s="65">
        <f t="shared" si="113"/>
        <v>0</v>
      </c>
      <c r="DD12" s="65">
        <f t="shared" si="108"/>
        <v>0</v>
      </c>
      <c r="DE12" s="65">
        <f t="shared" si="114"/>
        <v>0</v>
      </c>
      <c r="DF12" s="65">
        <f t="shared" si="114"/>
        <v>0</v>
      </c>
      <c r="DG12" s="65">
        <f t="shared" si="114"/>
        <v>0</v>
      </c>
      <c r="DH12" s="65">
        <f t="shared" si="114"/>
        <v>0</v>
      </c>
      <c r="DI12" s="65">
        <f t="shared" si="114"/>
        <v>0</v>
      </c>
      <c r="DJ12" s="65">
        <f t="shared" si="114"/>
        <v>0</v>
      </c>
      <c r="DK12" s="65">
        <f t="shared" si="114"/>
        <v>0</v>
      </c>
      <c r="DL12" s="65">
        <f t="shared" si="114"/>
        <v>0</v>
      </c>
      <c r="DM12" s="65">
        <f t="shared" si="114"/>
        <v>0</v>
      </c>
      <c r="DN12" s="65">
        <f t="shared" si="114"/>
        <v>0</v>
      </c>
      <c r="DO12" s="65">
        <f t="shared" si="114"/>
        <v>0</v>
      </c>
      <c r="DP12" s="65">
        <f t="shared" si="114"/>
        <v>0</v>
      </c>
      <c r="DQ12" s="65">
        <f t="shared" si="114"/>
        <v>0</v>
      </c>
      <c r="DR12" s="65">
        <f t="shared" si="114"/>
        <v>0</v>
      </c>
      <c r="DS12" s="65">
        <f t="shared" si="114"/>
        <v>0</v>
      </c>
      <c r="DT12" s="65">
        <f t="shared" si="114"/>
        <v>0</v>
      </c>
      <c r="DU12" s="65">
        <f t="shared" si="114"/>
        <v>0</v>
      </c>
      <c r="DV12" s="65">
        <f t="shared" si="114"/>
        <v>0</v>
      </c>
      <c r="DW12" s="65">
        <f t="shared" si="114"/>
        <v>0</v>
      </c>
      <c r="DX12" s="65">
        <f t="shared" si="114"/>
        <v>0</v>
      </c>
      <c r="DY12" s="65">
        <f t="shared" si="114"/>
        <v>0</v>
      </c>
      <c r="DZ12" s="65">
        <f t="shared" si="114"/>
        <v>0</v>
      </c>
      <c r="EA12" s="65">
        <f t="shared" si="114"/>
        <v>0</v>
      </c>
      <c r="EB12" s="65">
        <f t="shared" si="114"/>
        <v>0</v>
      </c>
      <c r="EC12" s="65">
        <f t="shared" si="114"/>
        <v>0</v>
      </c>
      <c r="ED12" s="65">
        <f t="shared" si="114"/>
        <v>0</v>
      </c>
      <c r="EE12" s="65">
        <f t="shared" si="114"/>
        <v>0</v>
      </c>
      <c r="EF12" s="65">
        <f t="shared" si="114"/>
        <v>0</v>
      </c>
      <c r="EG12" s="65">
        <f t="shared" si="114"/>
        <v>0</v>
      </c>
      <c r="EH12" s="65">
        <f t="shared" si="114"/>
        <v>0</v>
      </c>
      <c r="EI12" s="65">
        <f t="shared" si="114"/>
        <v>0</v>
      </c>
      <c r="EJ12" s="65">
        <f t="shared" si="114"/>
        <v>0</v>
      </c>
      <c r="EK12" s="65">
        <f t="shared" si="114"/>
        <v>0</v>
      </c>
      <c r="EL12" s="65">
        <f t="shared" si="114"/>
        <v>0</v>
      </c>
      <c r="EM12" s="65">
        <f t="shared" si="114"/>
        <v>0</v>
      </c>
      <c r="EN12" s="65">
        <f t="shared" si="114"/>
        <v>0</v>
      </c>
      <c r="EO12" s="65">
        <f t="shared" si="114"/>
        <v>0</v>
      </c>
    </row>
    <row r="13" spans="2:145" x14ac:dyDescent="0.45">
      <c r="B13" s="86">
        <f t="shared" si="109"/>
        <v>800</v>
      </c>
      <c r="C13" s="86" t="s">
        <v>109</v>
      </c>
      <c r="E13" s="88">
        <v>1</v>
      </c>
      <c r="F13" s="90">
        <v>0</v>
      </c>
      <c r="G13" s="92">
        <v>0</v>
      </c>
      <c r="H13" s="99">
        <v>0.01</v>
      </c>
      <c r="I13" s="93">
        <v>0</v>
      </c>
      <c r="J13" s="65">
        <f t="shared" si="110"/>
        <v>0</v>
      </c>
      <c r="L13" s="65">
        <f t="shared" si="111"/>
        <v>0</v>
      </c>
      <c r="M13" s="65">
        <f t="shared" si="106"/>
        <v>0</v>
      </c>
      <c r="N13" s="65">
        <f t="shared" si="106"/>
        <v>0</v>
      </c>
      <c r="O13" s="65">
        <f t="shared" si="106"/>
        <v>0</v>
      </c>
      <c r="P13" s="65">
        <f t="shared" si="106"/>
        <v>0</v>
      </c>
      <c r="Q13" s="65">
        <f t="shared" si="106"/>
        <v>0</v>
      </c>
      <c r="R13" s="65">
        <f t="shared" si="106"/>
        <v>0</v>
      </c>
      <c r="S13" s="65">
        <f t="shared" si="106"/>
        <v>0</v>
      </c>
      <c r="T13" s="65">
        <f t="shared" si="106"/>
        <v>0</v>
      </c>
      <c r="U13" s="65">
        <f t="shared" si="106"/>
        <v>0</v>
      </c>
      <c r="V13" s="65">
        <f t="shared" si="106"/>
        <v>0</v>
      </c>
      <c r="W13" s="65">
        <f t="shared" si="106"/>
        <v>0</v>
      </c>
      <c r="X13" s="65">
        <f t="shared" si="106"/>
        <v>0</v>
      </c>
      <c r="Y13" s="65">
        <f t="shared" si="106"/>
        <v>0</v>
      </c>
      <c r="Z13" s="65">
        <f t="shared" si="106"/>
        <v>0</v>
      </c>
      <c r="AA13" s="65">
        <f t="shared" si="106"/>
        <v>0</v>
      </c>
      <c r="AB13" s="65">
        <f t="shared" si="106"/>
        <v>0</v>
      </c>
      <c r="AC13" s="65">
        <f t="shared" si="106"/>
        <v>0</v>
      </c>
      <c r="AD13" s="65">
        <f t="shared" si="115"/>
        <v>0</v>
      </c>
      <c r="AE13" s="65">
        <f t="shared" si="115"/>
        <v>0</v>
      </c>
      <c r="AF13" s="65">
        <f t="shared" si="115"/>
        <v>0</v>
      </c>
      <c r="AG13" s="65">
        <f t="shared" si="115"/>
        <v>0</v>
      </c>
      <c r="AH13" s="65">
        <f t="shared" si="115"/>
        <v>0</v>
      </c>
      <c r="AI13" s="65">
        <f t="shared" si="115"/>
        <v>0</v>
      </c>
      <c r="AJ13" s="65">
        <f t="shared" si="115"/>
        <v>0</v>
      </c>
      <c r="AK13" s="65">
        <f t="shared" si="115"/>
        <v>0</v>
      </c>
      <c r="AL13" s="65">
        <f t="shared" si="115"/>
        <v>0</v>
      </c>
      <c r="AM13" s="65">
        <f t="shared" si="115"/>
        <v>0</v>
      </c>
      <c r="AN13" s="65">
        <f t="shared" si="115"/>
        <v>0</v>
      </c>
      <c r="AO13" s="65">
        <f t="shared" si="115"/>
        <v>0</v>
      </c>
      <c r="AP13" s="65">
        <f t="shared" si="115"/>
        <v>0</v>
      </c>
      <c r="AQ13" s="65">
        <f t="shared" si="115"/>
        <v>0</v>
      </c>
      <c r="AR13" s="65">
        <f t="shared" si="115"/>
        <v>0</v>
      </c>
      <c r="AS13" s="65">
        <f t="shared" si="115"/>
        <v>0</v>
      </c>
      <c r="AT13" s="65">
        <f t="shared" si="116"/>
        <v>0</v>
      </c>
      <c r="AU13" s="65">
        <f t="shared" si="116"/>
        <v>0</v>
      </c>
      <c r="AV13" s="65">
        <f t="shared" si="116"/>
        <v>0</v>
      </c>
      <c r="AW13" s="65">
        <f t="shared" si="116"/>
        <v>0</v>
      </c>
      <c r="AX13" s="65">
        <f t="shared" si="116"/>
        <v>0</v>
      </c>
      <c r="AY13" s="65">
        <f t="shared" si="116"/>
        <v>0</v>
      </c>
      <c r="AZ13" s="65">
        <f t="shared" si="116"/>
        <v>0</v>
      </c>
      <c r="BA13" s="65">
        <f t="shared" si="116"/>
        <v>0</v>
      </c>
      <c r="BB13" s="65">
        <f t="shared" si="116"/>
        <v>0</v>
      </c>
      <c r="BC13" s="65">
        <f t="shared" si="116"/>
        <v>0</v>
      </c>
      <c r="BD13" s="65">
        <f t="shared" si="116"/>
        <v>0</v>
      </c>
      <c r="BE13" s="65">
        <f t="shared" si="116"/>
        <v>0</v>
      </c>
      <c r="BF13" s="65">
        <f t="shared" si="116"/>
        <v>0</v>
      </c>
      <c r="BG13" s="65">
        <f t="shared" si="116"/>
        <v>0</v>
      </c>
      <c r="BH13" s="65">
        <f t="shared" si="116"/>
        <v>0</v>
      </c>
      <c r="BI13" s="65">
        <f t="shared" si="116"/>
        <v>0</v>
      </c>
      <c r="BJ13" s="65">
        <f t="shared" si="117"/>
        <v>0</v>
      </c>
      <c r="BK13" s="65">
        <f t="shared" si="117"/>
        <v>0</v>
      </c>
      <c r="BL13" s="65">
        <f t="shared" si="117"/>
        <v>0</v>
      </c>
      <c r="BM13" s="65">
        <f t="shared" si="117"/>
        <v>0</v>
      </c>
      <c r="BN13" s="65">
        <f t="shared" si="117"/>
        <v>0</v>
      </c>
      <c r="BO13" s="65">
        <f t="shared" si="117"/>
        <v>0</v>
      </c>
      <c r="BP13" s="65">
        <f t="shared" si="117"/>
        <v>0</v>
      </c>
      <c r="BQ13" s="65">
        <f t="shared" si="117"/>
        <v>0</v>
      </c>
      <c r="BR13" s="65">
        <f t="shared" si="117"/>
        <v>0</v>
      </c>
      <c r="BS13" s="65">
        <f t="shared" si="117"/>
        <v>0</v>
      </c>
      <c r="BT13" s="65">
        <f t="shared" si="117"/>
        <v>0</v>
      </c>
      <c r="BU13" s="65">
        <f t="shared" si="117"/>
        <v>0</v>
      </c>
      <c r="BV13" s="65">
        <f t="shared" si="117"/>
        <v>0</v>
      </c>
      <c r="BW13" s="65">
        <f t="shared" si="117"/>
        <v>0</v>
      </c>
      <c r="BX13" s="65">
        <f t="shared" si="117"/>
        <v>0</v>
      </c>
      <c r="BY13" s="65">
        <f t="shared" si="117"/>
        <v>0</v>
      </c>
      <c r="BZ13" s="65">
        <f t="shared" si="118"/>
        <v>0</v>
      </c>
      <c r="CA13" s="65">
        <f t="shared" si="118"/>
        <v>0</v>
      </c>
      <c r="CB13" s="65">
        <f t="shared" si="118"/>
        <v>0</v>
      </c>
      <c r="CC13" s="65">
        <f t="shared" si="118"/>
        <v>0</v>
      </c>
      <c r="CD13" s="65">
        <f t="shared" si="118"/>
        <v>0</v>
      </c>
      <c r="CE13" s="65">
        <f t="shared" si="118"/>
        <v>0</v>
      </c>
      <c r="CF13" s="65">
        <f t="shared" si="118"/>
        <v>0</v>
      </c>
      <c r="CG13" s="65">
        <f t="shared" si="118"/>
        <v>0</v>
      </c>
      <c r="CH13" s="65">
        <f t="shared" si="118"/>
        <v>0</v>
      </c>
      <c r="CI13" s="65">
        <f t="shared" si="118"/>
        <v>0</v>
      </c>
      <c r="CJ13" s="65">
        <f t="shared" si="118"/>
        <v>0</v>
      </c>
      <c r="CK13" s="65">
        <f t="shared" si="118"/>
        <v>0</v>
      </c>
      <c r="CL13" s="65">
        <f t="shared" si="118"/>
        <v>0</v>
      </c>
      <c r="CM13" s="65">
        <f t="shared" si="118"/>
        <v>0</v>
      </c>
      <c r="CN13" s="65">
        <f t="shared" si="113"/>
        <v>0</v>
      </c>
      <c r="CO13" s="65">
        <f t="shared" si="113"/>
        <v>0</v>
      </c>
      <c r="CP13" s="65">
        <f t="shared" si="113"/>
        <v>0</v>
      </c>
      <c r="CQ13" s="65">
        <f t="shared" si="113"/>
        <v>0</v>
      </c>
      <c r="CR13" s="65">
        <f t="shared" si="113"/>
        <v>0</v>
      </c>
      <c r="CS13" s="65">
        <f t="shared" si="113"/>
        <v>0</v>
      </c>
      <c r="CT13" s="65">
        <f t="shared" si="113"/>
        <v>0</v>
      </c>
      <c r="CU13" s="65">
        <f t="shared" si="113"/>
        <v>0</v>
      </c>
      <c r="CV13" s="65">
        <f t="shared" si="113"/>
        <v>0</v>
      </c>
      <c r="CW13" s="65">
        <f t="shared" si="113"/>
        <v>0</v>
      </c>
      <c r="CX13" s="65">
        <f t="shared" si="113"/>
        <v>0</v>
      </c>
      <c r="CY13" s="65">
        <f t="shared" si="113"/>
        <v>0</v>
      </c>
      <c r="CZ13" s="65">
        <f t="shared" si="113"/>
        <v>0</v>
      </c>
      <c r="DA13" s="65">
        <f t="shared" si="113"/>
        <v>0</v>
      </c>
      <c r="DB13" s="65">
        <f t="shared" si="113"/>
        <v>0</v>
      </c>
      <c r="DC13" s="65">
        <f t="shared" si="113"/>
        <v>0</v>
      </c>
      <c r="DD13" s="65">
        <f t="shared" si="108"/>
        <v>0</v>
      </c>
      <c r="DE13" s="65">
        <f t="shared" si="114"/>
        <v>0</v>
      </c>
      <c r="DF13" s="65">
        <f t="shared" si="114"/>
        <v>0</v>
      </c>
      <c r="DG13" s="65">
        <f t="shared" si="114"/>
        <v>0</v>
      </c>
      <c r="DH13" s="65">
        <f t="shared" si="114"/>
        <v>0</v>
      </c>
      <c r="DI13" s="65">
        <f t="shared" si="114"/>
        <v>0</v>
      </c>
      <c r="DJ13" s="65">
        <f t="shared" si="114"/>
        <v>0</v>
      </c>
      <c r="DK13" s="65">
        <f t="shared" si="114"/>
        <v>0</v>
      </c>
      <c r="DL13" s="65">
        <f t="shared" si="114"/>
        <v>0</v>
      </c>
      <c r="DM13" s="65">
        <f t="shared" si="114"/>
        <v>0</v>
      </c>
      <c r="DN13" s="65">
        <f t="shared" si="114"/>
        <v>0</v>
      </c>
      <c r="DO13" s="65">
        <f t="shared" si="114"/>
        <v>0</v>
      </c>
      <c r="DP13" s="65">
        <f t="shared" si="114"/>
        <v>0</v>
      </c>
      <c r="DQ13" s="65">
        <f t="shared" si="114"/>
        <v>0</v>
      </c>
      <c r="DR13" s="65">
        <f t="shared" si="114"/>
        <v>0</v>
      </c>
      <c r="DS13" s="65">
        <f t="shared" si="114"/>
        <v>0</v>
      </c>
      <c r="DT13" s="65">
        <f t="shared" si="114"/>
        <v>0</v>
      </c>
      <c r="DU13" s="65">
        <f t="shared" si="114"/>
        <v>0</v>
      </c>
      <c r="DV13" s="65">
        <f t="shared" si="114"/>
        <v>0</v>
      </c>
      <c r="DW13" s="65">
        <f t="shared" si="114"/>
        <v>0</v>
      </c>
      <c r="DX13" s="65">
        <f t="shared" si="114"/>
        <v>0</v>
      </c>
      <c r="DY13" s="65">
        <f t="shared" si="114"/>
        <v>0</v>
      </c>
      <c r="DZ13" s="65">
        <f t="shared" si="114"/>
        <v>0</v>
      </c>
      <c r="EA13" s="65">
        <f t="shared" si="114"/>
        <v>0</v>
      </c>
      <c r="EB13" s="65">
        <f t="shared" si="114"/>
        <v>0</v>
      </c>
      <c r="EC13" s="65">
        <f t="shared" si="114"/>
        <v>0</v>
      </c>
      <c r="ED13" s="65">
        <f t="shared" si="114"/>
        <v>0</v>
      </c>
      <c r="EE13" s="65">
        <f t="shared" si="114"/>
        <v>0</v>
      </c>
      <c r="EF13" s="65">
        <f t="shared" si="114"/>
        <v>0</v>
      </c>
      <c r="EG13" s="65">
        <f t="shared" si="114"/>
        <v>0</v>
      </c>
      <c r="EH13" s="65">
        <f t="shared" si="114"/>
        <v>0</v>
      </c>
      <c r="EI13" s="65">
        <f t="shared" si="114"/>
        <v>0</v>
      </c>
      <c r="EJ13" s="65">
        <f t="shared" si="114"/>
        <v>0</v>
      </c>
      <c r="EK13" s="65">
        <f t="shared" si="114"/>
        <v>0</v>
      </c>
      <c r="EL13" s="65">
        <f t="shared" si="114"/>
        <v>0</v>
      </c>
      <c r="EM13" s="65">
        <f t="shared" si="114"/>
        <v>0</v>
      </c>
      <c r="EN13" s="65">
        <f t="shared" si="114"/>
        <v>0</v>
      </c>
      <c r="EO13" s="65">
        <f t="shared" si="114"/>
        <v>0</v>
      </c>
    </row>
    <row r="14" spans="2:145" x14ac:dyDescent="0.45">
      <c r="B14" s="86">
        <f t="shared" ref="B14" si="119">+B13+100</f>
        <v>900</v>
      </c>
      <c r="C14" s="86" t="s">
        <v>109</v>
      </c>
      <c r="E14" s="88">
        <v>1</v>
      </c>
      <c r="F14" s="90">
        <v>0</v>
      </c>
      <c r="G14" s="92">
        <v>0</v>
      </c>
      <c r="H14" s="99">
        <v>0.01</v>
      </c>
      <c r="I14" s="93">
        <v>0</v>
      </c>
      <c r="J14" s="65">
        <f t="shared" ref="J14" si="120">+I14*F14</f>
        <v>0</v>
      </c>
      <c r="L14" s="65">
        <f t="shared" si="111"/>
        <v>0</v>
      </c>
      <c r="M14" s="65">
        <f t="shared" si="106"/>
        <v>0</v>
      </c>
      <c r="N14" s="65">
        <f t="shared" si="106"/>
        <v>0</v>
      </c>
      <c r="O14" s="65">
        <f t="shared" si="106"/>
        <v>0</v>
      </c>
      <c r="P14" s="65">
        <f t="shared" si="106"/>
        <v>0</v>
      </c>
      <c r="Q14" s="65">
        <f t="shared" si="106"/>
        <v>0</v>
      </c>
      <c r="R14" s="65">
        <f t="shared" si="106"/>
        <v>0</v>
      </c>
      <c r="S14" s="65">
        <f t="shared" si="106"/>
        <v>0</v>
      </c>
      <c r="T14" s="65">
        <f t="shared" si="106"/>
        <v>0</v>
      </c>
      <c r="U14" s="65">
        <f t="shared" si="106"/>
        <v>0</v>
      </c>
      <c r="V14" s="65">
        <f t="shared" si="106"/>
        <v>0</v>
      </c>
      <c r="W14" s="65">
        <f t="shared" si="106"/>
        <v>0</v>
      </c>
      <c r="X14" s="65">
        <f t="shared" si="106"/>
        <v>0</v>
      </c>
      <c r="Y14" s="65">
        <f t="shared" si="106"/>
        <v>0</v>
      </c>
      <c r="Z14" s="65">
        <f t="shared" si="106"/>
        <v>0</v>
      </c>
      <c r="AA14" s="65">
        <f t="shared" si="106"/>
        <v>0</v>
      </c>
      <c r="AB14" s="65">
        <f t="shared" si="106"/>
        <v>0</v>
      </c>
      <c r="AC14" s="65">
        <f t="shared" si="106"/>
        <v>0</v>
      </c>
      <c r="AD14" s="65">
        <f t="shared" si="115"/>
        <v>0</v>
      </c>
      <c r="AE14" s="65">
        <f t="shared" si="115"/>
        <v>0</v>
      </c>
      <c r="AF14" s="65">
        <f t="shared" si="115"/>
        <v>0</v>
      </c>
      <c r="AG14" s="65">
        <f t="shared" si="115"/>
        <v>0</v>
      </c>
      <c r="AH14" s="65">
        <f t="shared" si="115"/>
        <v>0</v>
      </c>
      <c r="AI14" s="65">
        <f t="shared" si="115"/>
        <v>0</v>
      </c>
      <c r="AJ14" s="65">
        <f t="shared" si="115"/>
        <v>0</v>
      </c>
      <c r="AK14" s="65">
        <f t="shared" si="115"/>
        <v>0</v>
      </c>
      <c r="AL14" s="65">
        <f t="shared" si="115"/>
        <v>0</v>
      </c>
      <c r="AM14" s="65">
        <f t="shared" si="115"/>
        <v>0</v>
      </c>
      <c r="AN14" s="65">
        <f t="shared" si="115"/>
        <v>0</v>
      </c>
      <c r="AO14" s="65">
        <f t="shared" si="115"/>
        <v>0</v>
      </c>
      <c r="AP14" s="65">
        <f t="shared" si="115"/>
        <v>0</v>
      </c>
      <c r="AQ14" s="65">
        <f t="shared" si="115"/>
        <v>0</v>
      </c>
      <c r="AR14" s="65">
        <f t="shared" si="115"/>
        <v>0</v>
      </c>
      <c r="AS14" s="65">
        <f t="shared" si="115"/>
        <v>0</v>
      </c>
      <c r="AT14" s="65">
        <f t="shared" si="116"/>
        <v>0</v>
      </c>
      <c r="AU14" s="65">
        <f t="shared" si="116"/>
        <v>0</v>
      </c>
      <c r="AV14" s="65">
        <f t="shared" si="116"/>
        <v>0</v>
      </c>
      <c r="AW14" s="65">
        <f t="shared" si="116"/>
        <v>0</v>
      </c>
      <c r="AX14" s="65">
        <f t="shared" si="116"/>
        <v>0</v>
      </c>
      <c r="AY14" s="65">
        <f t="shared" si="116"/>
        <v>0</v>
      </c>
      <c r="AZ14" s="65">
        <f t="shared" si="116"/>
        <v>0</v>
      </c>
      <c r="BA14" s="65">
        <f t="shared" si="116"/>
        <v>0</v>
      </c>
      <c r="BB14" s="65">
        <f t="shared" si="116"/>
        <v>0</v>
      </c>
      <c r="BC14" s="65">
        <f t="shared" si="116"/>
        <v>0</v>
      </c>
      <c r="BD14" s="65">
        <f t="shared" si="116"/>
        <v>0</v>
      </c>
      <c r="BE14" s="65">
        <f t="shared" si="116"/>
        <v>0</v>
      </c>
      <c r="BF14" s="65">
        <f t="shared" si="116"/>
        <v>0</v>
      </c>
      <c r="BG14" s="65">
        <f t="shared" si="116"/>
        <v>0</v>
      </c>
      <c r="BH14" s="65">
        <f t="shared" si="116"/>
        <v>0</v>
      </c>
      <c r="BI14" s="65">
        <f t="shared" si="116"/>
        <v>0</v>
      </c>
      <c r="BJ14" s="65">
        <f t="shared" si="117"/>
        <v>0</v>
      </c>
      <c r="BK14" s="65">
        <f t="shared" si="117"/>
        <v>0</v>
      </c>
      <c r="BL14" s="65">
        <f t="shared" si="117"/>
        <v>0</v>
      </c>
      <c r="BM14" s="65">
        <f t="shared" si="117"/>
        <v>0</v>
      </c>
      <c r="BN14" s="65">
        <f t="shared" si="117"/>
        <v>0</v>
      </c>
      <c r="BO14" s="65">
        <f t="shared" si="117"/>
        <v>0</v>
      </c>
      <c r="BP14" s="65">
        <f t="shared" si="117"/>
        <v>0</v>
      </c>
      <c r="BQ14" s="65">
        <f t="shared" si="117"/>
        <v>0</v>
      </c>
      <c r="BR14" s="65">
        <f t="shared" si="117"/>
        <v>0</v>
      </c>
      <c r="BS14" s="65">
        <f t="shared" si="117"/>
        <v>0</v>
      </c>
      <c r="BT14" s="65">
        <f t="shared" si="117"/>
        <v>0</v>
      </c>
      <c r="BU14" s="65">
        <f t="shared" si="117"/>
        <v>0</v>
      </c>
      <c r="BV14" s="65">
        <f t="shared" si="117"/>
        <v>0</v>
      </c>
      <c r="BW14" s="65">
        <f t="shared" si="117"/>
        <v>0</v>
      </c>
      <c r="BX14" s="65">
        <f t="shared" si="117"/>
        <v>0</v>
      </c>
      <c r="BY14" s="65">
        <f t="shared" si="117"/>
        <v>0</v>
      </c>
      <c r="BZ14" s="65">
        <f t="shared" si="118"/>
        <v>0</v>
      </c>
      <c r="CA14" s="65">
        <f t="shared" si="118"/>
        <v>0</v>
      </c>
      <c r="CB14" s="65">
        <f t="shared" si="118"/>
        <v>0</v>
      </c>
      <c r="CC14" s="65">
        <f t="shared" si="118"/>
        <v>0</v>
      </c>
      <c r="CD14" s="65">
        <f t="shared" si="118"/>
        <v>0</v>
      </c>
      <c r="CE14" s="65">
        <f t="shared" si="118"/>
        <v>0</v>
      </c>
      <c r="CF14" s="65">
        <f t="shared" si="118"/>
        <v>0</v>
      </c>
      <c r="CG14" s="65">
        <f t="shared" si="118"/>
        <v>0</v>
      </c>
      <c r="CH14" s="65">
        <f t="shared" si="118"/>
        <v>0</v>
      </c>
      <c r="CI14" s="65">
        <f t="shared" si="118"/>
        <v>0</v>
      </c>
      <c r="CJ14" s="65">
        <f t="shared" si="118"/>
        <v>0</v>
      </c>
      <c r="CK14" s="65">
        <f t="shared" si="118"/>
        <v>0</v>
      </c>
      <c r="CL14" s="65">
        <f t="shared" si="118"/>
        <v>0</v>
      </c>
      <c r="CM14" s="65">
        <f t="shared" si="118"/>
        <v>0</v>
      </c>
      <c r="CN14" s="65">
        <f t="shared" si="113"/>
        <v>0</v>
      </c>
      <c r="CO14" s="65">
        <f t="shared" si="113"/>
        <v>0</v>
      </c>
      <c r="CP14" s="65">
        <f t="shared" si="113"/>
        <v>0</v>
      </c>
      <c r="CQ14" s="65">
        <f t="shared" si="113"/>
        <v>0</v>
      </c>
      <c r="CR14" s="65">
        <f t="shared" si="113"/>
        <v>0</v>
      </c>
      <c r="CS14" s="65">
        <f t="shared" si="113"/>
        <v>0</v>
      </c>
      <c r="CT14" s="65">
        <f t="shared" si="113"/>
        <v>0</v>
      </c>
      <c r="CU14" s="65">
        <f t="shared" si="113"/>
        <v>0</v>
      </c>
      <c r="CV14" s="65">
        <f t="shared" si="113"/>
        <v>0</v>
      </c>
      <c r="CW14" s="65">
        <f t="shared" si="113"/>
        <v>0</v>
      </c>
      <c r="CX14" s="65">
        <f t="shared" si="113"/>
        <v>0</v>
      </c>
      <c r="CY14" s="65">
        <f t="shared" si="113"/>
        <v>0</v>
      </c>
      <c r="CZ14" s="65">
        <f t="shared" si="113"/>
        <v>0</v>
      </c>
      <c r="DA14" s="65">
        <f t="shared" si="113"/>
        <v>0</v>
      </c>
      <c r="DB14" s="65">
        <f t="shared" si="113"/>
        <v>0</v>
      </c>
      <c r="DC14" s="65">
        <f t="shared" si="113"/>
        <v>0</v>
      </c>
      <c r="DD14" s="65">
        <f t="shared" si="108"/>
        <v>0</v>
      </c>
      <c r="DE14" s="65">
        <f t="shared" si="114"/>
        <v>0</v>
      </c>
      <c r="DF14" s="65">
        <f t="shared" si="114"/>
        <v>0</v>
      </c>
      <c r="DG14" s="65">
        <f t="shared" si="114"/>
        <v>0</v>
      </c>
      <c r="DH14" s="65">
        <f t="shared" si="114"/>
        <v>0</v>
      </c>
      <c r="DI14" s="65">
        <f t="shared" si="114"/>
        <v>0</v>
      </c>
      <c r="DJ14" s="65">
        <f t="shared" si="114"/>
        <v>0</v>
      </c>
      <c r="DK14" s="65">
        <f t="shared" si="114"/>
        <v>0</v>
      </c>
      <c r="DL14" s="65">
        <f t="shared" si="114"/>
        <v>0</v>
      </c>
      <c r="DM14" s="65">
        <f t="shared" si="114"/>
        <v>0</v>
      </c>
      <c r="DN14" s="65">
        <f t="shared" si="114"/>
        <v>0</v>
      </c>
      <c r="DO14" s="65">
        <f t="shared" si="114"/>
        <v>0</v>
      </c>
      <c r="DP14" s="65">
        <f t="shared" si="114"/>
        <v>0</v>
      </c>
      <c r="DQ14" s="65">
        <f t="shared" si="114"/>
        <v>0</v>
      </c>
      <c r="DR14" s="65">
        <f t="shared" si="114"/>
        <v>0</v>
      </c>
      <c r="DS14" s="65">
        <f t="shared" si="114"/>
        <v>0</v>
      </c>
      <c r="DT14" s="65">
        <f t="shared" si="114"/>
        <v>0</v>
      </c>
      <c r="DU14" s="65">
        <f t="shared" si="114"/>
        <v>0</v>
      </c>
      <c r="DV14" s="65">
        <f t="shared" si="114"/>
        <v>0</v>
      </c>
      <c r="DW14" s="65">
        <f t="shared" si="114"/>
        <v>0</v>
      </c>
      <c r="DX14" s="65">
        <f t="shared" si="114"/>
        <v>0</v>
      </c>
      <c r="DY14" s="65">
        <f t="shared" si="114"/>
        <v>0</v>
      </c>
      <c r="DZ14" s="65">
        <f t="shared" si="114"/>
        <v>0</v>
      </c>
      <c r="EA14" s="65">
        <f t="shared" si="114"/>
        <v>0</v>
      </c>
      <c r="EB14" s="65">
        <f t="shared" si="114"/>
        <v>0</v>
      </c>
      <c r="EC14" s="65">
        <f t="shared" si="114"/>
        <v>0</v>
      </c>
      <c r="ED14" s="65">
        <f t="shared" si="114"/>
        <v>0</v>
      </c>
      <c r="EE14" s="65">
        <f t="shared" si="114"/>
        <v>0</v>
      </c>
      <c r="EF14" s="65">
        <f t="shared" si="114"/>
        <v>0</v>
      </c>
      <c r="EG14" s="65">
        <f t="shared" si="114"/>
        <v>0</v>
      </c>
      <c r="EH14" s="65">
        <f t="shared" si="114"/>
        <v>0</v>
      </c>
      <c r="EI14" s="65">
        <f t="shared" si="114"/>
        <v>0</v>
      </c>
      <c r="EJ14" s="65">
        <f t="shared" si="114"/>
        <v>0</v>
      </c>
      <c r="EK14" s="65">
        <f t="shared" si="114"/>
        <v>0</v>
      </c>
      <c r="EL14" s="65">
        <f t="shared" si="114"/>
        <v>0</v>
      </c>
      <c r="EM14" s="65">
        <f t="shared" si="114"/>
        <v>0</v>
      </c>
      <c r="EN14" s="65">
        <f t="shared" si="114"/>
        <v>0</v>
      </c>
      <c r="EO14" s="65">
        <f t="shared" si="114"/>
        <v>0</v>
      </c>
    </row>
    <row r="15" spans="2:145" x14ac:dyDescent="0.45">
      <c r="B15" s="86">
        <f t="shared" ref="B15:B18" si="121">+B14+100</f>
        <v>1000</v>
      </c>
      <c r="C15" s="86" t="s">
        <v>109</v>
      </c>
      <c r="E15" s="88">
        <v>1</v>
      </c>
      <c r="F15" s="90">
        <v>0</v>
      </c>
      <c r="G15" s="92">
        <v>0</v>
      </c>
      <c r="H15" s="99">
        <v>0.01</v>
      </c>
      <c r="I15" s="93">
        <v>0</v>
      </c>
      <c r="J15" s="65">
        <f t="shared" ref="J15:J18" si="122">+I15*F15</f>
        <v>0</v>
      </c>
      <c r="L15" s="65">
        <f t="shared" si="111"/>
        <v>0</v>
      </c>
      <c r="M15" s="65">
        <f t="shared" si="106"/>
        <v>0</v>
      </c>
      <c r="N15" s="65">
        <f t="shared" si="106"/>
        <v>0</v>
      </c>
      <c r="O15" s="65">
        <f t="shared" si="106"/>
        <v>0</v>
      </c>
      <c r="P15" s="65">
        <f t="shared" si="106"/>
        <v>0</v>
      </c>
      <c r="Q15" s="65">
        <f t="shared" si="106"/>
        <v>0</v>
      </c>
      <c r="R15" s="65">
        <f t="shared" si="106"/>
        <v>0</v>
      </c>
      <c r="S15" s="65">
        <f t="shared" si="106"/>
        <v>0</v>
      </c>
      <c r="T15" s="65">
        <f t="shared" si="106"/>
        <v>0</v>
      </c>
      <c r="U15" s="65">
        <f t="shared" si="106"/>
        <v>0</v>
      </c>
      <c r="V15" s="65">
        <f t="shared" si="106"/>
        <v>0</v>
      </c>
      <c r="W15" s="65">
        <f t="shared" si="106"/>
        <v>0</v>
      </c>
      <c r="X15" s="65">
        <f t="shared" si="106"/>
        <v>0</v>
      </c>
      <c r="Y15" s="65">
        <f t="shared" si="106"/>
        <v>0</v>
      </c>
      <c r="Z15" s="65">
        <f t="shared" si="106"/>
        <v>0</v>
      </c>
      <c r="AA15" s="65">
        <f t="shared" si="106"/>
        <v>0</v>
      </c>
      <c r="AB15" s="65">
        <f t="shared" si="106"/>
        <v>0</v>
      </c>
      <c r="AC15" s="65">
        <f t="shared" si="106"/>
        <v>0</v>
      </c>
      <c r="AD15" s="65">
        <f t="shared" si="115"/>
        <v>0</v>
      </c>
      <c r="AE15" s="65">
        <f t="shared" si="115"/>
        <v>0</v>
      </c>
      <c r="AF15" s="65">
        <f t="shared" si="115"/>
        <v>0</v>
      </c>
      <c r="AG15" s="65">
        <f t="shared" si="115"/>
        <v>0</v>
      </c>
      <c r="AH15" s="65">
        <f t="shared" si="115"/>
        <v>0</v>
      </c>
      <c r="AI15" s="65">
        <f t="shared" si="115"/>
        <v>0</v>
      </c>
      <c r="AJ15" s="65">
        <f t="shared" si="115"/>
        <v>0</v>
      </c>
      <c r="AK15" s="65">
        <f t="shared" si="115"/>
        <v>0</v>
      </c>
      <c r="AL15" s="65">
        <f t="shared" si="115"/>
        <v>0</v>
      </c>
      <c r="AM15" s="65">
        <f t="shared" si="115"/>
        <v>0</v>
      </c>
      <c r="AN15" s="65">
        <f t="shared" si="115"/>
        <v>0</v>
      </c>
      <c r="AO15" s="65">
        <f t="shared" si="115"/>
        <v>0</v>
      </c>
      <c r="AP15" s="65">
        <f t="shared" si="115"/>
        <v>0</v>
      </c>
      <c r="AQ15" s="65">
        <f t="shared" si="115"/>
        <v>0</v>
      </c>
      <c r="AR15" s="65">
        <f t="shared" si="115"/>
        <v>0</v>
      </c>
      <c r="AS15" s="65">
        <f t="shared" si="115"/>
        <v>0</v>
      </c>
      <c r="AT15" s="65">
        <f t="shared" si="116"/>
        <v>0</v>
      </c>
      <c r="AU15" s="65">
        <f t="shared" si="116"/>
        <v>0</v>
      </c>
      <c r="AV15" s="65">
        <f t="shared" si="116"/>
        <v>0</v>
      </c>
      <c r="AW15" s="65">
        <f t="shared" si="116"/>
        <v>0</v>
      </c>
      <c r="AX15" s="65">
        <f t="shared" si="116"/>
        <v>0</v>
      </c>
      <c r="AY15" s="65">
        <f t="shared" si="116"/>
        <v>0</v>
      </c>
      <c r="AZ15" s="65">
        <f t="shared" si="116"/>
        <v>0</v>
      </c>
      <c r="BA15" s="65">
        <f t="shared" si="116"/>
        <v>0</v>
      </c>
      <c r="BB15" s="65">
        <f t="shared" si="116"/>
        <v>0</v>
      </c>
      <c r="BC15" s="65">
        <f t="shared" si="116"/>
        <v>0</v>
      </c>
      <c r="BD15" s="65">
        <f t="shared" si="116"/>
        <v>0</v>
      </c>
      <c r="BE15" s="65">
        <f t="shared" si="116"/>
        <v>0</v>
      </c>
      <c r="BF15" s="65">
        <f t="shared" si="116"/>
        <v>0</v>
      </c>
      <c r="BG15" s="65">
        <f t="shared" si="116"/>
        <v>0</v>
      </c>
      <c r="BH15" s="65">
        <f t="shared" si="116"/>
        <v>0</v>
      </c>
      <c r="BI15" s="65">
        <f t="shared" si="116"/>
        <v>0</v>
      </c>
      <c r="BJ15" s="65">
        <f t="shared" si="117"/>
        <v>0</v>
      </c>
      <c r="BK15" s="65">
        <f t="shared" si="117"/>
        <v>0</v>
      </c>
      <c r="BL15" s="65">
        <f t="shared" si="117"/>
        <v>0</v>
      </c>
      <c r="BM15" s="65">
        <f t="shared" si="117"/>
        <v>0</v>
      </c>
      <c r="BN15" s="65">
        <f t="shared" si="117"/>
        <v>0</v>
      </c>
      <c r="BO15" s="65">
        <f t="shared" si="117"/>
        <v>0</v>
      </c>
      <c r="BP15" s="65">
        <f t="shared" si="117"/>
        <v>0</v>
      </c>
      <c r="BQ15" s="65">
        <f t="shared" si="117"/>
        <v>0</v>
      </c>
      <c r="BR15" s="65">
        <f t="shared" si="117"/>
        <v>0</v>
      </c>
      <c r="BS15" s="65">
        <f t="shared" si="117"/>
        <v>0</v>
      </c>
      <c r="BT15" s="65">
        <f t="shared" si="117"/>
        <v>0</v>
      </c>
      <c r="BU15" s="65">
        <f t="shared" si="117"/>
        <v>0</v>
      </c>
      <c r="BV15" s="65">
        <f t="shared" si="117"/>
        <v>0</v>
      </c>
      <c r="BW15" s="65">
        <f t="shared" si="117"/>
        <v>0</v>
      </c>
      <c r="BX15" s="65">
        <f t="shared" si="117"/>
        <v>0</v>
      </c>
      <c r="BY15" s="65">
        <f t="shared" si="117"/>
        <v>0</v>
      </c>
      <c r="BZ15" s="65">
        <f t="shared" si="118"/>
        <v>0</v>
      </c>
      <c r="CA15" s="65">
        <f t="shared" si="118"/>
        <v>0</v>
      </c>
      <c r="CB15" s="65">
        <f t="shared" si="118"/>
        <v>0</v>
      </c>
      <c r="CC15" s="65">
        <f t="shared" si="118"/>
        <v>0</v>
      </c>
      <c r="CD15" s="65">
        <f t="shared" si="118"/>
        <v>0</v>
      </c>
      <c r="CE15" s="65">
        <f t="shared" si="118"/>
        <v>0</v>
      </c>
      <c r="CF15" s="65">
        <f t="shared" si="118"/>
        <v>0</v>
      </c>
      <c r="CG15" s="65">
        <f t="shared" si="118"/>
        <v>0</v>
      </c>
      <c r="CH15" s="65">
        <f t="shared" si="118"/>
        <v>0</v>
      </c>
      <c r="CI15" s="65">
        <f t="shared" si="118"/>
        <v>0</v>
      </c>
      <c r="CJ15" s="65">
        <f t="shared" si="118"/>
        <v>0</v>
      </c>
      <c r="CK15" s="65">
        <f t="shared" si="118"/>
        <v>0</v>
      </c>
      <c r="CL15" s="65">
        <f t="shared" si="118"/>
        <v>0</v>
      </c>
      <c r="CM15" s="65">
        <f t="shared" si="118"/>
        <v>0</v>
      </c>
      <c r="CN15" s="65">
        <f t="shared" si="113"/>
        <v>0</v>
      </c>
      <c r="CO15" s="65">
        <f t="shared" si="113"/>
        <v>0</v>
      </c>
      <c r="CP15" s="65">
        <f t="shared" si="113"/>
        <v>0</v>
      </c>
      <c r="CQ15" s="65">
        <f t="shared" si="113"/>
        <v>0</v>
      </c>
      <c r="CR15" s="65">
        <f t="shared" si="113"/>
        <v>0</v>
      </c>
      <c r="CS15" s="65">
        <f t="shared" si="113"/>
        <v>0</v>
      </c>
      <c r="CT15" s="65">
        <f t="shared" si="113"/>
        <v>0</v>
      </c>
      <c r="CU15" s="65">
        <f t="shared" si="113"/>
        <v>0</v>
      </c>
      <c r="CV15" s="65">
        <f t="shared" si="113"/>
        <v>0</v>
      </c>
      <c r="CW15" s="65">
        <f t="shared" si="113"/>
        <v>0</v>
      </c>
      <c r="CX15" s="65">
        <f t="shared" si="113"/>
        <v>0</v>
      </c>
      <c r="CY15" s="65">
        <f t="shared" si="113"/>
        <v>0</v>
      </c>
      <c r="CZ15" s="65">
        <f t="shared" si="113"/>
        <v>0</v>
      </c>
      <c r="DA15" s="65">
        <f t="shared" si="113"/>
        <v>0</v>
      </c>
      <c r="DB15" s="65">
        <f t="shared" si="113"/>
        <v>0</v>
      </c>
      <c r="DC15" s="65">
        <f t="shared" si="113"/>
        <v>0</v>
      </c>
      <c r="DD15" s="65">
        <f t="shared" si="108"/>
        <v>0</v>
      </c>
      <c r="DE15" s="65">
        <f t="shared" si="114"/>
        <v>0</v>
      </c>
      <c r="DF15" s="65">
        <f t="shared" si="114"/>
        <v>0</v>
      </c>
      <c r="DG15" s="65">
        <f t="shared" si="114"/>
        <v>0</v>
      </c>
      <c r="DH15" s="65">
        <f t="shared" si="114"/>
        <v>0</v>
      </c>
      <c r="DI15" s="65">
        <f t="shared" si="114"/>
        <v>0</v>
      </c>
      <c r="DJ15" s="65">
        <f t="shared" si="114"/>
        <v>0</v>
      </c>
      <c r="DK15" s="65">
        <f t="shared" si="114"/>
        <v>0</v>
      </c>
      <c r="DL15" s="65">
        <f t="shared" si="114"/>
        <v>0</v>
      </c>
      <c r="DM15" s="65">
        <f t="shared" si="114"/>
        <v>0</v>
      </c>
      <c r="DN15" s="65">
        <f t="shared" si="114"/>
        <v>0</v>
      </c>
      <c r="DO15" s="65">
        <f t="shared" si="114"/>
        <v>0</v>
      </c>
      <c r="DP15" s="65">
        <f t="shared" si="114"/>
        <v>0</v>
      </c>
      <c r="DQ15" s="65">
        <f t="shared" si="114"/>
        <v>0</v>
      </c>
      <c r="DR15" s="65">
        <f t="shared" si="114"/>
        <v>0</v>
      </c>
      <c r="DS15" s="65">
        <f t="shared" si="114"/>
        <v>0</v>
      </c>
      <c r="DT15" s="65">
        <f t="shared" si="114"/>
        <v>0</v>
      </c>
      <c r="DU15" s="65">
        <f t="shared" si="114"/>
        <v>0</v>
      </c>
      <c r="DV15" s="65">
        <f t="shared" si="114"/>
        <v>0</v>
      </c>
      <c r="DW15" s="65">
        <f t="shared" si="114"/>
        <v>0</v>
      </c>
      <c r="DX15" s="65">
        <f t="shared" si="114"/>
        <v>0</v>
      </c>
      <c r="DY15" s="65">
        <f t="shared" si="114"/>
        <v>0</v>
      </c>
      <c r="DZ15" s="65">
        <f t="shared" si="114"/>
        <v>0</v>
      </c>
      <c r="EA15" s="65">
        <f t="shared" si="114"/>
        <v>0</v>
      </c>
      <c r="EB15" s="65">
        <f t="shared" si="114"/>
        <v>0</v>
      </c>
      <c r="EC15" s="65">
        <f t="shared" si="114"/>
        <v>0</v>
      </c>
      <c r="ED15" s="65">
        <f t="shared" si="114"/>
        <v>0</v>
      </c>
      <c r="EE15" s="65">
        <f t="shared" si="114"/>
        <v>0</v>
      </c>
      <c r="EF15" s="65">
        <f t="shared" si="114"/>
        <v>0</v>
      </c>
      <c r="EG15" s="65">
        <f t="shared" si="114"/>
        <v>0</v>
      </c>
      <c r="EH15" s="65">
        <f t="shared" si="114"/>
        <v>0</v>
      </c>
      <c r="EI15" s="65">
        <f t="shared" si="114"/>
        <v>0</v>
      </c>
      <c r="EJ15" s="65">
        <f t="shared" si="114"/>
        <v>0</v>
      </c>
      <c r="EK15" s="65">
        <f t="shared" si="114"/>
        <v>0</v>
      </c>
      <c r="EL15" s="65">
        <f t="shared" si="114"/>
        <v>0</v>
      </c>
      <c r="EM15" s="65">
        <f t="shared" si="114"/>
        <v>0</v>
      </c>
      <c r="EN15" s="65">
        <f t="shared" si="114"/>
        <v>0</v>
      </c>
      <c r="EO15" s="65">
        <f t="shared" si="114"/>
        <v>0</v>
      </c>
    </row>
    <row r="16" spans="2:145" x14ac:dyDescent="0.45">
      <c r="B16" s="86">
        <f t="shared" si="121"/>
        <v>1100</v>
      </c>
      <c r="C16" s="86" t="s">
        <v>109</v>
      </c>
      <c r="E16" s="88">
        <v>1</v>
      </c>
      <c r="F16" s="90">
        <v>0</v>
      </c>
      <c r="G16" s="92">
        <v>0</v>
      </c>
      <c r="H16" s="99">
        <v>0.01</v>
      </c>
      <c r="I16" s="93">
        <v>0</v>
      </c>
      <c r="J16" s="65">
        <f t="shared" si="122"/>
        <v>0</v>
      </c>
      <c r="L16" s="65">
        <f t="shared" si="111"/>
        <v>0</v>
      </c>
      <c r="M16" s="65">
        <f t="shared" si="106"/>
        <v>0</v>
      </c>
      <c r="N16" s="65">
        <f t="shared" si="106"/>
        <v>0</v>
      </c>
      <c r="O16" s="65">
        <f t="shared" si="106"/>
        <v>0</v>
      </c>
      <c r="P16" s="65">
        <f t="shared" si="106"/>
        <v>0</v>
      </c>
      <c r="Q16" s="65">
        <f t="shared" si="106"/>
        <v>0</v>
      </c>
      <c r="R16" s="65">
        <f t="shared" si="106"/>
        <v>0</v>
      </c>
      <c r="S16" s="65">
        <f t="shared" si="106"/>
        <v>0</v>
      </c>
      <c r="T16" s="65">
        <f t="shared" si="106"/>
        <v>0</v>
      </c>
      <c r="U16" s="65">
        <f t="shared" si="106"/>
        <v>0</v>
      </c>
      <c r="V16" s="65">
        <f t="shared" si="106"/>
        <v>0</v>
      </c>
      <c r="W16" s="65">
        <f t="shared" si="106"/>
        <v>0</v>
      </c>
      <c r="X16" s="65">
        <f t="shared" si="106"/>
        <v>0</v>
      </c>
      <c r="Y16" s="65">
        <f t="shared" si="106"/>
        <v>0</v>
      </c>
      <c r="Z16" s="65">
        <f t="shared" si="106"/>
        <v>0</v>
      </c>
      <c r="AA16" s="65">
        <f t="shared" si="106"/>
        <v>0</v>
      </c>
      <c r="AB16" s="65">
        <f t="shared" si="106"/>
        <v>0</v>
      </c>
      <c r="AC16" s="65">
        <f t="shared" si="106"/>
        <v>0</v>
      </c>
      <c r="AD16" s="65">
        <f t="shared" si="115"/>
        <v>0</v>
      </c>
      <c r="AE16" s="65">
        <f t="shared" si="115"/>
        <v>0</v>
      </c>
      <c r="AF16" s="65">
        <f t="shared" si="115"/>
        <v>0</v>
      </c>
      <c r="AG16" s="65">
        <f t="shared" si="115"/>
        <v>0</v>
      </c>
      <c r="AH16" s="65">
        <f t="shared" si="115"/>
        <v>0</v>
      </c>
      <c r="AI16" s="65">
        <f t="shared" si="115"/>
        <v>0</v>
      </c>
      <c r="AJ16" s="65">
        <f t="shared" si="115"/>
        <v>0</v>
      </c>
      <c r="AK16" s="65">
        <f t="shared" si="115"/>
        <v>0</v>
      </c>
      <c r="AL16" s="65">
        <f t="shared" si="115"/>
        <v>0</v>
      </c>
      <c r="AM16" s="65">
        <f t="shared" si="115"/>
        <v>0</v>
      </c>
      <c r="AN16" s="65">
        <f t="shared" si="115"/>
        <v>0</v>
      </c>
      <c r="AO16" s="65">
        <f t="shared" si="115"/>
        <v>0</v>
      </c>
      <c r="AP16" s="65">
        <f t="shared" si="115"/>
        <v>0</v>
      </c>
      <c r="AQ16" s="65">
        <f t="shared" si="115"/>
        <v>0</v>
      </c>
      <c r="AR16" s="65">
        <f t="shared" si="115"/>
        <v>0</v>
      </c>
      <c r="AS16" s="65">
        <f t="shared" si="115"/>
        <v>0</v>
      </c>
      <c r="AT16" s="65">
        <f t="shared" si="116"/>
        <v>0</v>
      </c>
      <c r="AU16" s="65">
        <f t="shared" si="116"/>
        <v>0</v>
      </c>
      <c r="AV16" s="65">
        <f t="shared" si="116"/>
        <v>0</v>
      </c>
      <c r="AW16" s="65">
        <f t="shared" si="116"/>
        <v>0</v>
      </c>
      <c r="AX16" s="65">
        <f t="shared" si="116"/>
        <v>0</v>
      </c>
      <c r="AY16" s="65">
        <f t="shared" si="116"/>
        <v>0</v>
      </c>
      <c r="AZ16" s="65">
        <f t="shared" si="116"/>
        <v>0</v>
      </c>
      <c r="BA16" s="65">
        <f t="shared" si="116"/>
        <v>0</v>
      </c>
      <c r="BB16" s="65">
        <f t="shared" si="116"/>
        <v>0</v>
      </c>
      <c r="BC16" s="65">
        <f t="shared" si="116"/>
        <v>0</v>
      </c>
      <c r="BD16" s="65">
        <f t="shared" si="116"/>
        <v>0</v>
      </c>
      <c r="BE16" s="65">
        <f t="shared" si="116"/>
        <v>0</v>
      </c>
      <c r="BF16" s="65">
        <f t="shared" si="116"/>
        <v>0</v>
      </c>
      <c r="BG16" s="65">
        <f t="shared" si="116"/>
        <v>0</v>
      </c>
      <c r="BH16" s="65">
        <f t="shared" si="116"/>
        <v>0</v>
      </c>
      <c r="BI16" s="65">
        <f t="shared" si="116"/>
        <v>0</v>
      </c>
      <c r="BJ16" s="65">
        <f t="shared" si="117"/>
        <v>0</v>
      </c>
      <c r="BK16" s="65">
        <f t="shared" si="117"/>
        <v>0</v>
      </c>
      <c r="BL16" s="65">
        <f t="shared" si="117"/>
        <v>0</v>
      </c>
      <c r="BM16" s="65">
        <f t="shared" si="117"/>
        <v>0</v>
      </c>
      <c r="BN16" s="65">
        <f t="shared" si="117"/>
        <v>0</v>
      </c>
      <c r="BO16" s="65">
        <f t="shared" si="117"/>
        <v>0</v>
      </c>
      <c r="BP16" s="65">
        <f t="shared" si="117"/>
        <v>0</v>
      </c>
      <c r="BQ16" s="65">
        <f t="shared" si="117"/>
        <v>0</v>
      </c>
      <c r="BR16" s="65">
        <f t="shared" si="117"/>
        <v>0</v>
      </c>
      <c r="BS16" s="65">
        <f t="shared" si="117"/>
        <v>0</v>
      </c>
      <c r="BT16" s="65">
        <f t="shared" si="117"/>
        <v>0</v>
      </c>
      <c r="BU16" s="65">
        <f t="shared" si="117"/>
        <v>0</v>
      </c>
      <c r="BV16" s="65">
        <f t="shared" si="117"/>
        <v>0</v>
      </c>
      <c r="BW16" s="65">
        <f t="shared" si="117"/>
        <v>0</v>
      </c>
      <c r="BX16" s="65">
        <f t="shared" si="117"/>
        <v>0</v>
      </c>
      <c r="BY16" s="65">
        <f t="shared" si="117"/>
        <v>0</v>
      </c>
      <c r="BZ16" s="65">
        <f t="shared" si="118"/>
        <v>0</v>
      </c>
      <c r="CA16" s="65">
        <f t="shared" si="118"/>
        <v>0</v>
      </c>
      <c r="CB16" s="65">
        <f t="shared" si="118"/>
        <v>0</v>
      </c>
      <c r="CC16" s="65">
        <f t="shared" si="118"/>
        <v>0</v>
      </c>
      <c r="CD16" s="65">
        <f t="shared" si="118"/>
        <v>0</v>
      </c>
      <c r="CE16" s="65">
        <f t="shared" si="118"/>
        <v>0</v>
      </c>
      <c r="CF16" s="65">
        <f t="shared" si="118"/>
        <v>0</v>
      </c>
      <c r="CG16" s="65">
        <f t="shared" si="118"/>
        <v>0</v>
      </c>
      <c r="CH16" s="65">
        <f t="shared" si="118"/>
        <v>0</v>
      </c>
      <c r="CI16" s="65">
        <f t="shared" si="118"/>
        <v>0</v>
      </c>
      <c r="CJ16" s="65">
        <f t="shared" si="118"/>
        <v>0</v>
      </c>
      <c r="CK16" s="65">
        <f t="shared" si="118"/>
        <v>0</v>
      </c>
      <c r="CL16" s="65">
        <f t="shared" si="118"/>
        <v>0</v>
      </c>
      <c r="CM16" s="65">
        <f t="shared" si="118"/>
        <v>0</v>
      </c>
      <c r="CN16" s="65">
        <f t="shared" si="113"/>
        <v>0</v>
      </c>
      <c r="CO16" s="65">
        <f t="shared" si="113"/>
        <v>0</v>
      </c>
      <c r="CP16" s="65">
        <f t="shared" si="113"/>
        <v>0</v>
      </c>
      <c r="CQ16" s="65">
        <f t="shared" si="113"/>
        <v>0</v>
      </c>
      <c r="CR16" s="65">
        <f t="shared" si="113"/>
        <v>0</v>
      </c>
      <c r="CS16" s="65">
        <f t="shared" si="113"/>
        <v>0</v>
      </c>
      <c r="CT16" s="65">
        <f t="shared" si="113"/>
        <v>0</v>
      </c>
      <c r="CU16" s="65">
        <f t="shared" si="113"/>
        <v>0</v>
      </c>
      <c r="CV16" s="65">
        <f t="shared" si="113"/>
        <v>0</v>
      </c>
      <c r="CW16" s="65">
        <f t="shared" si="113"/>
        <v>0</v>
      </c>
      <c r="CX16" s="65">
        <f t="shared" si="113"/>
        <v>0</v>
      </c>
      <c r="CY16" s="65">
        <f t="shared" si="113"/>
        <v>0</v>
      </c>
      <c r="CZ16" s="65">
        <f t="shared" si="113"/>
        <v>0</v>
      </c>
      <c r="DA16" s="65">
        <f t="shared" si="113"/>
        <v>0</v>
      </c>
      <c r="DB16" s="65">
        <f t="shared" si="113"/>
        <v>0</v>
      </c>
      <c r="DC16" s="65">
        <f t="shared" si="113"/>
        <v>0</v>
      </c>
      <c r="DD16" s="65">
        <f t="shared" si="108"/>
        <v>0</v>
      </c>
      <c r="DE16" s="65">
        <f t="shared" si="114"/>
        <v>0</v>
      </c>
      <c r="DF16" s="65">
        <f t="shared" si="114"/>
        <v>0</v>
      </c>
      <c r="DG16" s="65">
        <f t="shared" si="114"/>
        <v>0</v>
      </c>
      <c r="DH16" s="65">
        <f t="shared" si="114"/>
        <v>0</v>
      </c>
      <c r="DI16" s="65">
        <f t="shared" si="114"/>
        <v>0</v>
      </c>
      <c r="DJ16" s="65">
        <f t="shared" si="114"/>
        <v>0</v>
      </c>
      <c r="DK16" s="65">
        <f t="shared" si="114"/>
        <v>0</v>
      </c>
      <c r="DL16" s="65">
        <f t="shared" si="114"/>
        <v>0</v>
      </c>
      <c r="DM16" s="65">
        <f t="shared" si="114"/>
        <v>0</v>
      </c>
      <c r="DN16" s="65">
        <f t="shared" si="114"/>
        <v>0</v>
      </c>
      <c r="DO16" s="65">
        <f t="shared" si="114"/>
        <v>0</v>
      </c>
      <c r="DP16" s="65">
        <f t="shared" si="114"/>
        <v>0</v>
      </c>
      <c r="DQ16" s="65">
        <f t="shared" si="114"/>
        <v>0</v>
      </c>
      <c r="DR16" s="65">
        <f t="shared" si="114"/>
        <v>0</v>
      </c>
      <c r="DS16" s="65">
        <f t="shared" si="114"/>
        <v>0</v>
      </c>
      <c r="DT16" s="65">
        <f t="shared" si="114"/>
        <v>0</v>
      </c>
      <c r="DU16" s="65">
        <f t="shared" si="114"/>
        <v>0</v>
      </c>
      <c r="DV16" s="65">
        <f t="shared" si="114"/>
        <v>0</v>
      </c>
      <c r="DW16" s="65">
        <f t="shared" si="114"/>
        <v>0</v>
      </c>
      <c r="DX16" s="65">
        <f t="shared" si="114"/>
        <v>0</v>
      </c>
      <c r="DY16" s="65">
        <f t="shared" si="114"/>
        <v>0</v>
      </c>
      <c r="DZ16" s="65">
        <f t="shared" si="114"/>
        <v>0</v>
      </c>
      <c r="EA16" s="65">
        <f t="shared" si="114"/>
        <v>0</v>
      </c>
      <c r="EB16" s="65">
        <f t="shared" si="114"/>
        <v>0</v>
      </c>
      <c r="EC16" s="65">
        <f t="shared" si="114"/>
        <v>0</v>
      </c>
      <c r="ED16" s="65">
        <f t="shared" si="114"/>
        <v>0</v>
      </c>
      <c r="EE16" s="65">
        <f t="shared" si="114"/>
        <v>0</v>
      </c>
      <c r="EF16" s="65">
        <f t="shared" si="114"/>
        <v>0</v>
      </c>
      <c r="EG16" s="65">
        <f t="shared" si="114"/>
        <v>0</v>
      </c>
      <c r="EH16" s="65">
        <f t="shared" si="114"/>
        <v>0</v>
      </c>
      <c r="EI16" s="65">
        <f t="shared" si="114"/>
        <v>0</v>
      </c>
      <c r="EJ16" s="65">
        <f t="shared" si="114"/>
        <v>0</v>
      </c>
      <c r="EK16" s="65">
        <f t="shared" si="114"/>
        <v>0</v>
      </c>
      <c r="EL16" s="65">
        <f t="shared" si="114"/>
        <v>0</v>
      </c>
      <c r="EM16" s="65">
        <f t="shared" si="114"/>
        <v>0</v>
      </c>
      <c r="EN16" s="65">
        <f t="shared" si="114"/>
        <v>0</v>
      </c>
      <c r="EO16" s="65">
        <f t="shared" si="114"/>
        <v>0</v>
      </c>
    </row>
    <row r="17" spans="2:145" x14ac:dyDescent="0.45">
      <c r="B17" s="86">
        <f t="shared" si="121"/>
        <v>1200</v>
      </c>
      <c r="C17" s="86" t="s">
        <v>109</v>
      </c>
      <c r="E17" s="88">
        <v>1</v>
      </c>
      <c r="F17" s="90">
        <v>0</v>
      </c>
      <c r="G17" s="92">
        <v>0</v>
      </c>
      <c r="H17" s="99">
        <v>0.01</v>
      </c>
      <c r="I17" s="93">
        <v>0</v>
      </c>
      <c r="J17" s="65">
        <f t="shared" si="122"/>
        <v>0</v>
      </c>
      <c r="L17" s="65">
        <f t="shared" si="111"/>
        <v>0</v>
      </c>
      <c r="M17" s="65">
        <f t="shared" si="106"/>
        <v>0</v>
      </c>
      <c r="N17" s="65">
        <f t="shared" si="106"/>
        <v>0</v>
      </c>
      <c r="O17" s="65">
        <f t="shared" si="106"/>
        <v>0</v>
      </c>
      <c r="P17" s="65">
        <f t="shared" si="106"/>
        <v>0</v>
      </c>
      <c r="Q17" s="65">
        <f t="shared" si="106"/>
        <v>0</v>
      </c>
      <c r="R17" s="65">
        <f t="shared" si="106"/>
        <v>0</v>
      </c>
      <c r="S17" s="65">
        <f t="shared" si="106"/>
        <v>0</v>
      </c>
      <c r="T17" s="65">
        <f t="shared" si="106"/>
        <v>0</v>
      </c>
      <c r="U17" s="65">
        <f t="shared" si="106"/>
        <v>0</v>
      </c>
      <c r="V17" s="65">
        <f t="shared" si="106"/>
        <v>0</v>
      </c>
      <c r="W17" s="65">
        <f t="shared" si="106"/>
        <v>0</v>
      </c>
      <c r="X17" s="65">
        <f t="shared" si="106"/>
        <v>0</v>
      </c>
      <c r="Y17" s="65">
        <f t="shared" si="106"/>
        <v>0</v>
      </c>
      <c r="Z17" s="65">
        <f t="shared" si="106"/>
        <v>0</v>
      </c>
      <c r="AA17" s="65">
        <f t="shared" si="106"/>
        <v>0</v>
      </c>
      <c r="AB17" s="65">
        <f t="shared" si="106"/>
        <v>0</v>
      </c>
      <c r="AC17" s="65">
        <f t="shared" si="106"/>
        <v>0</v>
      </c>
      <c r="AD17" s="65">
        <f t="shared" si="115"/>
        <v>0</v>
      </c>
      <c r="AE17" s="65">
        <f t="shared" si="115"/>
        <v>0</v>
      </c>
      <c r="AF17" s="65">
        <f t="shared" si="115"/>
        <v>0</v>
      </c>
      <c r="AG17" s="65">
        <f t="shared" si="115"/>
        <v>0</v>
      </c>
      <c r="AH17" s="65">
        <f t="shared" si="115"/>
        <v>0</v>
      </c>
      <c r="AI17" s="65">
        <f t="shared" si="115"/>
        <v>0</v>
      </c>
      <c r="AJ17" s="65">
        <f t="shared" si="115"/>
        <v>0</v>
      </c>
      <c r="AK17" s="65">
        <f t="shared" si="115"/>
        <v>0</v>
      </c>
      <c r="AL17" s="65">
        <f t="shared" si="115"/>
        <v>0</v>
      </c>
      <c r="AM17" s="65">
        <f t="shared" si="115"/>
        <v>0</v>
      </c>
      <c r="AN17" s="65">
        <f t="shared" si="115"/>
        <v>0</v>
      </c>
      <c r="AO17" s="65">
        <f t="shared" si="115"/>
        <v>0</v>
      </c>
      <c r="AP17" s="65">
        <f t="shared" si="115"/>
        <v>0</v>
      </c>
      <c r="AQ17" s="65">
        <f t="shared" si="115"/>
        <v>0</v>
      </c>
      <c r="AR17" s="65">
        <f t="shared" si="115"/>
        <v>0</v>
      </c>
      <c r="AS17" s="65">
        <f t="shared" si="115"/>
        <v>0</v>
      </c>
      <c r="AT17" s="65">
        <f t="shared" si="116"/>
        <v>0</v>
      </c>
      <c r="AU17" s="65">
        <f t="shared" si="116"/>
        <v>0</v>
      </c>
      <c r="AV17" s="65">
        <f t="shared" si="116"/>
        <v>0</v>
      </c>
      <c r="AW17" s="65">
        <f t="shared" si="116"/>
        <v>0</v>
      </c>
      <c r="AX17" s="65">
        <f t="shared" si="116"/>
        <v>0</v>
      </c>
      <c r="AY17" s="65">
        <f t="shared" si="116"/>
        <v>0</v>
      </c>
      <c r="AZ17" s="65">
        <f t="shared" si="116"/>
        <v>0</v>
      </c>
      <c r="BA17" s="65">
        <f t="shared" si="116"/>
        <v>0</v>
      </c>
      <c r="BB17" s="65">
        <f t="shared" si="116"/>
        <v>0</v>
      </c>
      <c r="BC17" s="65">
        <f t="shared" si="116"/>
        <v>0</v>
      </c>
      <c r="BD17" s="65">
        <f t="shared" si="116"/>
        <v>0</v>
      </c>
      <c r="BE17" s="65">
        <f t="shared" si="116"/>
        <v>0</v>
      </c>
      <c r="BF17" s="65">
        <f t="shared" si="116"/>
        <v>0</v>
      </c>
      <c r="BG17" s="65">
        <f t="shared" si="116"/>
        <v>0</v>
      </c>
      <c r="BH17" s="65">
        <f t="shared" si="116"/>
        <v>0</v>
      </c>
      <c r="BI17" s="65">
        <f t="shared" si="116"/>
        <v>0</v>
      </c>
      <c r="BJ17" s="65">
        <f t="shared" si="117"/>
        <v>0</v>
      </c>
      <c r="BK17" s="65">
        <f t="shared" si="117"/>
        <v>0</v>
      </c>
      <c r="BL17" s="65">
        <f t="shared" si="117"/>
        <v>0</v>
      </c>
      <c r="BM17" s="65">
        <f t="shared" si="117"/>
        <v>0</v>
      </c>
      <c r="BN17" s="65">
        <f t="shared" si="117"/>
        <v>0</v>
      </c>
      <c r="BO17" s="65">
        <f t="shared" si="117"/>
        <v>0</v>
      </c>
      <c r="BP17" s="65">
        <f t="shared" si="117"/>
        <v>0</v>
      </c>
      <c r="BQ17" s="65">
        <f t="shared" si="117"/>
        <v>0</v>
      </c>
      <c r="BR17" s="65">
        <f t="shared" si="117"/>
        <v>0</v>
      </c>
      <c r="BS17" s="65">
        <f t="shared" si="117"/>
        <v>0</v>
      </c>
      <c r="BT17" s="65">
        <f t="shared" si="117"/>
        <v>0</v>
      </c>
      <c r="BU17" s="65">
        <f t="shared" si="117"/>
        <v>0</v>
      </c>
      <c r="BV17" s="65">
        <f t="shared" si="117"/>
        <v>0</v>
      </c>
      <c r="BW17" s="65">
        <f t="shared" si="117"/>
        <v>0</v>
      </c>
      <c r="BX17" s="65">
        <f t="shared" si="117"/>
        <v>0</v>
      </c>
      <c r="BY17" s="65">
        <f t="shared" si="117"/>
        <v>0</v>
      </c>
      <c r="BZ17" s="65">
        <f t="shared" si="118"/>
        <v>0</v>
      </c>
      <c r="CA17" s="65">
        <f t="shared" si="118"/>
        <v>0</v>
      </c>
      <c r="CB17" s="65">
        <f t="shared" si="118"/>
        <v>0</v>
      </c>
      <c r="CC17" s="65">
        <f t="shared" si="118"/>
        <v>0</v>
      </c>
      <c r="CD17" s="65">
        <f t="shared" si="118"/>
        <v>0</v>
      </c>
      <c r="CE17" s="65">
        <f t="shared" si="118"/>
        <v>0</v>
      </c>
      <c r="CF17" s="65">
        <f t="shared" si="118"/>
        <v>0</v>
      </c>
      <c r="CG17" s="65">
        <f t="shared" si="118"/>
        <v>0</v>
      </c>
      <c r="CH17" s="65">
        <f t="shared" si="118"/>
        <v>0</v>
      </c>
      <c r="CI17" s="65">
        <f t="shared" si="118"/>
        <v>0</v>
      </c>
      <c r="CJ17" s="65">
        <f t="shared" si="118"/>
        <v>0</v>
      </c>
      <c r="CK17" s="65">
        <f t="shared" si="118"/>
        <v>0</v>
      </c>
      <c r="CL17" s="65">
        <f t="shared" si="118"/>
        <v>0</v>
      </c>
      <c r="CM17" s="65">
        <f t="shared" si="118"/>
        <v>0</v>
      </c>
      <c r="CN17" s="65">
        <f t="shared" si="113"/>
        <v>0</v>
      </c>
      <c r="CO17" s="65">
        <f t="shared" si="113"/>
        <v>0</v>
      </c>
      <c r="CP17" s="65">
        <f t="shared" si="113"/>
        <v>0</v>
      </c>
      <c r="CQ17" s="65">
        <f t="shared" si="113"/>
        <v>0</v>
      </c>
      <c r="CR17" s="65">
        <f t="shared" si="113"/>
        <v>0</v>
      </c>
      <c r="CS17" s="65">
        <f t="shared" si="113"/>
        <v>0</v>
      </c>
      <c r="CT17" s="65">
        <f t="shared" si="113"/>
        <v>0</v>
      </c>
      <c r="CU17" s="65">
        <f t="shared" si="113"/>
        <v>0</v>
      </c>
      <c r="CV17" s="65">
        <f t="shared" si="113"/>
        <v>0</v>
      </c>
      <c r="CW17" s="65">
        <f t="shared" si="113"/>
        <v>0</v>
      </c>
      <c r="CX17" s="65">
        <f t="shared" si="113"/>
        <v>0</v>
      </c>
      <c r="CY17" s="65">
        <f t="shared" si="113"/>
        <v>0</v>
      </c>
      <c r="CZ17" s="65">
        <f t="shared" si="113"/>
        <v>0</v>
      </c>
      <c r="DA17" s="65">
        <f t="shared" si="113"/>
        <v>0</v>
      </c>
      <c r="DB17" s="65">
        <f t="shared" si="113"/>
        <v>0</v>
      </c>
      <c r="DC17" s="65">
        <f t="shared" si="113"/>
        <v>0</v>
      </c>
      <c r="DD17" s="65">
        <f t="shared" si="108"/>
        <v>0</v>
      </c>
      <c r="DE17" s="65">
        <f t="shared" si="114"/>
        <v>0</v>
      </c>
      <c r="DF17" s="65">
        <f t="shared" si="114"/>
        <v>0</v>
      </c>
      <c r="DG17" s="65">
        <f t="shared" si="114"/>
        <v>0</v>
      </c>
      <c r="DH17" s="65">
        <f t="shared" si="114"/>
        <v>0</v>
      </c>
      <c r="DI17" s="65">
        <f t="shared" si="114"/>
        <v>0</v>
      </c>
      <c r="DJ17" s="65">
        <f t="shared" si="114"/>
        <v>0</v>
      </c>
      <c r="DK17" s="65">
        <f t="shared" si="114"/>
        <v>0</v>
      </c>
      <c r="DL17" s="65">
        <f t="shared" si="114"/>
        <v>0</v>
      </c>
      <c r="DM17" s="65">
        <f t="shared" si="114"/>
        <v>0</v>
      </c>
      <c r="DN17" s="65">
        <f t="shared" si="114"/>
        <v>0</v>
      </c>
      <c r="DO17" s="65">
        <f t="shared" si="114"/>
        <v>0</v>
      </c>
      <c r="DP17" s="65">
        <f t="shared" si="114"/>
        <v>0</v>
      </c>
      <c r="DQ17" s="65">
        <f t="shared" si="114"/>
        <v>0</v>
      </c>
      <c r="DR17" s="65">
        <f t="shared" si="114"/>
        <v>0</v>
      </c>
      <c r="DS17" s="65">
        <f t="shared" si="114"/>
        <v>0</v>
      </c>
      <c r="DT17" s="65">
        <f t="shared" si="114"/>
        <v>0</v>
      </c>
      <c r="DU17" s="65">
        <f t="shared" si="114"/>
        <v>0</v>
      </c>
      <c r="DV17" s="65">
        <f t="shared" si="114"/>
        <v>0</v>
      </c>
      <c r="DW17" s="65">
        <f t="shared" si="114"/>
        <v>0</v>
      </c>
      <c r="DX17" s="65">
        <f t="shared" si="114"/>
        <v>0</v>
      </c>
      <c r="DY17" s="65">
        <f t="shared" si="114"/>
        <v>0</v>
      </c>
      <c r="DZ17" s="65">
        <f t="shared" ref="DE17:EO18" si="123">($G17&lt;=DZ$5)*($J17/12)*(1+$H17)^(ROUNDUP(MAX(DZ$5-$G17+1,0)/12,0)-1)</f>
        <v>0</v>
      </c>
      <c r="EA17" s="65">
        <f t="shared" si="123"/>
        <v>0</v>
      </c>
      <c r="EB17" s="65">
        <f t="shared" si="123"/>
        <v>0</v>
      </c>
      <c r="EC17" s="65">
        <f t="shared" si="123"/>
        <v>0</v>
      </c>
      <c r="ED17" s="65">
        <f t="shared" si="123"/>
        <v>0</v>
      </c>
      <c r="EE17" s="65">
        <f t="shared" si="123"/>
        <v>0</v>
      </c>
      <c r="EF17" s="65">
        <f t="shared" si="123"/>
        <v>0</v>
      </c>
      <c r="EG17" s="65">
        <f t="shared" si="123"/>
        <v>0</v>
      </c>
      <c r="EH17" s="65">
        <f t="shared" si="123"/>
        <v>0</v>
      </c>
      <c r="EI17" s="65">
        <f t="shared" si="123"/>
        <v>0</v>
      </c>
      <c r="EJ17" s="65">
        <f t="shared" si="123"/>
        <v>0</v>
      </c>
      <c r="EK17" s="65">
        <f t="shared" si="123"/>
        <v>0</v>
      </c>
      <c r="EL17" s="65">
        <f t="shared" si="123"/>
        <v>0</v>
      </c>
      <c r="EM17" s="65">
        <f t="shared" si="123"/>
        <v>0</v>
      </c>
      <c r="EN17" s="65">
        <f t="shared" si="123"/>
        <v>0</v>
      </c>
      <c r="EO17" s="65">
        <f t="shared" si="123"/>
        <v>0</v>
      </c>
    </row>
    <row r="18" spans="2:145" x14ac:dyDescent="0.45">
      <c r="B18" s="86">
        <f t="shared" si="121"/>
        <v>1300</v>
      </c>
      <c r="C18" s="86" t="s">
        <v>109</v>
      </c>
      <c r="E18" s="88">
        <v>1</v>
      </c>
      <c r="F18" s="90">
        <v>0</v>
      </c>
      <c r="G18" s="92">
        <v>0</v>
      </c>
      <c r="H18" s="99">
        <v>0.01</v>
      </c>
      <c r="I18" s="93">
        <v>0</v>
      </c>
      <c r="J18" s="65">
        <f t="shared" si="122"/>
        <v>0</v>
      </c>
      <c r="L18" s="65">
        <f t="shared" si="111"/>
        <v>0</v>
      </c>
      <c r="M18" s="65">
        <f t="shared" si="106"/>
        <v>0</v>
      </c>
      <c r="N18" s="65">
        <f t="shared" si="106"/>
        <v>0</v>
      </c>
      <c r="O18" s="65">
        <f t="shared" si="106"/>
        <v>0</v>
      </c>
      <c r="P18" s="65">
        <f t="shared" si="106"/>
        <v>0</v>
      </c>
      <c r="Q18" s="65">
        <f t="shared" si="106"/>
        <v>0</v>
      </c>
      <c r="R18" s="65">
        <f t="shared" si="106"/>
        <v>0</v>
      </c>
      <c r="S18" s="65">
        <f t="shared" si="106"/>
        <v>0</v>
      </c>
      <c r="T18" s="65">
        <f t="shared" si="106"/>
        <v>0</v>
      </c>
      <c r="U18" s="65">
        <f t="shared" si="106"/>
        <v>0</v>
      </c>
      <c r="V18" s="65">
        <f t="shared" si="106"/>
        <v>0</v>
      </c>
      <c r="W18" s="65">
        <f t="shared" si="106"/>
        <v>0</v>
      </c>
      <c r="X18" s="65">
        <f t="shared" si="106"/>
        <v>0</v>
      </c>
      <c r="Y18" s="65">
        <f t="shared" si="106"/>
        <v>0</v>
      </c>
      <c r="Z18" s="65">
        <f t="shared" si="106"/>
        <v>0</v>
      </c>
      <c r="AA18" s="65">
        <f t="shared" si="106"/>
        <v>0</v>
      </c>
      <c r="AB18" s="65">
        <f t="shared" si="106"/>
        <v>0</v>
      </c>
      <c r="AC18" s="65">
        <f t="shared" si="106"/>
        <v>0</v>
      </c>
      <c r="AD18" s="65">
        <f t="shared" si="115"/>
        <v>0</v>
      </c>
      <c r="AE18" s="65">
        <f t="shared" si="115"/>
        <v>0</v>
      </c>
      <c r="AF18" s="65">
        <f t="shared" si="115"/>
        <v>0</v>
      </c>
      <c r="AG18" s="65">
        <f t="shared" si="115"/>
        <v>0</v>
      </c>
      <c r="AH18" s="65">
        <f t="shared" si="115"/>
        <v>0</v>
      </c>
      <c r="AI18" s="65">
        <f t="shared" si="115"/>
        <v>0</v>
      </c>
      <c r="AJ18" s="65">
        <f t="shared" si="115"/>
        <v>0</v>
      </c>
      <c r="AK18" s="65">
        <f t="shared" si="115"/>
        <v>0</v>
      </c>
      <c r="AL18" s="65">
        <f t="shared" si="115"/>
        <v>0</v>
      </c>
      <c r="AM18" s="65">
        <f t="shared" si="115"/>
        <v>0</v>
      </c>
      <c r="AN18" s="65">
        <f t="shared" si="115"/>
        <v>0</v>
      </c>
      <c r="AO18" s="65">
        <f t="shared" si="115"/>
        <v>0</v>
      </c>
      <c r="AP18" s="65">
        <f t="shared" si="115"/>
        <v>0</v>
      </c>
      <c r="AQ18" s="65">
        <f t="shared" si="115"/>
        <v>0</v>
      </c>
      <c r="AR18" s="65">
        <f t="shared" si="115"/>
        <v>0</v>
      </c>
      <c r="AS18" s="65">
        <f t="shared" si="115"/>
        <v>0</v>
      </c>
      <c r="AT18" s="65">
        <f t="shared" si="116"/>
        <v>0</v>
      </c>
      <c r="AU18" s="65">
        <f t="shared" si="116"/>
        <v>0</v>
      </c>
      <c r="AV18" s="65">
        <f t="shared" si="116"/>
        <v>0</v>
      </c>
      <c r="AW18" s="65">
        <f t="shared" si="116"/>
        <v>0</v>
      </c>
      <c r="AX18" s="65">
        <f t="shared" si="116"/>
        <v>0</v>
      </c>
      <c r="AY18" s="65">
        <f t="shared" si="116"/>
        <v>0</v>
      </c>
      <c r="AZ18" s="65">
        <f t="shared" si="116"/>
        <v>0</v>
      </c>
      <c r="BA18" s="65">
        <f t="shared" si="116"/>
        <v>0</v>
      </c>
      <c r="BB18" s="65">
        <f t="shared" si="116"/>
        <v>0</v>
      </c>
      <c r="BC18" s="65">
        <f t="shared" si="116"/>
        <v>0</v>
      </c>
      <c r="BD18" s="65">
        <f t="shared" si="116"/>
        <v>0</v>
      </c>
      <c r="BE18" s="65">
        <f t="shared" si="116"/>
        <v>0</v>
      </c>
      <c r="BF18" s="65">
        <f t="shared" si="116"/>
        <v>0</v>
      </c>
      <c r="BG18" s="65">
        <f t="shared" si="116"/>
        <v>0</v>
      </c>
      <c r="BH18" s="65">
        <f t="shared" si="116"/>
        <v>0</v>
      </c>
      <c r="BI18" s="65">
        <f t="shared" si="116"/>
        <v>0</v>
      </c>
      <c r="BJ18" s="65">
        <f t="shared" si="117"/>
        <v>0</v>
      </c>
      <c r="BK18" s="65">
        <f t="shared" si="117"/>
        <v>0</v>
      </c>
      <c r="BL18" s="65">
        <f t="shared" si="117"/>
        <v>0</v>
      </c>
      <c r="BM18" s="65">
        <f t="shared" si="117"/>
        <v>0</v>
      </c>
      <c r="BN18" s="65">
        <f t="shared" si="117"/>
        <v>0</v>
      </c>
      <c r="BO18" s="65">
        <f t="shared" si="117"/>
        <v>0</v>
      </c>
      <c r="BP18" s="65">
        <f t="shared" si="117"/>
        <v>0</v>
      </c>
      <c r="BQ18" s="65">
        <f t="shared" si="117"/>
        <v>0</v>
      </c>
      <c r="BR18" s="65">
        <f t="shared" si="117"/>
        <v>0</v>
      </c>
      <c r="BS18" s="65">
        <f t="shared" si="117"/>
        <v>0</v>
      </c>
      <c r="BT18" s="65">
        <f t="shared" si="117"/>
        <v>0</v>
      </c>
      <c r="BU18" s="65">
        <f t="shared" si="117"/>
        <v>0</v>
      </c>
      <c r="BV18" s="65">
        <f t="shared" si="117"/>
        <v>0</v>
      </c>
      <c r="BW18" s="65">
        <f t="shared" si="117"/>
        <v>0</v>
      </c>
      <c r="BX18" s="65">
        <f t="shared" si="117"/>
        <v>0</v>
      </c>
      <c r="BY18" s="65">
        <f t="shared" si="117"/>
        <v>0</v>
      </c>
      <c r="BZ18" s="65">
        <f t="shared" si="118"/>
        <v>0</v>
      </c>
      <c r="CA18" s="65">
        <f t="shared" si="118"/>
        <v>0</v>
      </c>
      <c r="CB18" s="65">
        <f t="shared" si="118"/>
        <v>0</v>
      </c>
      <c r="CC18" s="65">
        <f t="shared" si="118"/>
        <v>0</v>
      </c>
      <c r="CD18" s="65">
        <f t="shared" si="118"/>
        <v>0</v>
      </c>
      <c r="CE18" s="65">
        <f t="shared" si="118"/>
        <v>0</v>
      </c>
      <c r="CF18" s="65">
        <f t="shared" si="118"/>
        <v>0</v>
      </c>
      <c r="CG18" s="65">
        <f t="shared" si="118"/>
        <v>0</v>
      </c>
      <c r="CH18" s="65">
        <f t="shared" si="118"/>
        <v>0</v>
      </c>
      <c r="CI18" s="65">
        <f t="shared" si="118"/>
        <v>0</v>
      </c>
      <c r="CJ18" s="65">
        <f t="shared" si="118"/>
        <v>0</v>
      </c>
      <c r="CK18" s="65">
        <f t="shared" si="118"/>
        <v>0</v>
      </c>
      <c r="CL18" s="65">
        <f t="shared" si="118"/>
        <v>0</v>
      </c>
      <c r="CM18" s="65">
        <f t="shared" si="118"/>
        <v>0</v>
      </c>
      <c r="CN18" s="65">
        <f t="shared" si="113"/>
        <v>0</v>
      </c>
      <c r="CO18" s="65">
        <f t="shared" si="113"/>
        <v>0</v>
      </c>
      <c r="CP18" s="65">
        <f t="shared" si="113"/>
        <v>0</v>
      </c>
      <c r="CQ18" s="65">
        <f t="shared" si="113"/>
        <v>0</v>
      </c>
      <c r="CR18" s="65">
        <f t="shared" si="113"/>
        <v>0</v>
      </c>
      <c r="CS18" s="65">
        <f t="shared" si="113"/>
        <v>0</v>
      </c>
      <c r="CT18" s="65">
        <f t="shared" si="113"/>
        <v>0</v>
      </c>
      <c r="CU18" s="65">
        <f t="shared" si="113"/>
        <v>0</v>
      </c>
      <c r="CV18" s="65">
        <f t="shared" si="113"/>
        <v>0</v>
      </c>
      <c r="CW18" s="65">
        <f t="shared" si="113"/>
        <v>0</v>
      </c>
      <c r="CX18" s="65">
        <f t="shared" si="113"/>
        <v>0</v>
      </c>
      <c r="CY18" s="65">
        <f t="shared" si="113"/>
        <v>0</v>
      </c>
      <c r="CZ18" s="65">
        <f t="shared" si="113"/>
        <v>0</v>
      </c>
      <c r="DA18" s="65">
        <f t="shared" si="113"/>
        <v>0</v>
      </c>
      <c r="DB18" s="65">
        <f t="shared" si="113"/>
        <v>0</v>
      </c>
      <c r="DC18" s="65">
        <f t="shared" si="113"/>
        <v>0</v>
      </c>
      <c r="DD18" s="65">
        <f t="shared" si="108"/>
        <v>0</v>
      </c>
      <c r="DE18" s="65">
        <f t="shared" si="123"/>
        <v>0</v>
      </c>
      <c r="DF18" s="65">
        <f t="shared" si="123"/>
        <v>0</v>
      </c>
      <c r="DG18" s="65">
        <f t="shared" si="123"/>
        <v>0</v>
      </c>
      <c r="DH18" s="65">
        <f t="shared" si="123"/>
        <v>0</v>
      </c>
      <c r="DI18" s="65">
        <f t="shared" si="123"/>
        <v>0</v>
      </c>
      <c r="DJ18" s="65">
        <f t="shared" si="123"/>
        <v>0</v>
      </c>
      <c r="DK18" s="65">
        <f t="shared" si="123"/>
        <v>0</v>
      </c>
      <c r="DL18" s="65">
        <f t="shared" si="123"/>
        <v>0</v>
      </c>
      <c r="DM18" s="65">
        <f t="shared" si="123"/>
        <v>0</v>
      </c>
      <c r="DN18" s="65">
        <f t="shared" si="123"/>
        <v>0</v>
      </c>
      <c r="DO18" s="65">
        <f t="shared" si="123"/>
        <v>0</v>
      </c>
      <c r="DP18" s="65">
        <f t="shared" si="123"/>
        <v>0</v>
      </c>
      <c r="DQ18" s="65">
        <f t="shared" si="123"/>
        <v>0</v>
      </c>
      <c r="DR18" s="65">
        <f t="shared" si="123"/>
        <v>0</v>
      </c>
      <c r="DS18" s="65">
        <f t="shared" si="123"/>
        <v>0</v>
      </c>
      <c r="DT18" s="65">
        <f t="shared" si="123"/>
        <v>0</v>
      </c>
      <c r="DU18" s="65">
        <f t="shared" si="123"/>
        <v>0</v>
      </c>
      <c r="DV18" s="65">
        <f t="shared" si="123"/>
        <v>0</v>
      </c>
      <c r="DW18" s="65">
        <f t="shared" si="123"/>
        <v>0</v>
      </c>
      <c r="DX18" s="65">
        <f t="shared" si="123"/>
        <v>0</v>
      </c>
      <c r="DY18" s="65">
        <f t="shared" si="123"/>
        <v>0</v>
      </c>
      <c r="DZ18" s="65">
        <f t="shared" si="123"/>
        <v>0</v>
      </c>
      <c r="EA18" s="65">
        <f t="shared" si="123"/>
        <v>0</v>
      </c>
      <c r="EB18" s="65">
        <f t="shared" si="123"/>
        <v>0</v>
      </c>
      <c r="EC18" s="65">
        <f t="shared" si="123"/>
        <v>0</v>
      </c>
      <c r="ED18" s="65">
        <f t="shared" si="123"/>
        <v>0</v>
      </c>
      <c r="EE18" s="65">
        <f t="shared" si="123"/>
        <v>0</v>
      </c>
      <c r="EF18" s="65">
        <f t="shared" si="123"/>
        <v>0</v>
      </c>
      <c r="EG18" s="65">
        <f t="shared" si="123"/>
        <v>0</v>
      </c>
      <c r="EH18" s="65">
        <f t="shared" si="123"/>
        <v>0</v>
      </c>
      <c r="EI18" s="65">
        <f t="shared" si="123"/>
        <v>0</v>
      </c>
      <c r="EJ18" s="65">
        <f t="shared" si="123"/>
        <v>0</v>
      </c>
      <c r="EK18" s="65">
        <f t="shared" si="123"/>
        <v>0</v>
      </c>
      <c r="EL18" s="65">
        <f t="shared" si="123"/>
        <v>0</v>
      </c>
      <c r="EM18" s="65">
        <f t="shared" si="123"/>
        <v>0</v>
      </c>
      <c r="EN18" s="65">
        <f t="shared" si="123"/>
        <v>0</v>
      </c>
      <c r="EO18" s="65">
        <f t="shared" si="123"/>
        <v>0</v>
      </c>
    </row>
    <row r="19" spans="2:145" x14ac:dyDescent="0.45">
      <c r="B19" s="71" t="s">
        <v>110</v>
      </c>
      <c r="C19" s="71"/>
      <c r="D19" s="71"/>
      <c r="E19" s="201">
        <f>MIN(E6:E18)</f>
        <v>1</v>
      </c>
      <c r="F19" s="96">
        <f>SUM(F6:F18)</f>
        <v>0</v>
      </c>
      <c r="G19" s="97">
        <f>MIN(G6:G18)</f>
        <v>0</v>
      </c>
      <c r="H19" s="100" t="e">
        <f>SUMPRODUCT(H6:H18,J6:J18)/J19</f>
        <v>#DIV/0!</v>
      </c>
      <c r="I19" s="98">
        <f>IFERROR(SUMPRODUCT(I6:I18,F6:F18)/F19,0)</f>
        <v>0</v>
      </c>
      <c r="J19" s="72">
        <f>SUM(J6:J18)</f>
        <v>0</v>
      </c>
      <c r="L19" s="72">
        <f>SUM(L6:L18)</f>
        <v>0</v>
      </c>
      <c r="M19" s="72">
        <f t="shared" ref="M19:BX19" si="124">SUM(M6:M18)</f>
        <v>0</v>
      </c>
      <c r="N19" s="72">
        <f t="shared" si="124"/>
        <v>0</v>
      </c>
      <c r="O19" s="72">
        <f t="shared" si="124"/>
        <v>0</v>
      </c>
      <c r="P19" s="72">
        <f t="shared" si="124"/>
        <v>0</v>
      </c>
      <c r="Q19" s="72">
        <f t="shared" si="124"/>
        <v>0</v>
      </c>
      <c r="R19" s="72">
        <f t="shared" si="124"/>
        <v>0</v>
      </c>
      <c r="S19" s="72">
        <f t="shared" si="124"/>
        <v>0</v>
      </c>
      <c r="T19" s="72">
        <f t="shared" si="124"/>
        <v>0</v>
      </c>
      <c r="U19" s="72">
        <f t="shared" si="124"/>
        <v>0</v>
      </c>
      <c r="V19" s="72">
        <f t="shared" si="124"/>
        <v>0</v>
      </c>
      <c r="W19" s="72">
        <f t="shared" si="124"/>
        <v>0</v>
      </c>
      <c r="X19" s="72">
        <f t="shared" si="124"/>
        <v>0</v>
      </c>
      <c r="Y19" s="72">
        <f t="shared" si="124"/>
        <v>0</v>
      </c>
      <c r="Z19" s="72">
        <f t="shared" si="124"/>
        <v>0</v>
      </c>
      <c r="AA19" s="72">
        <f t="shared" si="124"/>
        <v>0</v>
      </c>
      <c r="AB19" s="72">
        <f t="shared" si="124"/>
        <v>0</v>
      </c>
      <c r="AC19" s="72">
        <f t="shared" si="124"/>
        <v>0</v>
      </c>
      <c r="AD19" s="72">
        <f t="shared" si="124"/>
        <v>0</v>
      </c>
      <c r="AE19" s="72">
        <f t="shared" si="124"/>
        <v>0</v>
      </c>
      <c r="AF19" s="72">
        <f t="shared" si="124"/>
        <v>0</v>
      </c>
      <c r="AG19" s="72">
        <f t="shared" si="124"/>
        <v>0</v>
      </c>
      <c r="AH19" s="72">
        <f t="shared" si="124"/>
        <v>0</v>
      </c>
      <c r="AI19" s="72">
        <f t="shared" si="124"/>
        <v>0</v>
      </c>
      <c r="AJ19" s="72">
        <f t="shared" si="124"/>
        <v>0</v>
      </c>
      <c r="AK19" s="72">
        <f t="shared" si="124"/>
        <v>0</v>
      </c>
      <c r="AL19" s="72">
        <f t="shared" si="124"/>
        <v>0</v>
      </c>
      <c r="AM19" s="72">
        <f t="shared" si="124"/>
        <v>0</v>
      </c>
      <c r="AN19" s="72">
        <f t="shared" si="124"/>
        <v>0</v>
      </c>
      <c r="AO19" s="72">
        <f t="shared" si="124"/>
        <v>0</v>
      </c>
      <c r="AP19" s="72">
        <f t="shared" si="124"/>
        <v>0</v>
      </c>
      <c r="AQ19" s="72">
        <f t="shared" si="124"/>
        <v>0</v>
      </c>
      <c r="AR19" s="72">
        <f t="shared" si="124"/>
        <v>0</v>
      </c>
      <c r="AS19" s="72">
        <f t="shared" si="124"/>
        <v>0</v>
      </c>
      <c r="AT19" s="72">
        <f t="shared" si="124"/>
        <v>0</v>
      </c>
      <c r="AU19" s="72">
        <f t="shared" si="124"/>
        <v>0</v>
      </c>
      <c r="AV19" s="72">
        <f t="shared" si="124"/>
        <v>0</v>
      </c>
      <c r="AW19" s="72">
        <f t="shared" si="124"/>
        <v>0</v>
      </c>
      <c r="AX19" s="72">
        <f t="shared" si="124"/>
        <v>0</v>
      </c>
      <c r="AY19" s="72">
        <f t="shared" si="124"/>
        <v>0</v>
      </c>
      <c r="AZ19" s="72">
        <f t="shared" si="124"/>
        <v>0</v>
      </c>
      <c r="BA19" s="72">
        <f t="shared" si="124"/>
        <v>0</v>
      </c>
      <c r="BB19" s="72">
        <f t="shared" si="124"/>
        <v>0</v>
      </c>
      <c r="BC19" s="72">
        <f t="shared" si="124"/>
        <v>0</v>
      </c>
      <c r="BD19" s="72">
        <f t="shared" si="124"/>
        <v>0</v>
      </c>
      <c r="BE19" s="72">
        <f t="shared" si="124"/>
        <v>0</v>
      </c>
      <c r="BF19" s="72">
        <f t="shared" si="124"/>
        <v>0</v>
      </c>
      <c r="BG19" s="72">
        <f t="shared" si="124"/>
        <v>0</v>
      </c>
      <c r="BH19" s="72">
        <f t="shared" si="124"/>
        <v>0</v>
      </c>
      <c r="BI19" s="72">
        <f t="shared" si="124"/>
        <v>0</v>
      </c>
      <c r="BJ19" s="72">
        <f t="shared" si="124"/>
        <v>0</v>
      </c>
      <c r="BK19" s="72">
        <f t="shared" si="124"/>
        <v>0</v>
      </c>
      <c r="BL19" s="72">
        <f t="shared" si="124"/>
        <v>0</v>
      </c>
      <c r="BM19" s="72">
        <f t="shared" si="124"/>
        <v>0</v>
      </c>
      <c r="BN19" s="72">
        <f t="shared" si="124"/>
        <v>0</v>
      </c>
      <c r="BO19" s="72">
        <f t="shared" si="124"/>
        <v>0</v>
      </c>
      <c r="BP19" s="72">
        <f t="shared" si="124"/>
        <v>0</v>
      </c>
      <c r="BQ19" s="72">
        <f t="shared" si="124"/>
        <v>0</v>
      </c>
      <c r="BR19" s="72">
        <f t="shared" si="124"/>
        <v>0</v>
      </c>
      <c r="BS19" s="72">
        <f t="shared" si="124"/>
        <v>0</v>
      </c>
      <c r="BT19" s="72">
        <f t="shared" si="124"/>
        <v>0</v>
      </c>
      <c r="BU19" s="72">
        <f t="shared" si="124"/>
        <v>0</v>
      </c>
      <c r="BV19" s="72">
        <f t="shared" si="124"/>
        <v>0</v>
      </c>
      <c r="BW19" s="72">
        <f t="shared" si="124"/>
        <v>0</v>
      </c>
      <c r="BX19" s="72">
        <f t="shared" si="124"/>
        <v>0</v>
      </c>
      <c r="BY19" s="72">
        <f t="shared" ref="BY19:CQ19" si="125">SUM(BY6:BY18)</f>
        <v>0</v>
      </c>
      <c r="BZ19" s="72">
        <f t="shared" si="125"/>
        <v>0</v>
      </c>
      <c r="CA19" s="72">
        <f t="shared" si="125"/>
        <v>0</v>
      </c>
      <c r="CB19" s="72">
        <f t="shared" si="125"/>
        <v>0</v>
      </c>
      <c r="CC19" s="72">
        <f t="shared" si="125"/>
        <v>0</v>
      </c>
      <c r="CD19" s="72">
        <f t="shared" si="125"/>
        <v>0</v>
      </c>
      <c r="CE19" s="72">
        <f t="shared" si="125"/>
        <v>0</v>
      </c>
      <c r="CF19" s="72">
        <f t="shared" si="125"/>
        <v>0</v>
      </c>
      <c r="CG19" s="72">
        <f t="shared" si="125"/>
        <v>0</v>
      </c>
      <c r="CH19" s="72">
        <f t="shared" si="125"/>
        <v>0</v>
      </c>
      <c r="CI19" s="72">
        <f t="shared" si="125"/>
        <v>0</v>
      </c>
      <c r="CJ19" s="72">
        <f t="shared" si="125"/>
        <v>0</v>
      </c>
      <c r="CK19" s="72">
        <f t="shared" si="125"/>
        <v>0</v>
      </c>
      <c r="CL19" s="72">
        <f t="shared" si="125"/>
        <v>0</v>
      </c>
      <c r="CM19" s="72">
        <f t="shared" si="125"/>
        <v>0</v>
      </c>
      <c r="CN19" s="72">
        <f t="shared" si="125"/>
        <v>0</v>
      </c>
      <c r="CO19" s="72">
        <f t="shared" si="125"/>
        <v>0</v>
      </c>
      <c r="CP19" s="72">
        <f t="shared" si="125"/>
        <v>0</v>
      </c>
      <c r="CQ19" s="72">
        <f t="shared" si="125"/>
        <v>0</v>
      </c>
      <c r="CR19" s="72">
        <f t="shared" ref="CR19:DD19" si="126">SUM(CR6:CR18)</f>
        <v>0</v>
      </c>
      <c r="CS19" s="72">
        <f t="shared" si="126"/>
        <v>0</v>
      </c>
      <c r="CT19" s="72">
        <f t="shared" si="126"/>
        <v>0</v>
      </c>
      <c r="CU19" s="72">
        <f t="shared" si="126"/>
        <v>0</v>
      </c>
      <c r="CV19" s="72">
        <f t="shared" si="126"/>
        <v>0</v>
      </c>
      <c r="CW19" s="72">
        <f t="shared" si="126"/>
        <v>0</v>
      </c>
      <c r="CX19" s="72">
        <f t="shared" si="126"/>
        <v>0</v>
      </c>
      <c r="CY19" s="72">
        <f t="shared" si="126"/>
        <v>0</v>
      </c>
      <c r="CZ19" s="72">
        <f t="shared" si="126"/>
        <v>0</v>
      </c>
      <c r="DA19" s="72">
        <f t="shared" si="126"/>
        <v>0</v>
      </c>
      <c r="DB19" s="72">
        <f t="shared" si="126"/>
        <v>0</v>
      </c>
      <c r="DC19" s="72">
        <f t="shared" si="126"/>
        <v>0</v>
      </c>
      <c r="DD19" s="72">
        <f t="shared" si="126"/>
        <v>0</v>
      </c>
      <c r="DE19" s="72">
        <f t="shared" ref="DE19:EO19" si="127">SUM(DE6:DE18)</f>
        <v>0</v>
      </c>
      <c r="DF19" s="72">
        <f t="shared" si="127"/>
        <v>0</v>
      </c>
      <c r="DG19" s="72">
        <f t="shared" si="127"/>
        <v>0</v>
      </c>
      <c r="DH19" s="72">
        <f t="shared" si="127"/>
        <v>0</v>
      </c>
      <c r="DI19" s="72">
        <f t="shared" si="127"/>
        <v>0</v>
      </c>
      <c r="DJ19" s="72">
        <f t="shared" si="127"/>
        <v>0</v>
      </c>
      <c r="DK19" s="72">
        <f t="shared" si="127"/>
        <v>0</v>
      </c>
      <c r="DL19" s="72">
        <f t="shared" si="127"/>
        <v>0</v>
      </c>
      <c r="DM19" s="72">
        <f t="shared" si="127"/>
        <v>0</v>
      </c>
      <c r="DN19" s="72">
        <f t="shared" si="127"/>
        <v>0</v>
      </c>
      <c r="DO19" s="72">
        <f t="shared" si="127"/>
        <v>0</v>
      </c>
      <c r="DP19" s="72">
        <f t="shared" si="127"/>
        <v>0</v>
      </c>
      <c r="DQ19" s="72">
        <f t="shared" si="127"/>
        <v>0</v>
      </c>
      <c r="DR19" s="72">
        <f t="shared" si="127"/>
        <v>0</v>
      </c>
      <c r="DS19" s="72">
        <f t="shared" si="127"/>
        <v>0</v>
      </c>
      <c r="DT19" s="72">
        <f t="shared" si="127"/>
        <v>0</v>
      </c>
      <c r="DU19" s="72">
        <f t="shared" si="127"/>
        <v>0</v>
      </c>
      <c r="DV19" s="72">
        <f t="shared" si="127"/>
        <v>0</v>
      </c>
      <c r="DW19" s="72">
        <f t="shared" si="127"/>
        <v>0</v>
      </c>
      <c r="DX19" s="72">
        <f t="shared" si="127"/>
        <v>0</v>
      </c>
      <c r="DY19" s="72">
        <f t="shared" si="127"/>
        <v>0</v>
      </c>
      <c r="DZ19" s="72">
        <f t="shared" si="127"/>
        <v>0</v>
      </c>
      <c r="EA19" s="72">
        <f t="shared" si="127"/>
        <v>0</v>
      </c>
      <c r="EB19" s="72">
        <f t="shared" si="127"/>
        <v>0</v>
      </c>
      <c r="EC19" s="72">
        <f t="shared" si="127"/>
        <v>0</v>
      </c>
      <c r="ED19" s="72">
        <f t="shared" si="127"/>
        <v>0</v>
      </c>
      <c r="EE19" s="72">
        <f t="shared" si="127"/>
        <v>0</v>
      </c>
      <c r="EF19" s="72">
        <f t="shared" si="127"/>
        <v>0</v>
      </c>
      <c r="EG19" s="72">
        <f t="shared" si="127"/>
        <v>0</v>
      </c>
      <c r="EH19" s="72">
        <f t="shared" si="127"/>
        <v>0</v>
      </c>
      <c r="EI19" s="72">
        <f t="shared" si="127"/>
        <v>0</v>
      </c>
      <c r="EJ19" s="72">
        <f t="shared" si="127"/>
        <v>0</v>
      </c>
      <c r="EK19" s="72">
        <f t="shared" si="127"/>
        <v>0</v>
      </c>
      <c r="EL19" s="72">
        <f t="shared" si="127"/>
        <v>0</v>
      </c>
      <c r="EM19" s="72">
        <f t="shared" si="127"/>
        <v>0</v>
      </c>
      <c r="EN19" s="72">
        <f t="shared" si="127"/>
        <v>0</v>
      </c>
      <c r="EO19" s="72">
        <f t="shared" si="127"/>
        <v>0</v>
      </c>
    </row>
    <row r="20" spans="2:145" s="67" customFormat="1" x14ac:dyDescent="0.45">
      <c r="K20" s="132" t="s">
        <v>141</v>
      </c>
      <c r="L20" s="70">
        <f t="shared" ref="L20:AQ20" si="128">IFERROR(SUMIF($E$6:$E$18,"&lt;="&amp;L5,$F$6:$F$18)/$F$19,0)</f>
        <v>0</v>
      </c>
      <c r="M20" s="70">
        <f t="shared" si="128"/>
        <v>0</v>
      </c>
      <c r="N20" s="70">
        <f t="shared" si="128"/>
        <v>0</v>
      </c>
      <c r="O20" s="70">
        <f t="shared" si="128"/>
        <v>0</v>
      </c>
      <c r="P20" s="70">
        <f t="shared" si="128"/>
        <v>0</v>
      </c>
      <c r="Q20" s="70">
        <f t="shared" si="128"/>
        <v>0</v>
      </c>
      <c r="R20" s="70">
        <f t="shared" si="128"/>
        <v>0</v>
      </c>
      <c r="S20" s="70">
        <f t="shared" si="128"/>
        <v>0</v>
      </c>
      <c r="T20" s="70">
        <f t="shared" si="128"/>
        <v>0</v>
      </c>
      <c r="U20" s="70">
        <f t="shared" si="128"/>
        <v>0</v>
      </c>
      <c r="V20" s="70">
        <f t="shared" si="128"/>
        <v>0</v>
      </c>
      <c r="W20" s="70">
        <f t="shared" si="128"/>
        <v>0</v>
      </c>
      <c r="X20" s="70">
        <f t="shared" si="128"/>
        <v>0</v>
      </c>
      <c r="Y20" s="70">
        <f t="shared" si="128"/>
        <v>0</v>
      </c>
      <c r="Z20" s="70">
        <f t="shared" si="128"/>
        <v>0</v>
      </c>
      <c r="AA20" s="70">
        <f t="shared" si="128"/>
        <v>0</v>
      </c>
      <c r="AB20" s="70">
        <f t="shared" si="128"/>
        <v>0</v>
      </c>
      <c r="AC20" s="70">
        <f t="shared" si="128"/>
        <v>0</v>
      </c>
      <c r="AD20" s="70">
        <f t="shared" si="128"/>
        <v>0</v>
      </c>
      <c r="AE20" s="70">
        <f t="shared" si="128"/>
        <v>0</v>
      </c>
      <c r="AF20" s="70">
        <f t="shared" si="128"/>
        <v>0</v>
      </c>
      <c r="AG20" s="70">
        <f t="shared" si="128"/>
        <v>0</v>
      </c>
      <c r="AH20" s="70">
        <f t="shared" si="128"/>
        <v>0</v>
      </c>
      <c r="AI20" s="70">
        <f t="shared" si="128"/>
        <v>0</v>
      </c>
      <c r="AJ20" s="70">
        <f t="shared" si="128"/>
        <v>0</v>
      </c>
      <c r="AK20" s="70">
        <f t="shared" si="128"/>
        <v>0</v>
      </c>
      <c r="AL20" s="70">
        <f t="shared" si="128"/>
        <v>0</v>
      </c>
      <c r="AM20" s="70">
        <f t="shared" si="128"/>
        <v>0</v>
      </c>
      <c r="AN20" s="70">
        <f t="shared" si="128"/>
        <v>0</v>
      </c>
      <c r="AO20" s="70">
        <f t="shared" si="128"/>
        <v>0</v>
      </c>
      <c r="AP20" s="70">
        <f t="shared" si="128"/>
        <v>0</v>
      </c>
      <c r="AQ20" s="70">
        <f t="shared" si="128"/>
        <v>0</v>
      </c>
      <c r="AR20" s="70">
        <f t="shared" ref="AR20:BW20" si="129">IFERROR(SUMIF($E$6:$E$18,"&lt;="&amp;AR5,$F$6:$F$18)/$F$19,0)</f>
        <v>0</v>
      </c>
      <c r="AS20" s="70">
        <f t="shared" si="129"/>
        <v>0</v>
      </c>
      <c r="AT20" s="70">
        <f t="shared" si="129"/>
        <v>0</v>
      </c>
      <c r="AU20" s="70">
        <f t="shared" si="129"/>
        <v>0</v>
      </c>
      <c r="AV20" s="70">
        <f t="shared" si="129"/>
        <v>0</v>
      </c>
      <c r="AW20" s="70">
        <f t="shared" si="129"/>
        <v>0</v>
      </c>
      <c r="AX20" s="70">
        <f t="shared" si="129"/>
        <v>0</v>
      </c>
      <c r="AY20" s="70">
        <f t="shared" si="129"/>
        <v>0</v>
      </c>
      <c r="AZ20" s="70">
        <f t="shared" si="129"/>
        <v>0</v>
      </c>
      <c r="BA20" s="70">
        <f t="shared" si="129"/>
        <v>0</v>
      </c>
      <c r="BB20" s="70">
        <f t="shared" si="129"/>
        <v>0</v>
      </c>
      <c r="BC20" s="70">
        <f t="shared" si="129"/>
        <v>0</v>
      </c>
      <c r="BD20" s="70">
        <f t="shared" si="129"/>
        <v>0</v>
      </c>
      <c r="BE20" s="70">
        <f t="shared" si="129"/>
        <v>0</v>
      </c>
      <c r="BF20" s="70">
        <f t="shared" si="129"/>
        <v>0</v>
      </c>
      <c r="BG20" s="70">
        <f t="shared" si="129"/>
        <v>0</v>
      </c>
      <c r="BH20" s="70">
        <f t="shared" si="129"/>
        <v>0</v>
      </c>
      <c r="BI20" s="70">
        <f t="shared" si="129"/>
        <v>0</v>
      </c>
      <c r="BJ20" s="70">
        <f t="shared" si="129"/>
        <v>0</v>
      </c>
      <c r="BK20" s="70">
        <f t="shared" si="129"/>
        <v>0</v>
      </c>
      <c r="BL20" s="70">
        <f t="shared" si="129"/>
        <v>0</v>
      </c>
      <c r="BM20" s="70">
        <f t="shared" si="129"/>
        <v>0</v>
      </c>
      <c r="BN20" s="70">
        <f t="shared" si="129"/>
        <v>0</v>
      </c>
      <c r="BO20" s="70">
        <f t="shared" si="129"/>
        <v>0</v>
      </c>
      <c r="BP20" s="70">
        <f t="shared" si="129"/>
        <v>0</v>
      </c>
      <c r="BQ20" s="70">
        <f t="shared" si="129"/>
        <v>0</v>
      </c>
      <c r="BR20" s="70">
        <f t="shared" si="129"/>
        <v>0</v>
      </c>
      <c r="BS20" s="70">
        <f t="shared" si="129"/>
        <v>0</v>
      </c>
      <c r="BT20" s="70">
        <f t="shared" si="129"/>
        <v>0</v>
      </c>
      <c r="BU20" s="70">
        <f t="shared" si="129"/>
        <v>0</v>
      </c>
      <c r="BV20" s="70">
        <f t="shared" si="129"/>
        <v>0</v>
      </c>
      <c r="BW20" s="70">
        <f t="shared" si="129"/>
        <v>0</v>
      </c>
      <c r="BX20" s="70">
        <f t="shared" ref="BX20:DD20" si="130">IFERROR(SUMIF($E$6:$E$18,"&lt;="&amp;BX5,$F$6:$F$18)/$F$19,0)</f>
        <v>0</v>
      </c>
      <c r="BY20" s="70">
        <f t="shared" si="130"/>
        <v>0</v>
      </c>
      <c r="BZ20" s="70">
        <f t="shared" si="130"/>
        <v>0</v>
      </c>
      <c r="CA20" s="70">
        <f t="shared" si="130"/>
        <v>0</v>
      </c>
      <c r="CB20" s="70">
        <f t="shared" si="130"/>
        <v>0</v>
      </c>
      <c r="CC20" s="70">
        <f t="shared" si="130"/>
        <v>0</v>
      </c>
      <c r="CD20" s="70">
        <f t="shared" si="130"/>
        <v>0</v>
      </c>
      <c r="CE20" s="70">
        <f t="shared" si="130"/>
        <v>0</v>
      </c>
      <c r="CF20" s="70">
        <f t="shared" si="130"/>
        <v>0</v>
      </c>
      <c r="CG20" s="70">
        <f t="shared" si="130"/>
        <v>0</v>
      </c>
      <c r="CH20" s="70">
        <f t="shared" si="130"/>
        <v>0</v>
      </c>
      <c r="CI20" s="70">
        <f t="shared" si="130"/>
        <v>0</v>
      </c>
      <c r="CJ20" s="70">
        <f t="shared" si="130"/>
        <v>0</v>
      </c>
      <c r="CK20" s="70">
        <f t="shared" si="130"/>
        <v>0</v>
      </c>
      <c r="CL20" s="70">
        <f t="shared" si="130"/>
        <v>0</v>
      </c>
      <c r="CM20" s="70">
        <f t="shared" si="130"/>
        <v>0</v>
      </c>
      <c r="CN20" s="70">
        <f t="shared" si="130"/>
        <v>0</v>
      </c>
      <c r="CO20" s="70">
        <f t="shared" si="130"/>
        <v>0</v>
      </c>
      <c r="CP20" s="70">
        <f t="shared" si="130"/>
        <v>0</v>
      </c>
      <c r="CQ20" s="70">
        <f t="shared" si="130"/>
        <v>0</v>
      </c>
      <c r="CR20" s="70">
        <f t="shared" si="130"/>
        <v>0</v>
      </c>
      <c r="CS20" s="70">
        <f t="shared" si="130"/>
        <v>0</v>
      </c>
      <c r="CT20" s="70">
        <f t="shared" si="130"/>
        <v>0</v>
      </c>
      <c r="CU20" s="70">
        <f t="shared" si="130"/>
        <v>0</v>
      </c>
      <c r="CV20" s="70">
        <f t="shared" si="130"/>
        <v>0</v>
      </c>
      <c r="CW20" s="70">
        <f t="shared" si="130"/>
        <v>0</v>
      </c>
      <c r="CX20" s="70">
        <f t="shared" si="130"/>
        <v>0</v>
      </c>
      <c r="CY20" s="70">
        <f t="shared" si="130"/>
        <v>0</v>
      </c>
      <c r="CZ20" s="70">
        <f t="shared" si="130"/>
        <v>0</v>
      </c>
      <c r="DA20" s="70">
        <f t="shared" si="130"/>
        <v>0</v>
      </c>
      <c r="DB20" s="70">
        <f t="shared" si="130"/>
        <v>0</v>
      </c>
      <c r="DC20" s="70">
        <f t="shared" si="130"/>
        <v>0</v>
      </c>
      <c r="DD20" s="70">
        <f t="shared" si="130"/>
        <v>0</v>
      </c>
      <c r="DE20" s="70">
        <f t="shared" ref="DE20:EO20" si="131">IFERROR(SUMIF($E$6:$E$18,"&lt;="&amp;DE5,$F$6:$F$18)/$F$19,0)</f>
        <v>0</v>
      </c>
      <c r="DF20" s="70">
        <f t="shared" si="131"/>
        <v>0</v>
      </c>
      <c r="DG20" s="70">
        <f t="shared" si="131"/>
        <v>0</v>
      </c>
      <c r="DH20" s="70">
        <f t="shared" si="131"/>
        <v>0</v>
      </c>
      <c r="DI20" s="70">
        <f t="shared" si="131"/>
        <v>0</v>
      </c>
      <c r="DJ20" s="70">
        <f t="shared" si="131"/>
        <v>0</v>
      </c>
      <c r="DK20" s="70">
        <f t="shared" si="131"/>
        <v>0</v>
      </c>
      <c r="DL20" s="70">
        <f t="shared" si="131"/>
        <v>0</v>
      </c>
      <c r="DM20" s="70">
        <f t="shared" si="131"/>
        <v>0</v>
      </c>
      <c r="DN20" s="70">
        <f t="shared" si="131"/>
        <v>0</v>
      </c>
      <c r="DO20" s="70">
        <f t="shared" si="131"/>
        <v>0</v>
      </c>
      <c r="DP20" s="70">
        <f t="shared" si="131"/>
        <v>0</v>
      </c>
      <c r="DQ20" s="70">
        <f t="shared" si="131"/>
        <v>0</v>
      </c>
      <c r="DR20" s="70">
        <f t="shared" si="131"/>
        <v>0</v>
      </c>
      <c r="DS20" s="70">
        <f t="shared" si="131"/>
        <v>0</v>
      </c>
      <c r="DT20" s="70">
        <f t="shared" si="131"/>
        <v>0</v>
      </c>
      <c r="DU20" s="70">
        <f t="shared" si="131"/>
        <v>0</v>
      </c>
      <c r="DV20" s="70">
        <f t="shared" si="131"/>
        <v>0</v>
      </c>
      <c r="DW20" s="70">
        <f t="shared" si="131"/>
        <v>0</v>
      </c>
      <c r="DX20" s="70">
        <f t="shared" si="131"/>
        <v>0</v>
      </c>
      <c r="DY20" s="70">
        <f t="shared" si="131"/>
        <v>0</v>
      </c>
      <c r="DZ20" s="70">
        <f t="shared" si="131"/>
        <v>0</v>
      </c>
      <c r="EA20" s="70">
        <f t="shared" si="131"/>
        <v>0</v>
      </c>
      <c r="EB20" s="70">
        <f t="shared" si="131"/>
        <v>0</v>
      </c>
      <c r="EC20" s="70">
        <f t="shared" si="131"/>
        <v>0</v>
      </c>
      <c r="ED20" s="70">
        <f t="shared" si="131"/>
        <v>0</v>
      </c>
      <c r="EE20" s="70">
        <f t="shared" si="131"/>
        <v>0</v>
      </c>
      <c r="EF20" s="70">
        <f t="shared" si="131"/>
        <v>0</v>
      </c>
      <c r="EG20" s="70">
        <f t="shared" si="131"/>
        <v>0</v>
      </c>
      <c r="EH20" s="70">
        <f t="shared" si="131"/>
        <v>0</v>
      </c>
      <c r="EI20" s="70">
        <f t="shared" si="131"/>
        <v>0</v>
      </c>
      <c r="EJ20" s="70">
        <f t="shared" si="131"/>
        <v>0</v>
      </c>
      <c r="EK20" s="70">
        <f t="shared" si="131"/>
        <v>0</v>
      </c>
      <c r="EL20" s="70">
        <f t="shared" si="131"/>
        <v>0</v>
      </c>
      <c r="EM20" s="70">
        <f t="shared" si="131"/>
        <v>0</v>
      </c>
      <c r="EN20" s="70">
        <f t="shared" si="131"/>
        <v>0</v>
      </c>
      <c r="EO20" s="70">
        <f t="shared" si="131"/>
        <v>0</v>
      </c>
    </row>
    <row r="21" spans="2:145" x14ac:dyDescent="0.45">
      <c r="B21" s="58" t="s">
        <v>115</v>
      </c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65"/>
      <c r="BW21" s="65"/>
      <c r="BX21" s="65"/>
      <c r="BY21" s="65"/>
      <c r="BZ21" s="65"/>
      <c r="CA21" s="65"/>
      <c r="CB21" s="65"/>
      <c r="CC21" s="65"/>
      <c r="CD21" s="65"/>
      <c r="CE21" s="65"/>
      <c r="CF21" s="65"/>
      <c r="CG21" s="65"/>
      <c r="CH21" s="65"/>
      <c r="CI21" s="65"/>
      <c r="CJ21" s="65"/>
      <c r="CK21" s="65"/>
      <c r="CL21" s="65"/>
      <c r="CM21" s="65"/>
      <c r="CN21" s="65"/>
      <c r="CO21" s="65"/>
      <c r="CP21" s="65"/>
      <c r="CQ21" s="65"/>
      <c r="CR21" s="65"/>
      <c r="CS21" s="65"/>
      <c r="CT21" s="65"/>
      <c r="CU21" s="65"/>
      <c r="CV21" s="65"/>
      <c r="CW21" s="65"/>
      <c r="CX21" s="65"/>
      <c r="CY21" s="65"/>
      <c r="CZ21" s="65"/>
      <c r="DA21" s="65"/>
      <c r="DB21" s="65"/>
      <c r="DC21" s="65"/>
      <c r="DD21" s="65"/>
      <c r="DE21" s="65"/>
      <c r="DF21" s="65"/>
      <c r="DG21" s="65"/>
      <c r="DH21" s="65"/>
      <c r="DI21" s="65"/>
      <c r="DJ21" s="65"/>
      <c r="DK21" s="65"/>
      <c r="DL21" s="65"/>
      <c r="DM21" s="65"/>
      <c r="DN21" s="65"/>
      <c r="DO21" s="65"/>
      <c r="DP21" s="65"/>
      <c r="DQ21" s="65"/>
      <c r="DR21" s="65"/>
      <c r="DS21" s="65"/>
      <c r="DT21" s="65"/>
      <c r="DU21" s="65"/>
      <c r="DV21" s="65"/>
      <c r="DW21" s="65"/>
      <c r="DX21" s="65"/>
      <c r="DY21" s="65"/>
      <c r="DZ21" s="65"/>
      <c r="EA21" s="65"/>
      <c r="EB21" s="65"/>
      <c r="EC21" s="65"/>
      <c r="ED21" s="65"/>
      <c r="EE21" s="65"/>
      <c r="EF21" s="65"/>
      <c r="EG21" s="65"/>
      <c r="EH21" s="65"/>
      <c r="EI21" s="65"/>
      <c r="EJ21" s="65"/>
      <c r="EK21" s="65"/>
      <c r="EL21" s="65"/>
      <c r="EM21" s="65"/>
      <c r="EN21" s="65"/>
      <c r="EO21" s="65"/>
    </row>
    <row r="22" spans="2:145" x14ac:dyDescent="0.45">
      <c r="B22" s="87" t="str">
        <f t="shared" ref="B22:C27" si="132">+B5</f>
        <v>Suite</v>
      </c>
      <c r="C22" s="87" t="str">
        <f t="shared" si="132"/>
        <v>Tenant</v>
      </c>
      <c r="D22" s="60"/>
      <c r="E22" s="60"/>
      <c r="F22" s="91" t="s">
        <v>143</v>
      </c>
      <c r="G22" s="60"/>
      <c r="H22" s="101" t="s">
        <v>121</v>
      </c>
      <c r="I22" s="91" t="s">
        <v>123</v>
      </c>
      <c r="J22" s="91" t="s">
        <v>122</v>
      </c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  <c r="CI22" s="65"/>
      <c r="CJ22" s="65"/>
      <c r="CK22" s="65"/>
      <c r="CL22" s="65"/>
      <c r="CM22" s="65"/>
      <c r="CN22" s="65"/>
      <c r="CO22" s="65"/>
      <c r="CP22" s="65"/>
      <c r="CQ22" s="65"/>
      <c r="CR22" s="65"/>
      <c r="CS22" s="65"/>
      <c r="CT22" s="65"/>
      <c r="CU22" s="65"/>
      <c r="CV22" s="65"/>
      <c r="CW22" s="65"/>
      <c r="CX22" s="65"/>
      <c r="CY22" s="65"/>
      <c r="CZ22" s="65"/>
      <c r="DA22" s="65"/>
      <c r="DB22" s="65"/>
      <c r="DC22" s="65"/>
      <c r="DD22" s="65"/>
      <c r="DE22" s="65"/>
      <c r="DF22" s="65"/>
      <c r="DG22" s="65"/>
      <c r="DH22" s="65"/>
      <c r="DI22" s="65"/>
      <c r="DJ22" s="65"/>
      <c r="DK22" s="65"/>
      <c r="DL22" s="65"/>
      <c r="DM22" s="65"/>
      <c r="DN22" s="65"/>
      <c r="DO22" s="65"/>
      <c r="DP22" s="65"/>
      <c r="DQ22" s="65"/>
      <c r="DR22" s="65"/>
      <c r="DS22" s="65"/>
      <c r="DT22" s="65"/>
      <c r="DU22" s="65"/>
      <c r="DV22" s="65"/>
      <c r="DW22" s="65"/>
      <c r="DX22" s="65"/>
      <c r="DY22" s="65"/>
      <c r="DZ22" s="65"/>
      <c r="EA22" s="65"/>
      <c r="EB22" s="65"/>
      <c r="EC22" s="65"/>
      <c r="ED22" s="65"/>
      <c r="EE22" s="65"/>
      <c r="EF22" s="65"/>
      <c r="EG22" s="65"/>
      <c r="EH22" s="65"/>
      <c r="EI22" s="65"/>
      <c r="EJ22" s="65"/>
      <c r="EK22" s="65"/>
      <c r="EL22" s="65"/>
      <c r="EM22" s="65"/>
      <c r="EN22" s="65"/>
      <c r="EO22" s="65"/>
    </row>
    <row r="23" spans="2:145" x14ac:dyDescent="0.45">
      <c r="B23" s="86">
        <f t="shared" si="132"/>
        <v>100</v>
      </c>
      <c r="C23" s="86" t="str">
        <f t="shared" si="132"/>
        <v>Commercial Tenant</v>
      </c>
      <c r="F23" s="92">
        <v>1</v>
      </c>
      <c r="H23" s="104">
        <f>IFERROR(F6/$F$19,0)</f>
        <v>0</v>
      </c>
      <c r="I23" s="106">
        <f>IFERROR(J23/F6,0)</f>
        <v>0</v>
      </c>
      <c r="J23" s="108">
        <f t="shared" ref="J23:J35" si="133">+H23*$J$47</f>
        <v>0</v>
      </c>
      <c r="L23" s="65">
        <f t="shared" ref="L23:U35" si="134">IFERROR((L$5&gt;=$F23)*$H23*L$47,0)</f>
        <v>0</v>
      </c>
      <c r="M23" s="65">
        <f t="shared" si="134"/>
        <v>0</v>
      </c>
      <c r="N23" s="65">
        <f t="shared" si="134"/>
        <v>0</v>
      </c>
      <c r="O23" s="65">
        <f t="shared" si="134"/>
        <v>0</v>
      </c>
      <c r="P23" s="65">
        <f t="shared" si="134"/>
        <v>0</v>
      </c>
      <c r="Q23" s="65">
        <f t="shared" si="134"/>
        <v>0</v>
      </c>
      <c r="R23" s="65">
        <f t="shared" si="134"/>
        <v>0</v>
      </c>
      <c r="S23" s="65">
        <f t="shared" si="134"/>
        <v>0</v>
      </c>
      <c r="T23" s="65">
        <f t="shared" si="134"/>
        <v>0</v>
      </c>
      <c r="U23" s="65">
        <f t="shared" si="134"/>
        <v>0</v>
      </c>
      <c r="V23" s="65">
        <f t="shared" ref="V23:AE35" si="135">IFERROR((V$5&gt;=$F23)*$H23*V$47,0)</f>
        <v>0</v>
      </c>
      <c r="W23" s="65">
        <f t="shared" si="135"/>
        <v>0</v>
      </c>
      <c r="X23" s="65">
        <f t="shared" si="135"/>
        <v>0</v>
      </c>
      <c r="Y23" s="65">
        <f t="shared" si="135"/>
        <v>0</v>
      </c>
      <c r="Z23" s="65">
        <f t="shared" si="135"/>
        <v>0</v>
      </c>
      <c r="AA23" s="65">
        <f t="shared" si="135"/>
        <v>0</v>
      </c>
      <c r="AB23" s="65">
        <f t="shared" si="135"/>
        <v>0</v>
      </c>
      <c r="AC23" s="65">
        <f t="shared" si="135"/>
        <v>0</v>
      </c>
      <c r="AD23" s="65">
        <f t="shared" si="135"/>
        <v>0</v>
      </c>
      <c r="AE23" s="65">
        <f t="shared" si="135"/>
        <v>0</v>
      </c>
      <c r="AF23" s="65">
        <f t="shared" ref="AF23:AO35" si="136">IFERROR((AF$5&gt;=$F23)*$H23*AF$47,0)</f>
        <v>0</v>
      </c>
      <c r="AG23" s="65">
        <f t="shared" si="136"/>
        <v>0</v>
      </c>
      <c r="AH23" s="65">
        <f t="shared" si="136"/>
        <v>0</v>
      </c>
      <c r="AI23" s="65">
        <f t="shared" si="136"/>
        <v>0</v>
      </c>
      <c r="AJ23" s="65">
        <f t="shared" si="136"/>
        <v>0</v>
      </c>
      <c r="AK23" s="65">
        <f t="shared" si="136"/>
        <v>0</v>
      </c>
      <c r="AL23" s="65">
        <f t="shared" si="136"/>
        <v>0</v>
      </c>
      <c r="AM23" s="65">
        <f t="shared" si="136"/>
        <v>0</v>
      </c>
      <c r="AN23" s="65">
        <f t="shared" si="136"/>
        <v>0</v>
      </c>
      <c r="AO23" s="65">
        <f t="shared" si="136"/>
        <v>0</v>
      </c>
      <c r="AP23" s="65">
        <f t="shared" ref="AP23:AY35" si="137">IFERROR((AP$5&gt;=$F23)*$H23*AP$47,0)</f>
        <v>0</v>
      </c>
      <c r="AQ23" s="65">
        <f t="shared" si="137"/>
        <v>0</v>
      </c>
      <c r="AR23" s="65">
        <f t="shared" si="137"/>
        <v>0</v>
      </c>
      <c r="AS23" s="65">
        <f t="shared" si="137"/>
        <v>0</v>
      </c>
      <c r="AT23" s="65">
        <f t="shared" si="137"/>
        <v>0</v>
      </c>
      <c r="AU23" s="65">
        <f t="shared" si="137"/>
        <v>0</v>
      </c>
      <c r="AV23" s="65">
        <f t="shared" si="137"/>
        <v>0</v>
      </c>
      <c r="AW23" s="65">
        <f t="shared" si="137"/>
        <v>0</v>
      </c>
      <c r="AX23" s="65">
        <f t="shared" si="137"/>
        <v>0</v>
      </c>
      <c r="AY23" s="65">
        <f t="shared" si="137"/>
        <v>0</v>
      </c>
      <c r="AZ23" s="65">
        <f t="shared" ref="AZ23:BI35" si="138">IFERROR((AZ$5&gt;=$F23)*$H23*AZ$47,0)</f>
        <v>0</v>
      </c>
      <c r="BA23" s="65">
        <f t="shared" si="138"/>
        <v>0</v>
      </c>
      <c r="BB23" s="65">
        <f t="shared" si="138"/>
        <v>0</v>
      </c>
      <c r="BC23" s="65">
        <f t="shared" si="138"/>
        <v>0</v>
      </c>
      <c r="BD23" s="65">
        <f t="shared" si="138"/>
        <v>0</v>
      </c>
      <c r="BE23" s="65">
        <f t="shared" si="138"/>
        <v>0</v>
      </c>
      <c r="BF23" s="65">
        <f t="shared" si="138"/>
        <v>0</v>
      </c>
      <c r="BG23" s="65">
        <f t="shared" si="138"/>
        <v>0</v>
      </c>
      <c r="BH23" s="65">
        <f t="shared" si="138"/>
        <v>0</v>
      </c>
      <c r="BI23" s="65">
        <f t="shared" si="138"/>
        <v>0</v>
      </c>
      <c r="BJ23" s="65">
        <f t="shared" ref="BJ23:BS35" si="139">IFERROR((BJ$5&gt;=$F23)*$H23*BJ$47,0)</f>
        <v>0</v>
      </c>
      <c r="BK23" s="65">
        <f t="shared" si="139"/>
        <v>0</v>
      </c>
      <c r="BL23" s="65">
        <f t="shared" si="139"/>
        <v>0</v>
      </c>
      <c r="BM23" s="65">
        <f t="shared" si="139"/>
        <v>0</v>
      </c>
      <c r="BN23" s="65">
        <f t="shared" si="139"/>
        <v>0</v>
      </c>
      <c r="BO23" s="65">
        <f t="shared" si="139"/>
        <v>0</v>
      </c>
      <c r="BP23" s="65">
        <f t="shared" si="139"/>
        <v>0</v>
      </c>
      <c r="BQ23" s="65">
        <f t="shared" si="139"/>
        <v>0</v>
      </c>
      <c r="BR23" s="65">
        <f t="shared" si="139"/>
        <v>0</v>
      </c>
      <c r="BS23" s="65">
        <f t="shared" si="139"/>
        <v>0</v>
      </c>
      <c r="BT23" s="65">
        <f t="shared" ref="BT23:CC35" si="140">IFERROR((BT$5&gt;=$F23)*$H23*BT$47,0)</f>
        <v>0</v>
      </c>
      <c r="BU23" s="65">
        <f t="shared" si="140"/>
        <v>0</v>
      </c>
      <c r="BV23" s="65">
        <f t="shared" si="140"/>
        <v>0</v>
      </c>
      <c r="BW23" s="65">
        <f t="shared" si="140"/>
        <v>0</v>
      </c>
      <c r="BX23" s="65">
        <f t="shared" si="140"/>
        <v>0</v>
      </c>
      <c r="BY23" s="65">
        <f t="shared" si="140"/>
        <v>0</v>
      </c>
      <c r="BZ23" s="65">
        <f t="shared" si="140"/>
        <v>0</v>
      </c>
      <c r="CA23" s="65">
        <f t="shared" si="140"/>
        <v>0</v>
      </c>
      <c r="CB23" s="65">
        <f t="shared" si="140"/>
        <v>0</v>
      </c>
      <c r="CC23" s="65">
        <f t="shared" si="140"/>
        <v>0</v>
      </c>
      <c r="CD23" s="65">
        <f t="shared" ref="CD23:CM35" si="141">IFERROR((CD$5&gt;=$F23)*$H23*CD$47,0)</f>
        <v>0</v>
      </c>
      <c r="CE23" s="65">
        <f t="shared" si="141"/>
        <v>0</v>
      </c>
      <c r="CF23" s="65">
        <f t="shared" si="141"/>
        <v>0</v>
      </c>
      <c r="CG23" s="65">
        <f t="shared" si="141"/>
        <v>0</v>
      </c>
      <c r="CH23" s="65">
        <f t="shared" si="141"/>
        <v>0</v>
      </c>
      <c r="CI23" s="65">
        <f t="shared" si="141"/>
        <v>0</v>
      </c>
      <c r="CJ23" s="65">
        <f t="shared" si="141"/>
        <v>0</v>
      </c>
      <c r="CK23" s="65">
        <f t="shared" si="141"/>
        <v>0</v>
      </c>
      <c r="CL23" s="65">
        <f t="shared" si="141"/>
        <v>0</v>
      </c>
      <c r="CM23" s="65">
        <f t="shared" si="141"/>
        <v>0</v>
      </c>
      <c r="CN23" s="65">
        <f t="shared" ref="CN23:CW35" si="142">IFERROR((CN$5&gt;=$F23)*$H23*CN$47,0)</f>
        <v>0</v>
      </c>
      <c r="CO23" s="65">
        <f t="shared" si="142"/>
        <v>0</v>
      </c>
      <c r="CP23" s="65">
        <f t="shared" si="142"/>
        <v>0</v>
      </c>
      <c r="CQ23" s="65">
        <f t="shared" si="142"/>
        <v>0</v>
      </c>
      <c r="CR23" s="65">
        <f t="shared" si="142"/>
        <v>0</v>
      </c>
      <c r="CS23" s="65">
        <f t="shared" si="142"/>
        <v>0</v>
      </c>
      <c r="CT23" s="65">
        <f t="shared" si="142"/>
        <v>0</v>
      </c>
      <c r="CU23" s="65">
        <f t="shared" si="142"/>
        <v>0</v>
      </c>
      <c r="CV23" s="65">
        <f t="shared" si="142"/>
        <v>0</v>
      </c>
      <c r="CW23" s="65">
        <f t="shared" si="142"/>
        <v>0</v>
      </c>
      <c r="CX23" s="65">
        <f t="shared" ref="CX23:EO35" si="143">IFERROR((CX$5&gt;=$F23)*$H23*CX$47,0)</f>
        <v>0</v>
      </c>
      <c r="CY23" s="65">
        <f t="shared" si="143"/>
        <v>0</v>
      </c>
      <c r="CZ23" s="65">
        <f t="shared" si="143"/>
        <v>0</v>
      </c>
      <c r="DA23" s="65">
        <f t="shared" si="143"/>
        <v>0</v>
      </c>
      <c r="DB23" s="65">
        <f t="shared" si="143"/>
        <v>0</v>
      </c>
      <c r="DC23" s="65">
        <f t="shared" si="143"/>
        <v>0</v>
      </c>
      <c r="DD23" s="65">
        <f t="shared" si="143"/>
        <v>0</v>
      </c>
      <c r="DE23" s="65">
        <f t="shared" si="143"/>
        <v>0</v>
      </c>
      <c r="DF23" s="65">
        <f t="shared" si="143"/>
        <v>0</v>
      </c>
      <c r="DG23" s="65">
        <f t="shared" si="143"/>
        <v>0</v>
      </c>
      <c r="DH23" s="65">
        <f t="shared" si="143"/>
        <v>0</v>
      </c>
      <c r="DI23" s="65">
        <f t="shared" si="143"/>
        <v>0</v>
      </c>
      <c r="DJ23" s="65">
        <f t="shared" si="143"/>
        <v>0</v>
      </c>
      <c r="DK23" s="65">
        <f t="shared" si="143"/>
        <v>0</v>
      </c>
      <c r="DL23" s="65">
        <f t="shared" si="143"/>
        <v>0</v>
      </c>
      <c r="DM23" s="65">
        <f t="shared" si="143"/>
        <v>0</v>
      </c>
      <c r="DN23" s="65">
        <f t="shared" si="143"/>
        <v>0</v>
      </c>
      <c r="DO23" s="65">
        <f t="shared" si="143"/>
        <v>0</v>
      </c>
      <c r="DP23" s="65">
        <f t="shared" si="143"/>
        <v>0</v>
      </c>
      <c r="DQ23" s="65">
        <f t="shared" si="143"/>
        <v>0</v>
      </c>
      <c r="DR23" s="65">
        <f t="shared" si="143"/>
        <v>0</v>
      </c>
      <c r="DS23" s="65">
        <f t="shared" si="143"/>
        <v>0</v>
      </c>
      <c r="DT23" s="65">
        <f t="shared" si="143"/>
        <v>0</v>
      </c>
      <c r="DU23" s="65">
        <f t="shared" si="143"/>
        <v>0</v>
      </c>
      <c r="DV23" s="65">
        <f t="shared" si="143"/>
        <v>0</v>
      </c>
      <c r="DW23" s="65">
        <f t="shared" si="143"/>
        <v>0</v>
      </c>
      <c r="DX23" s="65">
        <f t="shared" si="143"/>
        <v>0</v>
      </c>
      <c r="DY23" s="65">
        <f t="shared" si="143"/>
        <v>0</v>
      </c>
      <c r="DZ23" s="65">
        <f t="shared" si="143"/>
        <v>0</v>
      </c>
      <c r="EA23" s="65">
        <f t="shared" si="143"/>
        <v>0</v>
      </c>
      <c r="EB23" s="65">
        <f t="shared" si="143"/>
        <v>0</v>
      </c>
      <c r="EC23" s="65">
        <f t="shared" si="143"/>
        <v>0</v>
      </c>
      <c r="ED23" s="65">
        <f t="shared" si="143"/>
        <v>0</v>
      </c>
      <c r="EE23" s="65">
        <f t="shared" si="143"/>
        <v>0</v>
      </c>
      <c r="EF23" s="65">
        <f t="shared" si="143"/>
        <v>0</v>
      </c>
      <c r="EG23" s="65">
        <f t="shared" si="143"/>
        <v>0</v>
      </c>
      <c r="EH23" s="65">
        <f t="shared" si="143"/>
        <v>0</v>
      </c>
      <c r="EI23" s="65">
        <f t="shared" si="143"/>
        <v>0</v>
      </c>
      <c r="EJ23" s="65">
        <f t="shared" si="143"/>
        <v>0</v>
      </c>
      <c r="EK23" s="65">
        <f t="shared" si="143"/>
        <v>0</v>
      </c>
      <c r="EL23" s="65">
        <f t="shared" si="143"/>
        <v>0</v>
      </c>
      <c r="EM23" s="65">
        <f t="shared" si="143"/>
        <v>0</v>
      </c>
      <c r="EN23" s="65">
        <f t="shared" si="143"/>
        <v>0</v>
      </c>
      <c r="EO23" s="65">
        <f t="shared" si="143"/>
        <v>0</v>
      </c>
    </row>
    <row r="24" spans="2:145" x14ac:dyDescent="0.45">
      <c r="B24" s="86">
        <f t="shared" si="132"/>
        <v>200</v>
      </c>
      <c r="C24" s="86" t="str">
        <f t="shared" si="132"/>
        <v>[Retail Tenant]</v>
      </c>
      <c r="F24" s="92">
        <v>24</v>
      </c>
      <c r="H24" s="105">
        <f>IFERROR(F7/$F$19,0)</f>
        <v>0</v>
      </c>
      <c r="I24" s="106">
        <f>IFERROR(J24/F7,0)</f>
        <v>0</v>
      </c>
      <c r="J24" s="108">
        <f t="shared" si="133"/>
        <v>0</v>
      </c>
      <c r="L24" s="65">
        <f t="shared" si="134"/>
        <v>0</v>
      </c>
      <c r="M24" s="65">
        <f t="shared" si="134"/>
        <v>0</v>
      </c>
      <c r="N24" s="65">
        <f t="shared" si="134"/>
        <v>0</v>
      </c>
      <c r="O24" s="65">
        <f t="shared" si="134"/>
        <v>0</v>
      </c>
      <c r="P24" s="65">
        <f t="shared" si="134"/>
        <v>0</v>
      </c>
      <c r="Q24" s="65">
        <f t="shared" si="134"/>
        <v>0</v>
      </c>
      <c r="R24" s="65">
        <f t="shared" si="134"/>
        <v>0</v>
      </c>
      <c r="S24" s="65">
        <f t="shared" si="134"/>
        <v>0</v>
      </c>
      <c r="T24" s="65">
        <f t="shared" si="134"/>
        <v>0</v>
      </c>
      <c r="U24" s="65">
        <f t="shared" si="134"/>
        <v>0</v>
      </c>
      <c r="V24" s="65">
        <f t="shared" si="135"/>
        <v>0</v>
      </c>
      <c r="W24" s="65">
        <f t="shared" si="135"/>
        <v>0</v>
      </c>
      <c r="X24" s="65">
        <f t="shared" si="135"/>
        <v>0</v>
      </c>
      <c r="Y24" s="65">
        <f t="shared" si="135"/>
        <v>0</v>
      </c>
      <c r="Z24" s="65">
        <f t="shared" si="135"/>
        <v>0</v>
      </c>
      <c r="AA24" s="65">
        <f t="shared" si="135"/>
        <v>0</v>
      </c>
      <c r="AB24" s="65">
        <f t="shared" si="135"/>
        <v>0</v>
      </c>
      <c r="AC24" s="65">
        <f t="shared" si="135"/>
        <v>0</v>
      </c>
      <c r="AD24" s="65">
        <f t="shared" si="135"/>
        <v>0</v>
      </c>
      <c r="AE24" s="65">
        <f t="shared" si="135"/>
        <v>0</v>
      </c>
      <c r="AF24" s="65">
        <f t="shared" si="136"/>
        <v>0</v>
      </c>
      <c r="AG24" s="65">
        <f t="shared" si="136"/>
        <v>0</v>
      </c>
      <c r="AH24" s="65">
        <f t="shared" si="136"/>
        <v>0</v>
      </c>
      <c r="AI24" s="65">
        <f t="shared" si="136"/>
        <v>0</v>
      </c>
      <c r="AJ24" s="65">
        <f t="shared" si="136"/>
        <v>0</v>
      </c>
      <c r="AK24" s="65">
        <f t="shared" si="136"/>
        <v>0</v>
      </c>
      <c r="AL24" s="65">
        <f t="shared" si="136"/>
        <v>0</v>
      </c>
      <c r="AM24" s="65">
        <f t="shared" si="136"/>
        <v>0</v>
      </c>
      <c r="AN24" s="65">
        <f t="shared" si="136"/>
        <v>0</v>
      </c>
      <c r="AO24" s="65">
        <f t="shared" si="136"/>
        <v>0</v>
      </c>
      <c r="AP24" s="65">
        <f t="shared" si="137"/>
        <v>0</v>
      </c>
      <c r="AQ24" s="65">
        <f t="shared" si="137"/>
        <v>0</v>
      </c>
      <c r="AR24" s="65">
        <f t="shared" si="137"/>
        <v>0</v>
      </c>
      <c r="AS24" s="65">
        <f t="shared" si="137"/>
        <v>0</v>
      </c>
      <c r="AT24" s="65">
        <f t="shared" si="137"/>
        <v>0</v>
      </c>
      <c r="AU24" s="65">
        <f t="shared" si="137"/>
        <v>0</v>
      </c>
      <c r="AV24" s="65">
        <f t="shared" si="137"/>
        <v>0</v>
      </c>
      <c r="AW24" s="65">
        <f t="shared" si="137"/>
        <v>0</v>
      </c>
      <c r="AX24" s="65">
        <f t="shared" si="137"/>
        <v>0</v>
      </c>
      <c r="AY24" s="65">
        <f t="shared" si="137"/>
        <v>0</v>
      </c>
      <c r="AZ24" s="65">
        <f t="shared" si="138"/>
        <v>0</v>
      </c>
      <c r="BA24" s="65">
        <f t="shared" si="138"/>
        <v>0</v>
      </c>
      <c r="BB24" s="65">
        <f t="shared" si="138"/>
        <v>0</v>
      </c>
      <c r="BC24" s="65">
        <f t="shared" si="138"/>
        <v>0</v>
      </c>
      <c r="BD24" s="65">
        <f t="shared" si="138"/>
        <v>0</v>
      </c>
      <c r="BE24" s="65">
        <f t="shared" si="138"/>
        <v>0</v>
      </c>
      <c r="BF24" s="65">
        <f t="shared" si="138"/>
        <v>0</v>
      </c>
      <c r="BG24" s="65">
        <f t="shared" si="138"/>
        <v>0</v>
      </c>
      <c r="BH24" s="65">
        <f t="shared" si="138"/>
        <v>0</v>
      </c>
      <c r="BI24" s="65">
        <f t="shared" si="138"/>
        <v>0</v>
      </c>
      <c r="BJ24" s="65">
        <f t="shared" si="139"/>
        <v>0</v>
      </c>
      <c r="BK24" s="65">
        <f t="shared" si="139"/>
        <v>0</v>
      </c>
      <c r="BL24" s="65">
        <f t="shared" si="139"/>
        <v>0</v>
      </c>
      <c r="BM24" s="65">
        <f t="shared" si="139"/>
        <v>0</v>
      </c>
      <c r="BN24" s="65">
        <f t="shared" si="139"/>
        <v>0</v>
      </c>
      <c r="BO24" s="65">
        <f t="shared" si="139"/>
        <v>0</v>
      </c>
      <c r="BP24" s="65">
        <f t="shared" si="139"/>
        <v>0</v>
      </c>
      <c r="BQ24" s="65">
        <f t="shared" si="139"/>
        <v>0</v>
      </c>
      <c r="BR24" s="65">
        <f t="shared" si="139"/>
        <v>0</v>
      </c>
      <c r="BS24" s="65">
        <f t="shared" si="139"/>
        <v>0</v>
      </c>
      <c r="BT24" s="65">
        <f t="shared" si="140"/>
        <v>0</v>
      </c>
      <c r="BU24" s="65">
        <f t="shared" si="140"/>
        <v>0</v>
      </c>
      <c r="BV24" s="65">
        <f t="shared" si="140"/>
        <v>0</v>
      </c>
      <c r="BW24" s="65">
        <f t="shared" si="140"/>
        <v>0</v>
      </c>
      <c r="BX24" s="65">
        <f t="shared" si="140"/>
        <v>0</v>
      </c>
      <c r="BY24" s="65">
        <f t="shared" si="140"/>
        <v>0</v>
      </c>
      <c r="BZ24" s="65">
        <f t="shared" si="140"/>
        <v>0</v>
      </c>
      <c r="CA24" s="65">
        <f t="shared" si="140"/>
        <v>0</v>
      </c>
      <c r="CB24" s="65">
        <f t="shared" si="140"/>
        <v>0</v>
      </c>
      <c r="CC24" s="65">
        <f t="shared" si="140"/>
        <v>0</v>
      </c>
      <c r="CD24" s="65">
        <f t="shared" si="141"/>
        <v>0</v>
      </c>
      <c r="CE24" s="65">
        <f t="shared" si="141"/>
        <v>0</v>
      </c>
      <c r="CF24" s="65">
        <f t="shared" si="141"/>
        <v>0</v>
      </c>
      <c r="CG24" s="65">
        <f t="shared" si="141"/>
        <v>0</v>
      </c>
      <c r="CH24" s="65">
        <f t="shared" si="141"/>
        <v>0</v>
      </c>
      <c r="CI24" s="65">
        <f t="shared" si="141"/>
        <v>0</v>
      </c>
      <c r="CJ24" s="65">
        <f t="shared" si="141"/>
        <v>0</v>
      </c>
      <c r="CK24" s="65">
        <f t="shared" si="141"/>
        <v>0</v>
      </c>
      <c r="CL24" s="65">
        <f t="shared" si="141"/>
        <v>0</v>
      </c>
      <c r="CM24" s="65">
        <f t="shared" si="141"/>
        <v>0</v>
      </c>
      <c r="CN24" s="65">
        <f t="shared" si="142"/>
        <v>0</v>
      </c>
      <c r="CO24" s="65">
        <f t="shared" si="142"/>
        <v>0</v>
      </c>
      <c r="CP24" s="65">
        <f t="shared" si="142"/>
        <v>0</v>
      </c>
      <c r="CQ24" s="65">
        <f t="shared" si="142"/>
        <v>0</v>
      </c>
      <c r="CR24" s="65">
        <f t="shared" si="142"/>
        <v>0</v>
      </c>
      <c r="CS24" s="65">
        <f t="shared" si="142"/>
        <v>0</v>
      </c>
      <c r="CT24" s="65">
        <f t="shared" si="142"/>
        <v>0</v>
      </c>
      <c r="CU24" s="65">
        <f t="shared" si="142"/>
        <v>0</v>
      </c>
      <c r="CV24" s="65">
        <f t="shared" si="142"/>
        <v>0</v>
      </c>
      <c r="CW24" s="65">
        <f t="shared" si="142"/>
        <v>0</v>
      </c>
      <c r="CX24" s="65">
        <f t="shared" si="143"/>
        <v>0</v>
      </c>
      <c r="CY24" s="65">
        <f t="shared" si="143"/>
        <v>0</v>
      </c>
      <c r="CZ24" s="65">
        <f t="shared" si="143"/>
        <v>0</v>
      </c>
      <c r="DA24" s="65">
        <f t="shared" si="143"/>
        <v>0</v>
      </c>
      <c r="DB24" s="65">
        <f t="shared" si="143"/>
        <v>0</v>
      </c>
      <c r="DC24" s="65">
        <f t="shared" si="143"/>
        <v>0</v>
      </c>
      <c r="DD24" s="65">
        <f t="shared" si="143"/>
        <v>0</v>
      </c>
      <c r="DE24" s="65">
        <f t="shared" si="143"/>
        <v>0</v>
      </c>
      <c r="DF24" s="65">
        <f t="shared" si="143"/>
        <v>0</v>
      </c>
      <c r="DG24" s="65">
        <f t="shared" si="143"/>
        <v>0</v>
      </c>
      <c r="DH24" s="65">
        <f t="shared" si="143"/>
        <v>0</v>
      </c>
      <c r="DI24" s="65">
        <f t="shared" si="143"/>
        <v>0</v>
      </c>
      <c r="DJ24" s="65">
        <f t="shared" si="143"/>
        <v>0</v>
      </c>
      <c r="DK24" s="65">
        <f t="shared" si="143"/>
        <v>0</v>
      </c>
      <c r="DL24" s="65">
        <f t="shared" si="143"/>
        <v>0</v>
      </c>
      <c r="DM24" s="65">
        <f t="shared" si="143"/>
        <v>0</v>
      </c>
      <c r="DN24" s="65">
        <f t="shared" si="143"/>
        <v>0</v>
      </c>
      <c r="DO24" s="65">
        <f t="shared" si="143"/>
        <v>0</v>
      </c>
      <c r="DP24" s="65">
        <f t="shared" si="143"/>
        <v>0</v>
      </c>
      <c r="DQ24" s="65">
        <f t="shared" si="143"/>
        <v>0</v>
      </c>
      <c r="DR24" s="65">
        <f t="shared" si="143"/>
        <v>0</v>
      </c>
      <c r="DS24" s="65">
        <f t="shared" si="143"/>
        <v>0</v>
      </c>
      <c r="DT24" s="65">
        <f t="shared" si="143"/>
        <v>0</v>
      </c>
      <c r="DU24" s="65">
        <f t="shared" si="143"/>
        <v>0</v>
      </c>
      <c r="DV24" s="65">
        <f t="shared" si="143"/>
        <v>0</v>
      </c>
      <c r="DW24" s="65">
        <f t="shared" si="143"/>
        <v>0</v>
      </c>
      <c r="DX24" s="65">
        <f t="shared" si="143"/>
        <v>0</v>
      </c>
      <c r="DY24" s="65">
        <f t="shared" si="143"/>
        <v>0</v>
      </c>
      <c r="DZ24" s="65">
        <f t="shared" si="143"/>
        <v>0</v>
      </c>
      <c r="EA24" s="65">
        <f t="shared" si="143"/>
        <v>0</v>
      </c>
      <c r="EB24" s="65">
        <f t="shared" si="143"/>
        <v>0</v>
      </c>
      <c r="EC24" s="65">
        <f t="shared" si="143"/>
        <v>0</v>
      </c>
      <c r="ED24" s="65">
        <f t="shared" si="143"/>
        <v>0</v>
      </c>
      <c r="EE24" s="65">
        <f t="shared" si="143"/>
        <v>0</v>
      </c>
      <c r="EF24" s="65">
        <f t="shared" si="143"/>
        <v>0</v>
      </c>
      <c r="EG24" s="65">
        <f t="shared" si="143"/>
        <v>0</v>
      </c>
      <c r="EH24" s="65">
        <f t="shared" si="143"/>
        <v>0</v>
      </c>
      <c r="EI24" s="65">
        <f t="shared" si="143"/>
        <v>0</v>
      </c>
      <c r="EJ24" s="65">
        <f t="shared" si="143"/>
        <v>0</v>
      </c>
      <c r="EK24" s="65">
        <f t="shared" si="143"/>
        <v>0</v>
      </c>
      <c r="EL24" s="65">
        <f t="shared" si="143"/>
        <v>0</v>
      </c>
      <c r="EM24" s="65">
        <f t="shared" si="143"/>
        <v>0</v>
      </c>
      <c r="EN24" s="65">
        <f t="shared" si="143"/>
        <v>0</v>
      </c>
      <c r="EO24" s="65">
        <f t="shared" si="143"/>
        <v>0</v>
      </c>
    </row>
    <row r="25" spans="2:145" x14ac:dyDescent="0.45">
      <c r="B25" s="86">
        <f t="shared" si="132"/>
        <v>300</v>
      </c>
      <c r="C25" s="86" t="str">
        <f t="shared" si="132"/>
        <v>[Retail Tenant]</v>
      </c>
      <c r="F25" s="92">
        <v>1</v>
      </c>
      <c r="H25" s="105">
        <f>IFERROR(F8/$F$19,0)</f>
        <v>0</v>
      </c>
      <c r="I25" s="106">
        <f>IFERROR(J25/F8,0)</f>
        <v>0</v>
      </c>
      <c r="J25" s="108">
        <f t="shared" si="133"/>
        <v>0</v>
      </c>
      <c r="L25" s="65">
        <f t="shared" si="134"/>
        <v>0</v>
      </c>
      <c r="M25" s="65">
        <f t="shared" si="134"/>
        <v>0</v>
      </c>
      <c r="N25" s="65">
        <f t="shared" si="134"/>
        <v>0</v>
      </c>
      <c r="O25" s="65">
        <f t="shared" si="134"/>
        <v>0</v>
      </c>
      <c r="P25" s="65">
        <f t="shared" si="134"/>
        <v>0</v>
      </c>
      <c r="Q25" s="65">
        <f t="shared" si="134"/>
        <v>0</v>
      </c>
      <c r="R25" s="65">
        <f t="shared" si="134"/>
        <v>0</v>
      </c>
      <c r="S25" s="65">
        <f t="shared" si="134"/>
        <v>0</v>
      </c>
      <c r="T25" s="65">
        <f t="shared" si="134"/>
        <v>0</v>
      </c>
      <c r="U25" s="65">
        <f t="shared" si="134"/>
        <v>0</v>
      </c>
      <c r="V25" s="65">
        <f t="shared" si="135"/>
        <v>0</v>
      </c>
      <c r="W25" s="65">
        <f t="shared" si="135"/>
        <v>0</v>
      </c>
      <c r="X25" s="65">
        <f t="shared" si="135"/>
        <v>0</v>
      </c>
      <c r="Y25" s="65">
        <f t="shared" si="135"/>
        <v>0</v>
      </c>
      <c r="Z25" s="65">
        <f t="shared" si="135"/>
        <v>0</v>
      </c>
      <c r="AA25" s="65">
        <f t="shared" si="135"/>
        <v>0</v>
      </c>
      <c r="AB25" s="65">
        <f t="shared" si="135"/>
        <v>0</v>
      </c>
      <c r="AC25" s="65">
        <f t="shared" si="135"/>
        <v>0</v>
      </c>
      <c r="AD25" s="65">
        <f t="shared" si="135"/>
        <v>0</v>
      </c>
      <c r="AE25" s="65">
        <f t="shared" si="135"/>
        <v>0</v>
      </c>
      <c r="AF25" s="65">
        <f t="shared" si="136"/>
        <v>0</v>
      </c>
      <c r="AG25" s="65">
        <f t="shared" si="136"/>
        <v>0</v>
      </c>
      <c r="AH25" s="65">
        <f t="shared" si="136"/>
        <v>0</v>
      </c>
      <c r="AI25" s="65">
        <f t="shared" si="136"/>
        <v>0</v>
      </c>
      <c r="AJ25" s="65">
        <f t="shared" si="136"/>
        <v>0</v>
      </c>
      <c r="AK25" s="65">
        <f t="shared" si="136"/>
        <v>0</v>
      </c>
      <c r="AL25" s="65">
        <f t="shared" si="136"/>
        <v>0</v>
      </c>
      <c r="AM25" s="65">
        <f t="shared" si="136"/>
        <v>0</v>
      </c>
      <c r="AN25" s="65">
        <f t="shared" si="136"/>
        <v>0</v>
      </c>
      <c r="AO25" s="65">
        <f t="shared" si="136"/>
        <v>0</v>
      </c>
      <c r="AP25" s="65">
        <f t="shared" si="137"/>
        <v>0</v>
      </c>
      <c r="AQ25" s="65">
        <f t="shared" si="137"/>
        <v>0</v>
      </c>
      <c r="AR25" s="65">
        <f t="shared" si="137"/>
        <v>0</v>
      </c>
      <c r="AS25" s="65">
        <f t="shared" si="137"/>
        <v>0</v>
      </c>
      <c r="AT25" s="65">
        <f t="shared" si="137"/>
        <v>0</v>
      </c>
      <c r="AU25" s="65">
        <f t="shared" si="137"/>
        <v>0</v>
      </c>
      <c r="AV25" s="65">
        <f t="shared" si="137"/>
        <v>0</v>
      </c>
      <c r="AW25" s="65">
        <f t="shared" si="137"/>
        <v>0</v>
      </c>
      <c r="AX25" s="65">
        <f t="shared" si="137"/>
        <v>0</v>
      </c>
      <c r="AY25" s="65">
        <f t="shared" si="137"/>
        <v>0</v>
      </c>
      <c r="AZ25" s="65">
        <f t="shared" si="138"/>
        <v>0</v>
      </c>
      <c r="BA25" s="65">
        <f t="shared" si="138"/>
        <v>0</v>
      </c>
      <c r="BB25" s="65">
        <f t="shared" si="138"/>
        <v>0</v>
      </c>
      <c r="BC25" s="65">
        <f t="shared" si="138"/>
        <v>0</v>
      </c>
      <c r="BD25" s="65">
        <f t="shared" si="138"/>
        <v>0</v>
      </c>
      <c r="BE25" s="65">
        <f t="shared" si="138"/>
        <v>0</v>
      </c>
      <c r="BF25" s="65">
        <f t="shared" si="138"/>
        <v>0</v>
      </c>
      <c r="BG25" s="65">
        <f t="shared" si="138"/>
        <v>0</v>
      </c>
      <c r="BH25" s="65">
        <f t="shared" si="138"/>
        <v>0</v>
      </c>
      <c r="BI25" s="65">
        <f t="shared" si="138"/>
        <v>0</v>
      </c>
      <c r="BJ25" s="65">
        <f t="shared" si="139"/>
        <v>0</v>
      </c>
      <c r="BK25" s="65">
        <f t="shared" si="139"/>
        <v>0</v>
      </c>
      <c r="BL25" s="65">
        <f t="shared" si="139"/>
        <v>0</v>
      </c>
      <c r="BM25" s="65">
        <f t="shared" si="139"/>
        <v>0</v>
      </c>
      <c r="BN25" s="65">
        <f t="shared" si="139"/>
        <v>0</v>
      </c>
      <c r="BO25" s="65">
        <f t="shared" si="139"/>
        <v>0</v>
      </c>
      <c r="BP25" s="65">
        <f t="shared" si="139"/>
        <v>0</v>
      </c>
      <c r="BQ25" s="65">
        <f t="shared" si="139"/>
        <v>0</v>
      </c>
      <c r="BR25" s="65">
        <f t="shared" si="139"/>
        <v>0</v>
      </c>
      <c r="BS25" s="65">
        <f t="shared" si="139"/>
        <v>0</v>
      </c>
      <c r="BT25" s="65">
        <f t="shared" si="140"/>
        <v>0</v>
      </c>
      <c r="BU25" s="65">
        <f t="shared" si="140"/>
        <v>0</v>
      </c>
      <c r="BV25" s="65">
        <f t="shared" si="140"/>
        <v>0</v>
      </c>
      <c r="BW25" s="65">
        <f t="shared" si="140"/>
        <v>0</v>
      </c>
      <c r="BX25" s="65">
        <f t="shared" si="140"/>
        <v>0</v>
      </c>
      <c r="BY25" s="65">
        <f t="shared" si="140"/>
        <v>0</v>
      </c>
      <c r="BZ25" s="65">
        <f t="shared" si="140"/>
        <v>0</v>
      </c>
      <c r="CA25" s="65">
        <f t="shared" si="140"/>
        <v>0</v>
      </c>
      <c r="CB25" s="65">
        <f t="shared" si="140"/>
        <v>0</v>
      </c>
      <c r="CC25" s="65">
        <f t="shared" si="140"/>
        <v>0</v>
      </c>
      <c r="CD25" s="65">
        <f t="shared" si="141"/>
        <v>0</v>
      </c>
      <c r="CE25" s="65">
        <f t="shared" si="141"/>
        <v>0</v>
      </c>
      <c r="CF25" s="65">
        <f t="shared" si="141"/>
        <v>0</v>
      </c>
      <c r="CG25" s="65">
        <f t="shared" si="141"/>
        <v>0</v>
      </c>
      <c r="CH25" s="65">
        <f t="shared" si="141"/>
        <v>0</v>
      </c>
      <c r="CI25" s="65">
        <f t="shared" si="141"/>
        <v>0</v>
      </c>
      <c r="CJ25" s="65">
        <f t="shared" si="141"/>
        <v>0</v>
      </c>
      <c r="CK25" s="65">
        <f t="shared" si="141"/>
        <v>0</v>
      </c>
      <c r="CL25" s="65">
        <f t="shared" si="141"/>
        <v>0</v>
      </c>
      <c r="CM25" s="65">
        <f t="shared" si="141"/>
        <v>0</v>
      </c>
      <c r="CN25" s="65">
        <f t="shared" si="142"/>
        <v>0</v>
      </c>
      <c r="CO25" s="65">
        <f t="shared" si="142"/>
        <v>0</v>
      </c>
      <c r="CP25" s="65">
        <f t="shared" si="142"/>
        <v>0</v>
      </c>
      <c r="CQ25" s="65">
        <f t="shared" si="142"/>
        <v>0</v>
      </c>
      <c r="CR25" s="65">
        <f t="shared" si="142"/>
        <v>0</v>
      </c>
      <c r="CS25" s="65">
        <f t="shared" si="142"/>
        <v>0</v>
      </c>
      <c r="CT25" s="65">
        <f t="shared" si="142"/>
        <v>0</v>
      </c>
      <c r="CU25" s="65">
        <f t="shared" si="142"/>
        <v>0</v>
      </c>
      <c r="CV25" s="65">
        <f t="shared" si="142"/>
        <v>0</v>
      </c>
      <c r="CW25" s="65">
        <f t="shared" si="142"/>
        <v>0</v>
      </c>
      <c r="CX25" s="65">
        <f t="shared" si="143"/>
        <v>0</v>
      </c>
      <c r="CY25" s="65">
        <f t="shared" si="143"/>
        <v>0</v>
      </c>
      <c r="CZ25" s="65">
        <f t="shared" si="143"/>
        <v>0</v>
      </c>
      <c r="DA25" s="65">
        <f t="shared" si="143"/>
        <v>0</v>
      </c>
      <c r="DB25" s="65">
        <f t="shared" si="143"/>
        <v>0</v>
      </c>
      <c r="DC25" s="65">
        <f t="shared" si="143"/>
        <v>0</v>
      </c>
      <c r="DD25" s="65">
        <f t="shared" si="143"/>
        <v>0</v>
      </c>
      <c r="DE25" s="65">
        <f t="shared" si="143"/>
        <v>0</v>
      </c>
      <c r="DF25" s="65">
        <f t="shared" si="143"/>
        <v>0</v>
      </c>
      <c r="DG25" s="65">
        <f t="shared" si="143"/>
        <v>0</v>
      </c>
      <c r="DH25" s="65">
        <f t="shared" si="143"/>
        <v>0</v>
      </c>
      <c r="DI25" s="65">
        <f t="shared" si="143"/>
        <v>0</v>
      </c>
      <c r="DJ25" s="65">
        <f t="shared" si="143"/>
        <v>0</v>
      </c>
      <c r="DK25" s="65">
        <f t="shared" si="143"/>
        <v>0</v>
      </c>
      <c r="DL25" s="65">
        <f t="shared" si="143"/>
        <v>0</v>
      </c>
      <c r="DM25" s="65">
        <f t="shared" si="143"/>
        <v>0</v>
      </c>
      <c r="DN25" s="65">
        <f t="shared" si="143"/>
        <v>0</v>
      </c>
      <c r="DO25" s="65">
        <f t="shared" si="143"/>
        <v>0</v>
      </c>
      <c r="DP25" s="65">
        <f t="shared" si="143"/>
        <v>0</v>
      </c>
      <c r="DQ25" s="65">
        <f t="shared" si="143"/>
        <v>0</v>
      </c>
      <c r="DR25" s="65">
        <f t="shared" si="143"/>
        <v>0</v>
      </c>
      <c r="DS25" s="65">
        <f t="shared" si="143"/>
        <v>0</v>
      </c>
      <c r="DT25" s="65">
        <f t="shared" si="143"/>
        <v>0</v>
      </c>
      <c r="DU25" s="65">
        <f t="shared" si="143"/>
        <v>0</v>
      </c>
      <c r="DV25" s="65">
        <f t="shared" si="143"/>
        <v>0</v>
      </c>
      <c r="DW25" s="65">
        <f t="shared" si="143"/>
        <v>0</v>
      </c>
      <c r="DX25" s="65">
        <f t="shared" si="143"/>
        <v>0</v>
      </c>
      <c r="DY25" s="65">
        <f t="shared" si="143"/>
        <v>0</v>
      </c>
      <c r="DZ25" s="65">
        <f t="shared" si="143"/>
        <v>0</v>
      </c>
      <c r="EA25" s="65">
        <f t="shared" si="143"/>
        <v>0</v>
      </c>
      <c r="EB25" s="65">
        <f t="shared" si="143"/>
        <v>0</v>
      </c>
      <c r="EC25" s="65">
        <f t="shared" si="143"/>
        <v>0</v>
      </c>
      <c r="ED25" s="65">
        <f t="shared" si="143"/>
        <v>0</v>
      </c>
      <c r="EE25" s="65">
        <f t="shared" si="143"/>
        <v>0</v>
      </c>
      <c r="EF25" s="65">
        <f t="shared" si="143"/>
        <v>0</v>
      </c>
      <c r="EG25" s="65">
        <f t="shared" si="143"/>
        <v>0</v>
      </c>
      <c r="EH25" s="65">
        <f t="shared" si="143"/>
        <v>0</v>
      </c>
      <c r="EI25" s="65">
        <f t="shared" si="143"/>
        <v>0</v>
      </c>
      <c r="EJ25" s="65">
        <f t="shared" si="143"/>
        <v>0</v>
      </c>
      <c r="EK25" s="65">
        <f t="shared" si="143"/>
        <v>0</v>
      </c>
      <c r="EL25" s="65">
        <f t="shared" si="143"/>
        <v>0</v>
      </c>
      <c r="EM25" s="65">
        <f t="shared" si="143"/>
        <v>0</v>
      </c>
      <c r="EN25" s="65">
        <f t="shared" si="143"/>
        <v>0</v>
      </c>
      <c r="EO25" s="65">
        <f t="shared" si="143"/>
        <v>0</v>
      </c>
    </row>
    <row r="26" spans="2:145" x14ac:dyDescent="0.45">
      <c r="B26" s="86">
        <f t="shared" si="132"/>
        <v>400</v>
      </c>
      <c r="C26" s="86" t="str">
        <f t="shared" si="132"/>
        <v>[Retail Tenant]</v>
      </c>
      <c r="F26" s="92">
        <v>1</v>
      </c>
      <c r="H26" s="63">
        <f>IFERROR(F9/$F$19,0)</f>
        <v>0</v>
      </c>
      <c r="I26" s="106">
        <f>IFERROR(J26/F9,0)</f>
        <v>0</v>
      </c>
      <c r="J26" s="108">
        <f t="shared" si="133"/>
        <v>0</v>
      </c>
      <c r="L26" s="65">
        <f t="shared" si="134"/>
        <v>0</v>
      </c>
      <c r="M26" s="65">
        <f t="shared" si="134"/>
        <v>0</v>
      </c>
      <c r="N26" s="65">
        <f t="shared" si="134"/>
        <v>0</v>
      </c>
      <c r="O26" s="65">
        <f t="shared" si="134"/>
        <v>0</v>
      </c>
      <c r="P26" s="65">
        <f t="shared" si="134"/>
        <v>0</v>
      </c>
      <c r="Q26" s="65">
        <f t="shared" si="134"/>
        <v>0</v>
      </c>
      <c r="R26" s="65">
        <f t="shared" si="134"/>
        <v>0</v>
      </c>
      <c r="S26" s="65">
        <f t="shared" si="134"/>
        <v>0</v>
      </c>
      <c r="T26" s="65">
        <f t="shared" si="134"/>
        <v>0</v>
      </c>
      <c r="U26" s="65">
        <f t="shared" si="134"/>
        <v>0</v>
      </c>
      <c r="V26" s="65">
        <f t="shared" si="135"/>
        <v>0</v>
      </c>
      <c r="W26" s="65">
        <f t="shared" si="135"/>
        <v>0</v>
      </c>
      <c r="X26" s="65">
        <f t="shared" si="135"/>
        <v>0</v>
      </c>
      <c r="Y26" s="65">
        <f t="shared" si="135"/>
        <v>0</v>
      </c>
      <c r="Z26" s="65">
        <f t="shared" si="135"/>
        <v>0</v>
      </c>
      <c r="AA26" s="65">
        <f t="shared" si="135"/>
        <v>0</v>
      </c>
      <c r="AB26" s="65">
        <f t="shared" si="135"/>
        <v>0</v>
      </c>
      <c r="AC26" s="65">
        <f t="shared" si="135"/>
        <v>0</v>
      </c>
      <c r="AD26" s="65">
        <f t="shared" si="135"/>
        <v>0</v>
      </c>
      <c r="AE26" s="65">
        <f t="shared" si="135"/>
        <v>0</v>
      </c>
      <c r="AF26" s="65">
        <f t="shared" si="136"/>
        <v>0</v>
      </c>
      <c r="AG26" s="65">
        <f t="shared" si="136"/>
        <v>0</v>
      </c>
      <c r="AH26" s="65">
        <f t="shared" si="136"/>
        <v>0</v>
      </c>
      <c r="AI26" s="65">
        <f t="shared" si="136"/>
        <v>0</v>
      </c>
      <c r="AJ26" s="65">
        <f t="shared" si="136"/>
        <v>0</v>
      </c>
      <c r="AK26" s="65">
        <f t="shared" si="136"/>
        <v>0</v>
      </c>
      <c r="AL26" s="65">
        <f t="shared" si="136"/>
        <v>0</v>
      </c>
      <c r="AM26" s="65">
        <f t="shared" si="136"/>
        <v>0</v>
      </c>
      <c r="AN26" s="65">
        <f t="shared" si="136"/>
        <v>0</v>
      </c>
      <c r="AO26" s="65">
        <f t="shared" si="136"/>
        <v>0</v>
      </c>
      <c r="AP26" s="65">
        <f t="shared" si="137"/>
        <v>0</v>
      </c>
      <c r="AQ26" s="65">
        <f t="shared" si="137"/>
        <v>0</v>
      </c>
      <c r="AR26" s="65">
        <f t="shared" si="137"/>
        <v>0</v>
      </c>
      <c r="AS26" s="65">
        <f t="shared" si="137"/>
        <v>0</v>
      </c>
      <c r="AT26" s="65">
        <f t="shared" si="137"/>
        <v>0</v>
      </c>
      <c r="AU26" s="65">
        <f t="shared" si="137"/>
        <v>0</v>
      </c>
      <c r="AV26" s="65">
        <f t="shared" si="137"/>
        <v>0</v>
      </c>
      <c r="AW26" s="65">
        <f t="shared" si="137"/>
        <v>0</v>
      </c>
      <c r="AX26" s="65">
        <f t="shared" si="137"/>
        <v>0</v>
      </c>
      <c r="AY26" s="65">
        <f t="shared" si="137"/>
        <v>0</v>
      </c>
      <c r="AZ26" s="65">
        <f t="shared" si="138"/>
        <v>0</v>
      </c>
      <c r="BA26" s="65">
        <f t="shared" si="138"/>
        <v>0</v>
      </c>
      <c r="BB26" s="65">
        <f t="shared" si="138"/>
        <v>0</v>
      </c>
      <c r="BC26" s="65">
        <f t="shared" si="138"/>
        <v>0</v>
      </c>
      <c r="BD26" s="65">
        <f t="shared" si="138"/>
        <v>0</v>
      </c>
      <c r="BE26" s="65">
        <f t="shared" si="138"/>
        <v>0</v>
      </c>
      <c r="BF26" s="65">
        <f t="shared" si="138"/>
        <v>0</v>
      </c>
      <c r="BG26" s="65">
        <f t="shared" si="138"/>
        <v>0</v>
      </c>
      <c r="BH26" s="65">
        <f t="shared" si="138"/>
        <v>0</v>
      </c>
      <c r="BI26" s="65">
        <f t="shared" si="138"/>
        <v>0</v>
      </c>
      <c r="BJ26" s="65">
        <f t="shared" si="139"/>
        <v>0</v>
      </c>
      <c r="BK26" s="65">
        <f t="shared" si="139"/>
        <v>0</v>
      </c>
      <c r="BL26" s="65">
        <f t="shared" si="139"/>
        <v>0</v>
      </c>
      <c r="BM26" s="65">
        <f t="shared" si="139"/>
        <v>0</v>
      </c>
      <c r="BN26" s="65">
        <f t="shared" si="139"/>
        <v>0</v>
      </c>
      <c r="BO26" s="65">
        <f t="shared" si="139"/>
        <v>0</v>
      </c>
      <c r="BP26" s="65">
        <f t="shared" si="139"/>
        <v>0</v>
      </c>
      <c r="BQ26" s="65">
        <f t="shared" si="139"/>
        <v>0</v>
      </c>
      <c r="BR26" s="65">
        <f t="shared" si="139"/>
        <v>0</v>
      </c>
      <c r="BS26" s="65">
        <f t="shared" si="139"/>
        <v>0</v>
      </c>
      <c r="BT26" s="65">
        <f t="shared" si="140"/>
        <v>0</v>
      </c>
      <c r="BU26" s="65">
        <f t="shared" si="140"/>
        <v>0</v>
      </c>
      <c r="BV26" s="65">
        <f t="shared" si="140"/>
        <v>0</v>
      </c>
      <c r="BW26" s="65">
        <f t="shared" si="140"/>
        <v>0</v>
      </c>
      <c r="BX26" s="65">
        <f t="shared" si="140"/>
        <v>0</v>
      </c>
      <c r="BY26" s="65">
        <f t="shared" si="140"/>
        <v>0</v>
      </c>
      <c r="BZ26" s="65">
        <f t="shared" si="140"/>
        <v>0</v>
      </c>
      <c r="CA26" s="65">
        <f t="shared" si="140"/>
        <v>0</v>
      </c>
      <c r="CB26" s="65">
        <f t="shared" si="140"/>
        <v>0</v>
      </c>
      <c r="CC26" s="65">
        <f t="shared" si="140"/>
        <v>0</v>
      </c>
      <c r="CD26" s="65">
        <f t="shared" si="141"/>
        <v>0</v>
      </c>
      <c r="CE26" s="65">
        <f t="shared" si="141"/>
        <v>0</v>
      </c>
      <c r="CF26" s="65">
        <f t="shared" si="141"/>
        <v>0</v>
      </c>
      <c r="CG26" s="65">
        <f t="shared" si="141"/>
        <v>0</v>
      </c>
      <c r="CH26" s="65">
        <f t="shared" si="141"/>
        <v>0</v>
      </c>
      <c r="CI26" s="65">
        <f t="shared" si="141"/>
        <v>0</v>
      </c>
      <c r="CJ26" s="65">
        <f t="shared" si="141"/>
        <v>0</v>
      </c>
      <c r="CK26" s="65">
        <f t="shared" si="141"/>
        <v>0</v>
      </c>
      <c r="CL26" s="65">
        <f t="shared" si="141"/>
        <v>0</v>
      </c>
      <c r="CM26" s="65">
        <f t="shared" si="141"/>
        <v>0</v>
      </c>
      <c r="CN26" s="65">
        <f t="shared" si="142"/>
        <v>0</v>
      </c>
      <c r="CO26" s="65">
        <f t="shared" si="142"/>
        <v>0</v>
      </c>
      <c r="CP26" s="65">
        <f t="shared" si="142"/>
        <v>0</v>
      </c>
      <c r="CQ26" s="65">
        <f t="shared" si="142"/>
        <v>0</v>
      </c>
      <c r="CR26" s="65">
        <f t="shared" si="142"/>
        <v>0</v>
      </c>
      <c r="CS26" s="65">
        <f t="shared" si="142"/>
        <v>0</v>
      </c>
      <c r="CT26" s="65">
        <f t="shared" si="142"/>
        <v>0</v>
      </c>
      <c r="CU26" s="65">
        <f t="shared" si="142"/>
        <v>0</v>
      </c>
      <c r="CV26" s="65">
        <f t="shared" si="142"/>
        <v>0</v>
      </c>
      <c r="CW26" s="65">
        <f t="shared" si="142"/>
        <v>0</v>
      </c>
      <c r="CX26" s="65">
        <f t="shared" si="143"/>
        <v>0</v>
      </c>
      <c r="CY26" s="65">
        <f t="shared" si="143"/>
        <v>0</v>
      </c>
      <c r="CZ26" s="65">
        <f t="shared" si="143"/>
        <v>0</v>
      </c>
      <c r="DA26" s="65">
        <f t="shared" si="143"/>
        <v>0</v>
      </c>
      <c r="DB26" s="65">
        <f t="shared" si="143"/>
        <v>0</v>
      </c>
      <c r="DC26" s="65">
        <f t="shared" si="143"/>
        <v>0</v>
      </c>
      <c r="DD26" s="65">
        <f t="shared" si="143"/>
        <v>0</v>
      </c>
      <c r="DE26" s="65">
        <f t="shared" si="143"/>
        <v>0</v>
      </c>
      <c r="DF26" s="65">
        <f t="shared" si="143"/>
        <v>0</v>
      </c>
      <c r="DG26" s="65">
        <f t="shared" si="143"/>
        <v>0</v>
      </c>
      <c r="DH26" s="65">
        <f t="shared" si="143"/>
        <v>0</v>
      </c>
      <c r="DI26" s="65">
        <f t="shared" si="143"/>
        <v>0</v>
      </c>
      <c r="DJ26" s="65">
        <f t="shared" si="143"/>
        <v>0</v>
      </c>
      <c r="DK26" s="65">
        <f t="shared" si="143"/>
        <v>0</v>
      </c>
      <c r="DL26" s="65">
        <f t="shared" si="143"/>
        <v>0</v>
      </c>
      <c r="DM26" s="65">
        <f t="shared" si="143"/>
        <v>0</v>
      </c>
      <c r="DN26" s="65">
        <f t="shared" si="143"/>
        <v>0</v>
      </c>
      <c r="DO26" s="65">
        <f t="shared" si="143"/>
        <v>0</v>
      </c>
      <c r="DP26" s="65">
        <f t="shared" si="143"/>
        <v>0</v>
      </c>
      <c r="DQ26" s="65">
        <f t="shared" si="143"/>
        <v>0</v>
      </c>
      <c r="DR26" s="65">
        <f t="shared" si="143"/>
        <v>0</v>
      </c>
      <c r="DS26" s="65">
        <f t="shared" si="143"/>
        <v>0</v>
      </c>
      <c r="DT26" s="65">
        <f t="shared" si="143"/>
        <v>0</v>
      </c>
      <c r="DU26" s="65">
        <f t="shared" si="143"/>
        <v>0</v>
      </c>
      <c r="DV26" s="65">
        <f t="shared" si="143"/>
        <v>0</v>
      </c>
      <c r="DW26" s="65">
        <f t="shared" si="143"/>
        <v>0</v>
      </c>
      <c r="DX26" s="65">
        <f t="shared" si="143"/>
        <v>0</v>
      </c>
      <c r="DY26" s="65">
        <f t="shared" si="143"/>
        <v>0</v>
      </c>
      <c r="DZ26" s="65">
        <f t="shared" si="143"/>
        <v>0</v>
      </c>
      <c r="EA26" s="65">
        <f t="shared" si="143"/>
        <v>0</v>
      </c>
      <c r="EB26" s="65">
        <f t="shared" si="143"/>
        <v>0</v>
      </c>
      <c r="EC26" s="65">
        <f t="shared" si="143"/>
        <v>0</v>
      </c>
      <c r="ED26" s="65">
        <f t="shared" si="143"/>
        <v>0</v>
      </c>
      <c r="EE26" s="65">
        <f t="shared" si="143"/>
        <v>0</v>
      </c>
      <c r="EF26" s="65">
        <f t="shared" si="143"/>
        <v>0</v>
      </c>
      <c r="EG26" s="65">
        <f t="shared" si="143"/>
        <v>0</v>
      </c>
      <c r="EH26" s="65">
        <f t="shared" si="143"/>
        <v>0</v>
      </c>
      <c r="EI26" s="65">
        <f t="shared" si="143"/>
        <v>0</v>
      </c>
      <c r="EJ26" s="65">
        <f t="shared" si="143"/>
        <v>0</v>
      </c>
      <c r="EK26" s="65">
        <f t="shared" si="143"/>
        <v>0</v>
      </c>
      <c r="EL26" s="65">
        <f t="shared" si="143"/>
        <v>0</v>
      </c>
      <c r="EM26" s="65">
        <f t="shared" si="143"/>
        <v>0</v>
      </c>
      <c r="EN26" s="65">
        <f t="shared" si="143"/>
        <v>0</v>
      </c>
      <c r="EO26" s="65">
        <f t="shared" si="143"/>
        <v>0</v>
      </c>
    </row>
    <row r="27" spans="2:145" x14ac:dyDescent="0.45">
      <c r="B27" s="86">
        <f t="shared" si="132"/>
        <v>500</v>
      </c>
      <c r="C27" s="86" t="str">
        <f t="shared" si="132"/>
        <v>[Retail Tenant]</v>
      </c>
      <c r="F27" s="92">
        <v>1</v>
      </c>
      <c r="H27" s="63">
        <f>IFERROR(F10/$F$19,0)</f>
        <v>0</v>
      </c>
      <c r="I27" s="106">
        <f>IFERROR(J27/F10,0)</f>
        <v>0</v>
      </c>
      <c r="J27" s="108">
        <f t="shared" si="133"/>
        <v>0</v>
      </c>
      <c r="L27" s="65">
        <f t="shared" si="134"/>
        <v>0</v>
      </c>
      <c r="M27" s="65">
        <f t="shared" si="134"/>
        <v>0</v>
      </c>
      <c r="N27" s="65">
        <f t="shared" si="134"/>
        <v>0</v>
      </c>
      <c r="O27" s="65">
        <f t="shared" si="134"/>
        <v>0</v>
      </c>
      <c r="P27" s="65">
        <f t="shared" si="134"/>
        <v>0</v>
      </c>
      <c r="Q27" s="65">
        <f t="shared" si="134"/>
        <v>0</v>
      </c>
      <c r="R27" s="65">
        <f t="shared" si="134"/>
        <v>0</v>
      </c>
      <c r="S27" s="65">
        <f t="shared" si="134"/>
        <v>0</v>
      </c>
      <c r="T27" s="65">
        <f t="shared" si="134"/>
        <v>0</v>
      </c>
      <c r="U27" s="65">
        <f t="shared" si="134"/>
        <v>0</v>
      </c>
      <c r="V27" s="65">
        <f t="shared" si="135"/>
        <v>0</v>
      </c>
      <c r="W27" s="65">
        <f t="shared" si="135"/>
        <v>0</v>
      </c>
      <c r="X27" s="65">
        <f t="shared" si="135"/>
        <v>0</v>
      </c>
      <c r="Y27" s="65">
        <f t="shared" si="135"/>
        <v>0</v>
      </c>
      <c r="Z27" s="65">
        <f t="shared" si="135"/>
        <v>0</v>
      </c>
      <c r="AA27" s="65">
        <f t="shared" si="135"/>
        <v>0</v>
      </c>
      <c r="AB27" s="65">
        <f t="shared" si="135"/>
        <v>0</v>
      </c>
      <c r="AC27" s="65">
        <f t="shared" si="135"/>
        <v>0</v>
      </c>
      <c r="AD27" s="65">
        <f t="shared" si="135"/>
        <v>0</v>
      </c>
      <c r="AE27" s="65">
        <f t="shared" si="135"/>
        <v>0</v>
      </c>
      <c r="AF27" s="65">
        <f t="shared" si="136"/>
        <v>0</v>
      </c>
      <c r="AG27" s="65">
        <f t="shared" si="136"/>
        <v>0</v>
      </c>
      <c r="AH27" s="65">
        <f t="shared" si="136"/>
        <v>0</v>
      </c>
      <c r="AI27" s="65">
        <f t="shared" si="136"/>
        <v>0</v>
      </c>
      <c r="AJ27" s="65">
        <f t="shared" si="136"/>
        <v>0</v>
      </c>
      <c r="AK27" s="65">
        <f t="shared" si="136"/>
        <v>0</v>
      </c>
      <c r="AL27" s="65">
        <f t="shared" si="136"/>
        <v>0</v>
      </c>
      <c r="AM27" s="65">
        <f t="shared" si="136"/>
        <v>0</v>
      </c>
      <c r="AN27" s="65">
        <f t="shared" si="136"/>
        <v>0</v>
      </c>
      <c r="AO27" s="65">
        <f t="shared" si="136"/>
        <v>0</v>
      </c>
      <c r="AP27" s="65">
        <f t="shared" si="137"/>
        <v>0</v>
      </c>
      <c r="AQ27" s="65">
        <f t="shared" si="137"/>
        <v>0</v>
      </c>
      <c r="AR27" s="65">
        <f t="shared" si="137"/>
        <v>0</v>
      </c>
      <c r="AS27" s="65">
        <f t="shared" si="137"/>
        <v>0</v>
      </c>
      <c r="AT27" s="65">
        <f t="shared" si="137"/>
        <v>0</v>
      </c>
      <c r="AU27" s="65">
        <f t="shared" si="137"/>
        <v>0</v>
      </c>
      <c r="AV27" s="65">
        <f t="shared" si="137"/>
        <v>0</v>
      </c>
      <c r="AW27" s="65">
        <f t="shared" si="137"/>
        <v>0</v>
      </c>
      <c r="AX27" s="65">
        <f t="shared" si="137"/>
        <v>0</v>
      </c>
      <c r="AY27" s="65">
        <f t="shared" si="137"/>
        <v>0</v>
      </c>
      <c r="AZ27" s="65">
        <f t="shared" si="138"/>
        <v>0</v>
      </c>
      <c r="BA27" s="65">
        <f t="shared" si="138"/>
        <v>0</v>
      </c>
      <c r="BB27" s="65">
        <f t="shared" si="138"/>
        <v>0</v>
      </c>
      <c r="BC27" s="65">
        <f t="shared" si="138"/>
        <v>0</v>
      </c>
      <c r="BD27" s="65">
        <f t="shared" si="138"/>
        <v>0</v>
      </c>
      <c r="BE27" s="65">
        <f t="shared" si="138"/>
        <v>0</v>
      </c>
      <c r="BF27" s="65">
        <f t="shared" si="138"/>
        <v>0</v>
      </c>
      <c r="BG27" s="65">
        <f t="shared" si="138"/>
        <v>0</v>
      </c>
      <c r="BH27" s="65">
        <f t="shared" si="138"/>
        <v>0</v>
      </c>
      <c r="BI27" s="65">
        <f t="shared" si="138"/>
        <v>0</v>
      </c>
      <c r="BJ27" s="65">
        <f t="shared" si="139"/>
        <v>0</v>
      </c>
      <c r="BK27" s="65">
        <f t="shared" si="139"/>
        <v>0</v>
      </c>
      <c r="BL27" s="65">
        <f t="shared" si="139"/>
        <v>0</v>
      </c>
      <c r="BM27" s="65">
        <f t="shared" si="139"/>
        <v>0</v>
      </c>
      <c r="BN27" s="65">
        <f t="shared" si="139"/>
        <v>0</v>
      </c>
      <c r="BO27" s="65">
        <f t="shared" si="139"/>
        <v>0</v>
      </c>
      <c r="BP27" s="65">
        <f t="shared" si="139"/>
        <v>0</v>
      </c>
      <c r="BQ27" s="65">
        <f t="shared" si="139"/>
        <v>0</v>
      </c>
      <c r="BR27" s="65">
        <f t="shared" si="139"/>
        <v>0</v>
      </c>
      <c r="BS27" s="65">
        <f t="shared" si="139"/>
        <v>0</v>
      </c>
      <c r="BT27" s="65">
        <f t="shared" si="140"/>
        <v>0</v>
      </c>
      <c r="BU27" s="65">
        <f t="shared" si="140"/>
        <v>0</v>
      </c>
      <c r="BV27" s="65">
        <f t="shared" si="140"/>
        <v>0</v>
      </c>
      <c r="BW27" s="65">
        <f t="shared" si="140"/>
        <v>0</v>
      </c>
      <c r="BX27" s="65">
        <f t="shared" si="140"/>
        <v>0</v>
      </c>
      <c r="BY27" s="65">
        <f t="shared" si="140"/>
        <v>0</v>
      </c>
      <c r="BZ27" s="65">
        <f t="shared" si="140"/>
        <v>0</v>
      </c>
      <c r="CA27" s="65">
        <f t="shared" si="140"/>
        <v>0</v>
      </c>
      <c r="CB27" s="65">
        <f t="shared" si="140"/>
        <v>0</v>
      </c>
      <c r="CC27" s="65">
        <f t="shared" si="140"/>
        <v>0</v>
      </c>
      <c r="CD27" s="65">
        <f t="shared" si="141"/>
        <v>0</v>
      </c>
      <c r="CE27" s="65">
        <f t="shared" si="141"/>
        <v>0</v>
      </c>
      <c r="CF27" s="65">
        <f t="shared" si="141"/>
        <v>0</v>
      </c>
      <c r="CG27" s="65">
        <f t="shared" si="141"/>
        <v>0</v>
      </c>
      <c r="CH27" s="65">
        <f t="shared" si="141"/>
        <v>0</v>
      </c>
      <c r="CI27" s="65">
        <f t="shared" si="141"/>
        <v>0</v>
      </c>
      <c r="CJ27" s="65">
        <f t="shared" si="141"/>
        <v>0</v>
      </c>
      <c r="CK27" s="65">
        <f t="shared" si="141"/>
        <v>0</v>
      </c>
      <c r="CL27" s="65">
        <f t="shared" si="141"/>
        <v>0</v>
      </c>
      <c r="CM27" s="65">
        <f t="shared" si="141"/>
        <v>0</v>
      </c>
      <c r="CN27" s="65">
        <f t="shared" si="142"/>
        <v>0</v>
      </c>
      <c r="CO27" s="65">
        <f t="shared" si="142"/>
        <v>0</v>
      </c>
      <c r="CP27" s="65">
        <f t="shared" si="142"/>
        <v>0</v>
      </c>
      <c r="CQ27" s="65">
        <f t="shared" si="142"/>
        <v>0</v>
      </c>
      <c r="CR27" s="65">
        <f t="shared" si="142"/>
        <v>0</v>
      </c>
      <c r="CS27" s="65">
        <f t="shared" si="142"/>
        <v>0</v>
      </c>
      <c r="CT27" s="65">
        <f t="shared" si="142"/>
        <v>0</v>
      </c>
      <c r="CU27" s="65">
        <f t="shared" si="142"/>
        <v>0</v>
      </c>
      <c r="CV27" s="65">
        <f t="shared" si="142"/>
        <v>0</v>
      </c>
      <c r="CW27" s="65">
        <f t="shared" si="142"/>
        <v>0</v>
      </c>
      <c r="CX27" s="65">
        <f t="shared" si="143"/>
        <v>0</v>
      </c>
      <c r="CY27" s="65">
        <f t="shared" si="143"/>
        <v>0</v>
      </c>
      <c r="CZ27" s="65">
        <f t="shared" si="143"/>
        <v>0</v>
      </c>
      <c r="DA27" s="65">
        <f t="shared" si="143"/>
        <v>0</v>
      </c>
      <c r="DB27" s="65">
        <f t="shared" si="143"/>
        <v>0</v>
      </c>
      <c r="DC27" s="65">
        <f t="shared" si="143"/>
        <v>0</v>
      </c>
      <c r="DD27" s="65">
        <f t="shared" si="143"/>
        <v>0</v>
      </c>
      <c r="DE27" s="65">
        <f t="shared" si="143"/>
        <v>0</v>
      </c>
      <c r="DF27" s="65">
        <f t="shared" si="143"/>
        <v>0</v>
      </c>
      <c r="DG27" s="65">
        <f t="shared" si="143"/>
        <v>0</v>
      </c>
      <c r="DH27" s="65">
        <f t="shared" ref="DE27:EO33" si="144">IFERROR((DH$5&gt;=$F27)*$H27*DH$47,0)</f>
        <v>0</v>
      </c>
      <c r="DI27" s="65">
        <f t="shared" si="144"/>
        <v>0</v>
      </c>
      <c r="DJ27" s="65">
        <f t="shared" si="144"/>
        <v>0</v>
      </c>
      <c r="DK27" s="65">
        <f t="shared" si="144"/>
        <v>0</v>
      </c>
      <c r="DL27" s="65">
        <f t="shared" si="144"/>
        <v>0</v>
      </c>
      <c r="DM27" s="65">
        <f t="shared" si="144"/>
        <v>0</v>
      </c>
      <c r="DN27" s="65">
        <f t="shared" si="144"/>
        <v>0</v>
      </c>
      <c r="DO27" s="65">
        <f t="shared" si="144"/>
        <v>0</v>
      </c>
      <c r="DP27" s="65">
        <f t="shared" si="144"/>
        <v>0</v>
      </c>
      <c r="DQ27" s="65">
        <f t="shared" si="144"/>
        <v>0</v>
      </c>
      <c r="DR27" s="65">
        <f t="shared" si="144"/>
        <v>0</v>
      </c>
      <c r="DS27" s="65">
        <f t="shared" si="144"/>
        <v>0</v>
      </c>
      <c r="DT27" s="65">
        <f t="shared" si="144"/>
        <v>0</v>
      </c>
      <c r="DU27" s="65">
        <f t="shared" si="144"/>
        <v>0</v>
      </c>
      <c r="DV27" s="65">
        <f t="shared" si="144"/>
        <v>0</v>
      </c>
      <c r="DW27" s="65">
        <f t="shared" si="144"/>
        <v>0</v>
      </c>
      <c r="DX27" s="65">
        <f t="shared" si="144"/>
        <v>0</v>
      </c>
      <c r="DY27" s="65">
        <f t="shared" si="144"/>
        <v>0</v>
      </c>
      <c r="DZ27" s="65">
        <f t="shared" si="144"/>
        <v>0</v>
      </c>
      <c r="EA27" s="65">
        <f t="shared" si="144"/>
        <v>0</v>
      </c>
      <c r="EB27" s="65">
        <f t="shared" si="144"/>
        <v>0</v>
      </c>
      <c r="EC27" s="65">
        <f t="shared" si="144"/>
        <v>0</v>
      </c>
      <c r="ED27" s="65">
        <f t="shared" si="144"/>
        <v>0</v>
      </c>
      <c r="EE27" s="65">
        <f t="shared" si="144"/>
        <v>0</v>
      </c>
      <c r="EF27" s="65">
        <f t="shared" si="144"/>
        <v>0</v>
      </c>
      <c r="EG27" s="65">
        <f t="shared" si="144"/>
        <v>0</v>
      </c>
      <c r="EH27" s="65">
        <f t="shared" si="144"/>
        <v>0</v>
      </c>
      <c r="EI27" s="65">
        <f t="shared" si="144"/>
        <v>0</v>
      </c>
      <c r="EJ27" s="65">
        <f t="shared" si="144"/>
        <v>0</v>
      </c>
      <c r="EK27" s="65">
        <f t="shared" si="144"/>
        <v>0</v>
      </c>
      <c r="EL27" s="65">
        <f t="shared" si="144"/>
        <v>0</v>
      </c>
      <c r="EM27" s="65">
        <f t="shared" si="144"/>
        <v>0</v>
      </c>
      <c r="EN27" s="65">
        <f t="shared" si="144"/>
        <v>0</v>
      </c>
      <c r="EO27" s="65">
        <f t="shared" si="144"/>
        <v>0</v>
      </c>
    </row>
    <row r="28" spans="2:145" x14ac:dyDescent="0.45">
      <c r="B28" s="86">
        <f t="shared" ref="B28:C28" si="145">+B11</f>
        <v>600</v>
      </c>
      <c r="C28" s="86" t="str">
        <f t="shared" si="145"/>
        <v>[Retail Tenant]</v>
      </c>
      <c r="F28" s="92">
        <v>1</v>
      </c>
      <c r="H28" s="63">
        <f t="shared" ref="H28:H35" si="146">IFERROR(F11/$F$19,0)</f>
        <v>0</v>
      </c>
      <c r="I28" s="106">
        <f t="shared" ref="I28:I35" si="147">IFERROR(J28/F11,0)</f>
        <v>0</v>
      </c>
      <c r="J28" s="108">
        <f t="shared" si="133"/>
        <v>0</v>
      </c>
      <c r="L28" s="65">
        <f t="shared" si="134"/>
        <v>0</v>
      </c>
      <c r="M28" s="65">
        <f t="shared" si="134"/>
        <v>0</v>
      </c>
      <c r="N28" s="65">
        <f t="shared" si="134"/>
        <v>0</v>
      </c>
      <c r="O28" s="65">
        <f t="shared" si="134"/>
        <v>0</v>
      </c>
      <c r="P28" s="65">
        <f t="shared" si="134"/>
        <v>0</v>
      </c>
      <c r="Q28" s="65">
        <f t="shared" si="134"/>
        <v>0</v>
      </c>
      <c r="R28" s="65">
        <f t="shared" si="134"/>
        <v>0</v>
      </c>
      <c r="S28" s="65">
        <f t="shared" si="134"/>
        <v>0</v>
      </c>
      <c r="T28" s="65">
        <f t="shared" si="134"/>
        <v>0</v>
      </c>
      <c r="U28" s="65">
        <f t="shared" si="134"/>
        <v>0</v>
      </c>
      <c r="V28" s="65">
        <f t="shared" si="135"/>
        <v>0</v>
      </c>
      <c r="W28" s="65">
        <f t="shared" si="135"/>
        <v>0</v>
      </c>
      <c r="X28" s="65">
        <f t="shared" si="135"/>
        <v>0</v>
      </c>
      <c r="Y28" s="65">
        <f t="shared" si="135"/>
        <v>0</v>
      </c>
      <c r="Z28" s="65">
        <f t="shared" si="135"/>
        <v>0</v>
      </c>
      <c r="AA28" s="65">
        <f t="shared" si="135"/>
        <v>0</v>
      </c>
      <c r="AB28" s="65">
        <f t="shared" si="135"/>
        <v>0</v>
      </c>
      <c r="AC28" s="65">
        <f t="shared" si="135"/>
        <v>0</v>
      </c>
      <c r="AD28" s="65">
        <f t="shared" si="135"/>
        <v>0</v>
      </c>
      <c r="AE28" s="65">
        <f t="shared" si="135"/>
        <v>0</v>
      </c>
      <c r="AF28" s="65">
        <f t="shared" si="136"/>
        <v>0</v>
      </c>
      <c r="AG28" s="65">
        <f t="shared" si="136"/>
        <v>0</v>
      </c>
      <c r="AH28" s="65">
        <f t="shared" si="136"/>
        <v>0</v>
      </c>
      <c r="AI28" s="65">
        <f t="shared" si="136"/>
        <v>0</v>
      </c>
      <c r="AJ28" s="65">
        <f t="shared" si="136"/>
        <v>0</v>
      </c>
      <c r="AK28" s="65">
        <f t="shared" si="136"/>
        <v>0</v>
      </c>
      <c r="AL28" s="65">
        <f t="shared" si="136"/>
        <v>0</v>
      </c>
      <c r="AM28" s="65">
        <f t="shared" si="136"/>
        <v>0</v>
      </c>
      <c r="AN28" s="65">
        <f t="shared" si="136"/>
        <v>0</v>
      </c>
      <c r="AO28" s="65">
        <f t="shared" si="136"/>
        <v>0</v>
      </c>
      <c r="AP28" s="65">
        <f t="shared" si="137"/>
        <v>0</v>
      </c>
      <c r="AQ28" s="65">
        <f t="shared" si="137"/>
        <v>0</v>
      </c>
      <c r="AR28" s="65">
        <f t="shared" si="137"/>
        <v>0</v>
      </c>
      <c r="AS28" s="65">
        <f t="shared" si="137"/>
        <v>0</v>
      </c>
      <c r="AT28" s="65">
        <f t="shared" si="137"/>
        <v>0</v>
      </c>
      <c r="AU28" s="65">
        <f t="shared" si="137"/>
        <v>0</v>
      </c>
      <c r="AV28" s="65">
        <f t="shared" si="137"/>
        <v>0</v>
      </c>
      <c r="AW28" s="65">
        <f t="shared" si="137"/>
        <v>0</v>
      </c>
      <c r="AX28" s="65">
        <f t="shared" si="137"/>
        <v>0</v>
      </c>
      <c r="AY28" s="65">
        <f t="shared" si="137"/>
        <v>0</v>
      </c>
      <c r="AZ28" s="65">
        <f t="shared" si="138"/>
        <v>0</v>
      </c>
      <c r="BA28" s="65">
        <f t="shared" si="138"/>
        <v>0</v>
      </c>
      <c r="BB28" s="65">
        <f t="shared" si="138"/>
        <v>0</v>
      </c>
      <c r="BC28" s="65">
        <f t="shared" si="138"/>
        <v>0</v>
      </c>
      <c r="BD28" s="65">
        <f t="shared" si="138"/>
        <v>0</v>
      </c>
      <c r="BE28" s="65">
        <f t="shared" si="138"/>
        <v>0</v>
      </c>
      <c r="BF28" s="65">
        <f t="shared" si="138"/>
        <v>0</v>
      </c>
      <c r="BG28" s="65">
        <f t="shared" si="138"/>
        <v>0</v>
      </c>
      <c r="BH28" s="65">
        <f t="shared" si="138"/>
        <v>0</v>
      </c>
      <c r="BI28" s="65">
        <f t="shared" si="138"/>
        <v>0</v>
      </c>
      <c r="BJ28" s="65">
        <f t="shared" si="139"/>
        <v>0</v>
      </c>
      <c r="BK28" s="65">
        <f t="shared" si="139"/>
        <v>0</v>
      </c>
      <c r="BL28" s="65">
        <f t="shared" si="139"/>
        <v>0</v>
      </c>
      <c r="BM28" s="65">
        <f t="shared" si="139"/>
        <v>0</v>
      </c>
      <c r="BN28" s="65">
        <f t="shared" si="139"/>
        <v>0</v>
      </c>
      <c r="BO28" s="65">
        <f t="shared" si="139"/>
        <v>0</v>
      </c>
      <c r="BP28" s="65">
        <f t="shared" si="139"/>
        <v>0</v>
      </c>
      <c r="BQ28" s="65">
        <f t="shared" si="139"/>
        <v>0</v>
      </c>
      <c r="BR28" s="65">
        <f t="shared" si="139"/>
        <v>0</v>
      </c>
      <c r="BS28" s="65">
        <f t="shared" si="139"/>
        <v>0</v>
      </c>
      <c r="BT28" s="65">
        <f t="shared" si="140"/>
        <v>0</v>
      </c>
      <c r="BU28" s="65">
        <f t="shared" si="140"/>
        <v>0</v>
      </c>
      <c r="BV28" s="65">
        <f t="shared" si="140"/>
        <v>0</v>
      </c>
      <c r="BW28" s="65">
        <f t="shared" si="140"/>
        <v>0</v>
      </c>
      <c r="BX28" s="65">
        <f t="shared" si="140"/>
        <v>0</v>
      </c>
      <c r="BY28" s="65">
        <f t="shared" si="140"/>
        <v>0</v>
      </c>
      <c r="BZ28" s="65">
        <f t="shared" si="140"/>
        <v>0</v>
      </c>
      <c r="CA28" s="65">
        <f t="shared" si="140"/>
        <v>0</v>
      </c>
      <c r="CB28" s="65">
        <f t="shared" si="140"/>
        <v>0</v>
      </c>
      <c r="CC28" s="65">
        <f t="shared" si="140"/>
        <v>0</v>
      </c>
      <c r="CD28" s="65">
        <f t="shared" si="141"/>
        <v>0</v>
      </c>
      <c r="CE28" s="65">
        <f t="shared" si="141"/>
        <v>0</v>
      </c>
      <c r="CF28" s="65">
        <f t="shared" si="141"/>
        <v>0</v>
      </c>
      <c r="CG28" s="65">
        <f t="shared" si="141"/>
        <v>0</v>
      </c>
      <c r="CH28" s="65">
        <f t="shared" si="141"/>
        <v>0</v>
      </c>
      <c r="CI28" s="65">
        <f t="shared" si="141"/>
        <v>0</v>
      </c>
      <c r="CJ28" s="65">
        <f t="shared" si="141"/>
        <v>0</v>
      </c>
      <c r="CK28" s="65">
        <f t="shared" si="141"/>
        <v>0</v>
      </c>
      <c r="CL28" s="65">
        <f t="shared" si="141"/>
        <v>0</v>
      </c>
      <c r="CM28" s="65">
        <f t="shared" si="141"/>
        <v>0</v>
      </c>
      <c r="CN28" s="65">
        <f t="shared" si="142"/>
        <v>0</v>
      </c>
      <c r="CO28" s="65">
        <f t="shared" si="142"/>
        <v>0</v>
      </c>
      <c r="CP28" s="65">
        <f t="shared" si="142"/>
        <v>0</v>
      </c>
      <c r="CQ28" s="65">
        <f t="shared" si="142"/>
        <v>0</v>
      </c>
      <c r="CR28" s="65">
        <f t="shared" si="142"/>
        <v>0</v>
      </c>
      <c r="CS28" s="65">
        <f t="shared" si="142"/>
        <v>0</v>
      </c>
      <c r="CT28" s="65">
        <f t="shared" si="142"/>
        <v>0</v>
      </c>
      <c r="CU28" s="65">
        <f t="shared" si="142"/>
        <v>0</v>
      </c>
      <c r="CV28" s="65">
        <f t="shared" si="142"/>
        <v>0</v>
      </c>
      <c r="CW28" s="65">
        <f t="shared" si="142"/>
        <v>0</v>
      </c>
      <c r="CX28" s="65">
        <f t="shared" si="143"/>
        <v>0</v>
      </c>
      <c r="CY28" s="65">
        <f t="shared" si="143"/>
        <v>0</v>
      </c>
      <c r="CZ28" s="65">
        <f t="shared" si="143"/>
        <v>0</v>
      </c>
      <c r="DA28" s="65">
        <f t="shared" si="143"/>
        <v>0</v>
      </c>
      <c r="DB28" s="65">
        <f t="shared" si="143"/>
        <v>0</v>
      </c>
      <c r="DC28" s="65">
        <f t="shared" si="143"/>
        <v>0</v>
      </c>
      <c r="DD28" s="65">
        <f t="shared" si="143"/>
        <v>0</v>
      </c>
      <c r="DE28" s="65">
        <f t="shared" si="144"/>
        <v>0</v>
      </c>
      <c r="DF28" s="65">
        <f t="shared" si="144"/>
        <v>0</v>
      </c>
      <c r="DG28" s="65">
        <f t="shared" si="144"/>
        <v>0</v>
      </c>
      <c r="DH28" s="65">
        <f t="shared" si="144"/>
        <v>0</v>
      </c>
      <c r="DI28" s="65">
        <f t="shared" si="144"/>
        <v>0</v>
      </c>
      <c r="DJ28" s="65">
        <f t="shared" si="144"/>
        <v>0</v>
      </c>
      <c r="DK28" s="65">
        <f t="shared" si="144"/>
        <v>0</v>
      </c>
      <c r="DL28" s="65">
        <f t="shared" si="144"/>
        <v>0</v>
      </c>
      <c r="DM28" s="65">
        <f t="shared" si="144"/>
        <v>0</v>
      </c>
      <c r="DN28" s="65">
        <f t="shared" si="144"/>
        <v>0</v>
      </c>
      <c r="DO28" s="65">
        <f t="shared" si="144"/>
        <v>0</v>
      </c>
      <c r="DP28" s="65">
        <f t="shared" si="144"/>
        <v>0</v>
      </c>
      <c r="DQ28" s="65">
        <f t="shared" si="144"/>
        <v>0</v>
      </c>
      <c r="DR28" s="65">
        <f t="shared" si="144"/>
        <v>0</v>
      </c>
      <c r="DS28" s="65">
        <f t="shared" si="144"/>
        <v>0</v>
      </c>
      <c r="DT28" s="65">
        <f t="shared" si="144"/>
        <v>0</v>
      </c>
      <c r="DU28" s="65">
        <f t="shared" si="144"/>
        <v>0</v>
      </c>
      <c r="DV28" s="65">
        <f t="shared" si="144"/>
        <v>0</v>
      </c>
      <c r="DW28" s="65">
        <f t="shared" si="144"/>
        <v>0</v>
      </c>
      <c r="DX28" s="65">
        <f t="shared" si="144"/>
        <v>0</v>
      </c>
      <c r="DY28" s="65">
        <f t="shared" si="144"/>
        <v>0</v>
      </c>
      <c r="DZ28" s="65">
        <f t="shared" si="144"/>
        <v>0</v>
      </c>
      <c r="EA28" s="65">
        <f t="shared" si="144"/>
        <v>0</v>
      </c>
      <c r="EB28" s="65">
        <f t="shared" si="144"/>
        <v>0</v>
      </c>
      <c r="EC28" s="65">
        <f t="shared" si="144"/>
        <v>0</v>
      </c>
      <c r="ED28" s="65">
        <f t="shared" si="144"/>
        <v>0</v>
      </c>
      <c r="EE28" s="65">
        <f t="shared" si="144"/>
        <v>0</v>
      </c>
      <c r="EF28" s="65">
        <f t="shared" si="144"/>
        <v>0</v>
      </c>
      <c r="EG28" s="65">
        <f t="shared" si="144"/>
        <v>0</v>
      </c>
      <c r="EH28" s="65">
        <f t="shared" si="144"/>
        <v>0</v>
      </c>
      <c r="EI28" s="65">
        <f t="shared" si="144"/>
        <v>0</v>
      </c>
      <c r="EJ28" s="65">
        <f t="shared" si="144"/>
        <v>0</v>
      </c>
      <c r="EK28" s="65">
        <f t="shared" si="144"/>
        <v>0</v>
      </c>
      <c r="EL28" s="65">
        <f t="shared" si="144"/>
        <v>0</v>
      </c>
      <c r="EM28" s="65">
        <f t="shared" si="144"/>
        <v>0</v>
      </c>
      <c r="EN28" s="65">
        <f t="shared" si="144"/>
        <v>0</v>
      </c>
      <c r="EO28" s="65">
        <f t="shared" si="144"/>
        <v>0</v>
      </c>
    </row>
    <row r="29" spans="2:145" x14ac:dyDescent="0.45">
      <c r="B29" s="86">
        <f t="shared" ref="B29:C29" si="148">+B12</f>
        <v>700</v>
      </c>
      <c r="C29" s="86" t="str">
        <f t="shared" si="148"/>
        <v>[Retail Tenant]</v>
      </c>
      <c r="F29" s="92">
        <v>24</v>
      </c>
      <c r="H29" s="63">
        <f t="shared" si="146"/>
        <v>0</v>
      </c>
      <c r="I29" s="106">
        <f t="shared" si="147"/>
        <v>0</v>
      </c>
      <c r="J29" s="108">
        <f t="shared" si="133"/>
        <v>0</v>
      </c>
      <c r="L29" s="65">
        <f t="shared" si="134"/>
        <v>0</v>
      </c>
      <c r="M29" s="65">
        <f t="shared" si="134"/>
        <v>0</v>
      </c>
      <c r="N29" s="65">
        <f t="shared" si="134"/>
        <v>0</v>
      </c>
      <c r="O29" s="65">
        <f t="shared" si="134"/>
        <v>0</v>
      </c>
      <c r="P29" s="65">
        <f t="shared" si="134"/>
        <v>0</v>
      </c>
      <c r="Q29" s="65">
        <f t="shared" si="134"/>
        <v>0</v>
      </c>
      <c r="R29" s="65">
        <f t="shared" si="134"/>
        <v>0</v>
      </c>
      <c r="S29" s="65">
        <f t="shared" si="134"/>
        <v>0</v>
      </c>
      <c r="T29" s="65">
        <f t="shared" si="134"/>
        <v>0</v>
      </c>
      <c r="U29" s="65">
        <f t="shared" si="134"/>
        <v>0</v>
      </c>
      <c r="V29" s="65">
        <f t="shared" si="135"/>
        <v>0</v>
      </c>
      <c r="W29" s="65">
        <f t="shared" si="135"/>
        <v>0</v>
      </c>
      <c r="X29" s="65">
        <f t="shared" si="135"/>
        <v>0</v>
      </c>
      <c r="Y29" s="65">
        <f t="shared" si="135"/>
        <v>0</v>
      </c>
      <c r="Z29" s="65">
        <f t="shared" si="135"/>
        <v>0</v>
      </c>
      <c r="AA29" s="65">
        <f t="shared" si="135"/>
        <v>0</v>
      </c>
      <c r="AB29" s="65">
        <f t="shared" si="135"/>
        <v>0</v>
      </c>
      <c r="AC29" s="65">
        <f t="shared" si="135"/>
        <v>0</v>
      </c>
      <c r="AD29" s="65">
        <f t="shared" si="135"/>
        <v>0</v>
      </c>
      <c r="AE29" s="65">
        <f t="shared" si="135"/>
        <v>0</v>
      </c>
      <c r="AF29" s="65">
        <f t="shared" si="136"/>
        <v>0</v>
      </c>
      <c r="AG29" s="65">
        <f t="shared" si="136"/>
        <v>0</v>
      </c>
      <c r="AH29" s="65">
        <f t="shared" si="136"/>
        <v>0</v>
      </c>
      <c r="AI29" s="65">
        <f t="shared" si="136"/>
        <v>0</v>
      </c>
      <c r="AJ29" s="65">
        <f t="shared" si="136"/>
        <v>0</v>
      </c>
      <c r="AK29" s="65">
        <f t="shared" si="136"/>
        <v>0</v>
      </c>
      <c r="AL29" s="65">
        <f t="shared" si="136"/>
        <v>0</v>
      </c>
      <c r="AM29" s="65">
        <f t="shared" si="136"/>
        <v>0</v>
      </c>
      <c r="AN29" s="65">
        <f t="shared" si="136"/>
        <v>0</v>
      </c>
      <c r="AO29" s="65">
        <f t="shared" si="136"/>
        <v>0</v>
      </c>
      <c r="AP29" s="65">
        <f t="shared" si="137"/>
        <v>0</v>
      </c>
      <c r="AQ29" s="65">
        <f t="shared" si="137"/>
        <v>0</v>
      </c>
      <c r="AR29" s="65">
        <f t="shared" si="137"/>
        <v>0</v>
      </c>
      <c r="AS29" s="65">
        <f t="shared" si="137"/>
        <v>0</v>
      </c>
      <c r="AT29" s="65">
        <f t="shared" si="137"/>
        <v>0</v>
      </c>
      <c r="AU29" s="65">
        <f t="shared" si="137"/>
        <v>0</v>
      </c>
      <c r="AV29" s="65">
        <f t="shared" si="137"/>
        <v>0</v>
      </c>
      <c r="AW29" s="65">
        <f t="shared" si="137"/>
        <v>0</v>
      </c>
      <c r="AX29" s="65">
        <f t="shared" si="137"/>
        <v>0</v>
      </c>
      <c r="AY29" s="65">
        <f t="shared" si="137"/>
        <v>0</v>
      </c>
      <c r="AZ29" s="65">
        <f t="shared" si="138"/>
        <v>0</v>
      </c>
      <c r="BA29" s="65">
        <f t="shared" si="138"/>
        <v>0</v>
      </c>
      <c r="BB29" s="65">
        <f t="shared" si="138"/>
        <v>0</v>
      </c>
      <c r="BC29" s="65">
        <f t="shared" si="138"/>
        <v>0</v>
      </c>
      <c r="BD29" s="65">
        <f t="shared" si="138"/>
        <v>0</v>
      </c>
      <c r="BE29" s="65">
        <f t="shared" si="138"/>
        <v>0</v>
      </c>
      <c r="BF29" s="65">
        <f t="shared" si="138"/>
        <v>0</v>
      </c>
      <c r="BG29" s="65">
        <f t="shared" si="138"/>
        <v>0</v>
      </c>
      <c r="BH29" s="65">
        <f t="shared" si="138"/>
        <v>0</v>
      </c>
      <c r="BI29" s="65">
        <f t="shared" si="138"/>
        <v>0</v>
      </c>
      <c r="BJ29" s="65">
        <f t="shared" si="139"/>
        <v>0</v>
      </c>
      <c r="BK29" s="65">
        <f t="shared" si="139"/>
        <v>0</v>
      </c>
      <c r="BL29" s="65">
        <f t="shared" si="139"/>
        <v>0</v>
      </c>
      <c r="BM29" s="65">
        <f t="shared" si="139"/>
        <v>0</v>
      </c>
      <c r="BN29" s="65">
        <f t="shared" si="139"/>
        <v>0</v>
      </c>
      <c r="BO29" s="65">
        <f t="shared" si="139"/>
        <v>0</v>
      </c>
      <c r="BP29" s="65">
        <f t="shared" si="139"/>
        <v>0</v>
      </c>
      <c r="BQ29" s="65">
        <f t="shared" si="139"/>
        <v>0</v>
      </c>
      <c r="BR29" s="65">
        <f t="shared" si="139"/>
        <v>0</v>
      </c>
      <c r="BS29" s="65">
        <f t="shared" si="139"/>
        <v>0</v>
      </c>
      <c r="BT29" s="65">
        <f t="shared" si="140"/>
        <v>0</v>
      </c>
      <c r="BU29" s="65">
        <f t="shared" si="140"/>
        <v>0</v>
      </c>
      <c r="BV29" s="65">
        <f t="shared" si="140"/>
        <v>0</v>
      </c>
      <c r="BW29" s="65">
        <f t="shared" si="140"/>
        <v>0</v>
      </c>
      <c r="BX29" s="65">
        <f t="shared" si="140"/>
        <v>0</v>
      </c>
      <c r="BY29" s="65">
        <f t="shared" si="140"/>
        <v>0</v>
      </c>
      <c r="BZ29" s="65">
        <f t="shared" si="140"/>
        <v>0</v>
      </c>
      <c r="CA29" s="65">
        <f t="shared" si="140"/>
        <v>0</v>
      </c>
      <c r="CB29" s="65">
        <f t="shared" si="140"/>
        <v>0</v>
      </c>
      <c r="CC29" s="65">
        <f t="shared" si="140"/>
        <v>0</v>
      </c>
      <c r="CD29" s="65">
        <f t="shared" si="141"/>
        <v>0</v>
      </c>
      <c r="CE29" s="65">
        <f t="shared" si="141"/>
        <v>0</v>
      </c>
      <c r="CF29" s="65">
        <f t="shared" si="141"/>
        <v>0</v>
      </c>
      <c r="CG29" s="65">
        <f t="shared" si="141"/>
        <v>0</v>
      </c>
      <c r="CH29" s="65">
        <f t="shared" si="141"/>
        <v>0</v>
      </c>
      <c r="CI29" s="65">
        <f t="shared" si="141"/>
        <v>0</v>
      </c>
      <c r="CJ29" s="65">
        <f t="shared" si="141"/>
        <v>0</v>
      </c>
      <c r="CK29" s="65">
        <f t="shared" si="141"/>
        <v>0</v>
      </c>
      <c r="CL29" s="65">
        <f t="shared" si="141"/>
        <v>0</v>
      </c>
      <c r="CM29" s="65">
        <f t="shared" si="141"/>
        <v>0</v>
      </c>
      <c r="CN29" s="65">
        <f t="shared" si="142"/>
        <v>0</v>
      </c>
      <c r="CO29" s="65">
        <f t="shared" si="142"/>
        <v>0</v>
      </c>
      <c r="CP29" s="65">
        <f t="shared" si="142"/>
        <v>0</v>
      </c>
      <c r="CQ29" s="65">
        <f t="shared" si="142"/>
        <v>0</v>
      </c>
      <c r="CR29" s="65">
        <f t="shared" si="142"/>
        <v>0</v>
      </c>
      <c r="CS29" s="65">
        <f t="shared" si="142"/>
        <v>0</v>
      </c>
      <c r="CT29" s="65">
        <f t="shared" si="142"/>
        <v>0</v>
      </c>
      <c r="CU29" s="65">
        <f t="shared" si="142"/>
        <v>0</v>
      </c>
      <c r="CV29" s="65">
        <f t="shared" si="142"/>
        <v>0</v>
      </c>
      <c r="CW29" s="65">
        <f t="shared" si="142"/>
        <v>0</v>
      </c>
      <c r="CX29" s="65">
        <f t="shared" si="143"/>
        <v>0</v>
      </c>
      <c r="CY29" s="65">
        <f t="shared" si="143"/>
        <v>0</v>
      </c>
      <c r="CZ29" s="65">
        <f t="shared" si="143"/>
        <v>0</v>
      </c>
      <c r="DA29" s="65">
        <f t="shared" si="143"/>
        <v>0</v>
      </c>
      <c r="DB29" s="65">
        <f t="shared" si="143"/>
        <v>0</v>
      </c>
      <c r="DC29" s="65">
        <f t="shared" si="143"/>
        <v>0</v>
      </c>
      <c r="DD29" s="65">
        <f t="shared" si="143"/>
        <v>0</v>
      </c>
      <c r="DE29" s="65">
        <f t="shared" si="144"/>
        <v>0</v>
      </c>
      <c r="DF29" s="65">
        <f t="shared" si="144"/>
        <v>0</v>
      </c>
      <c r="DG29" s="65">
        <f t="shared" si="144"/>
        <v>0</v>
      </c>
      <c r="DH29" s="65">
        <f t="shared" si="144"/>
        <v>0</v>
      </c>
      <c r="DI29" s="65">
        <f t="shared" si="144"/>
        <v>0</v>
      </c>
      <c r="DJ29" s="65">
        <f t="shared" si="144"/>
        <v>0</v>
      </c>
      <c r="DK29" s="65">
        <f t="shared" si="144"/>
        <v>0</v>
      </c>
      <c r="DL29" s="65">
        <f t="shared" si="144"/>
        <v>0</v>
      </c>
      <c r="DM29" s="65">
        <f t="shared" si="144"/>
        <v>0</v>
      </c>
      <c r="DN29" s="65">
        <f t="shared" si="144"/>
        <v>0</v>
      </c>
      <c r="DO29" s="65">
        <f t="shared" si="144"/>
        <v>0</v>
      </c>
      <c r="DP29" s="65">
        <f t="shared" si="144"/>
        <v>0</v>
      </c>
      <c r="DQ29" s="65">
        <f t="shared" si="144"/>
        <v>0</v>
      </c>
      <c r="DR29" s="65">
        <f t="shared" si="144"/>
        <v>0</v>
      </c>
      <c r="DS29" s="65">
        <f t="shared" si="144"/>
        <v>0</v>
      </c>
      <c r="DT29" s="65">
        <f t="shared" si="144"/>
        <v>0</v>
      </c>
      <c r="DU29" s="65">
        <f t="shared" si="144"/>
        <v>0</v>
      </c>
      <c r="DV29" s="65">
        <f t="shared" si="144"/>
        <v>0</v>
      </c>
      <c r="DW29" s="65">
        <f t="shared" si="144"/>
        <v>0</v>
      </c>
      <c r="DX29" s="65">
        <f t="shared" si="144"/>
        <v>0</v>
      </c>
      <c r="DY29" s="65">
        <f t="shared" si="144"/>
        <v>0</v>
      </c>
      <c r="DZ29" s="65">
        <f t="shared" si="144"/>
        <v>0</v>
      </c>
      <c r="EA29" s="65">
        <f t="shared" si="144"/>
        <v>0</v>
      </c>
      <c r="EB29" s="65">
        <f t="shared" si="144"/>
        <v>0</v>
      </c>
      <c r="EC29" s="65">
        <f t="shared" si="144"/>
        <v>0</v>
      </c>
      <c r="ED29" s="65">
        <f t="shared" si="144"/>
        <v>0</v>
      </c>
      <c r="EE29" s="65">
        <f t="shared" si="144"/>
        <v>0</v>
      </c>
      <c r="EF29" s="65">
        <f t="shared" si="144"/>
        <v>0</v>
      </c>
      <c r="EG29" s="65">
        <f t="shared" si="144"/>
        <v>0</v>
      </c>
      <c r="EH29" s="65">
        <f t="shared" si="144"/>
        <v>0</v>
      </c>
      <c r="EI29" s="65">
        <f t="shared" si="144"/>
        <v>0</v>
      </c>
      <c r="EJ29" s="65">
        <f t="shared" si="144"/>
        <v>0</v>
      </c>
      <c r="EK29" s="65">
        <f t="shared" si="144"/>
        <v>0</v>
      </c>
      <c r="EL29" s="65">
        <f t="shared" si="144"/>
        <v>0</v>
      </c>
      <c r="EM29" s="65">
        <f t="shared" si="144"/>
        <v>0</v>
      </c>
      <c r="EN29" s="65">
        <f t="shared" si="144"/>
        <v>0</v>
      </c>
      <c r="EO29" s="65">
        <f t="shared" si="144"/>
        <v>0</v>
      </c>
    </row>
    <row r="30" spans="2:145" x14ac:dyDescent="0.45">
      <c r="B30" s="86">
        <f t="shared" ref="B30:C30" si="149">+B13</f>
        <v>800</v>
      </c>
      <c r="C30" s="86" t="str">
        <f t="shared" si="149"/>
        <v>[Retail Tenant]</v>
      </c>
      <c r="F30" s="92">
        <v>36</v>
      </c>
      <c r="H30" s="63">
        <f t="shared" si="146"/>
        <v>0</v>
      </c>
      <c r="I30" s="106">
        <f t="shared" si="147"/>
        <v>0</v>
      </c>
      <c r="J30" s="108">
        <f t="shared" si="133"/>
        <v>0</v>
      </c>
      <c r="L30" s="65">
        <f t="shared" si="134"/>
        <v>0</v>
      </c>
      <c r="M30" s="65">
        <f t="shared" si="134"/>
        <v>0</v>
      </c>
      <c r="N30" s="65">
        <f t="shared" si="134"/>
        <v>0</v>
      </c>
      <c r="O30" s="65">
        <f t="shared" si="134"/>
        <v>0</v>
      </c>
      <c r="P30" s="65">
        <f t="shared" si="134"/>
        <v>0</v>
      </c>
      <c r="Q30" s="65">
        <f t="shared" si="134"/>
        <v>0</v>
      </c>
      <c r="R30" s="65">
        <f t="shared" si="134"/>
        <v>0</v>
      </c>
      <c r="S30" s="65">
        <f t="shared" si="134"/>
        <v>0</v>
      </c>
      <c r="T30" s="65">
        <f t="shared" si="134"/>
        <v>0</v>
      </c>
      <c r="U30" s="65">
        <f t="shared" si="134"/>
        <v>0</v>
      </c>
      <c r="V30" s="65">
        <f t="shared" si="135"/>
        <v>0</v>
      </c>
      <c r="W30" s="65">
        <f t="shared" si="135"/>
        <v>0</v>
      </c>
      <c r="X30" s="65">
        <f t="shared" si="135"/>
        <v>0</v>
      </c>
      <c r="Y30" s="65">
        <f t="shared" si="135"/>
        <v>0</v>
      </c>
      <c r="Z30" s="65">
        <f t="shared" si="135"/>
        <v>0</v>
      </c>
      <c r="AA30" s="65">
        <f t="shared" si="135"/>
        <v>0</v>
      </c>
      <c r="AB30" s="65">
        <f t="shared" si="135"/>
        <v>0</v>
      </c>
      <c r="AC30" s="65">
        <f t="shared" si="135"/>
        <v>0</v>
      </c>
      <c r="AD30" s="65">
        <f t="shared" si="135"/>
        <v>0</v>
      </c>
      <c r="AE30" s="65">
        <f t="shared" si="135"/>
        <v>0</v>
      </c>
      <c r="AF30" s="65">
        <f t="shared" si="136"/>
        <v>0</v>
      </c>
      <c r="AG30" s="65">
        <f t="shared" si="136"/>
        <v>0</v>
      </c>
      <c r="AH30" s="65">
        <f t="shared" si="136"/>
        <v>0</v>
      </c>
      <c r="AI30" s="65">
        <f t="shared" si="136"/>
        <v>0</v>
      </c>
      <c r="AJ30" s="65">
        <f t="shared" si="136"/>
        <v>0</v>
      </c>
      <c r="AK30" s="65">
        <f t="shared" si="136"/>
        <v>0</v>
      </c>
      <c r="AL30" s="65">
        <f t="shared" si="136"/>
        <v>0</v>
      </c>
      <c r="AM30" s="65">
        <f t="shared" si="136"/>
        <v>0</v>
      </c>
      <c r="AN30" s="65">
        <f t="shared" si="136"/>
        <v>0</v>
      </c>
      <c r="AO30" s="65">
        <f t="shared" si="136"/>
        <v>0</v>
      </c>
      <c r="AP30" s="65">
        <f t="shared" si="137"/>
        <v>0</v>
      </c>
      <c r="AQ30" s="65">
        <f t="shared" si="137"/>
        <v>0</v>
      </c>
      <c r="AR30" s="65">
        <f t="shared" si="137"/>
        <v>0</v>
      </c>
      <c r="AS30" s="65">
        <f t="shared" si="137"/>
        <v>0</v>
      </c>
      <c r="AT30" s="65">
        <f t="shared" si="137"/>
        <v>0</v>
      </c>
      <c r="AU30" s="65">
        <f t="shared" si="137"/>
        <v>0</v>
      </c>
      <c r="AV30" s="65">
        <f t="shared" si="137"/>
        <v>0</v>
      </c>
      <c r="AW30" s="65">
        <f t="shared" si="137"/>
        <v>0</v>
      </c>
      <c r="AX30" s="65">
        <f t="shared" si="137"/>
        <v>0</v>
      </c>
      <c r="AY30" s="65">
        <f t="shared" si="137"/>
        <v>0</v>
      </c>
      <c r="AZ30" s="65">
        <f t="shared" si="138"/>
        <v>0</v>
      </c>
      <c r="BA30" s="65">
        <f t="shared" si="138"/>
        <v>0</v>
      </c>
      <c r="BB30" s="65">
        <f t="shared" si="138"/>
        <v>0</v>
      </c>
      <c r="BC30" s="65">
        <f t="shared" si="138"/>
        <v>0</v>
      </c>
      <c r="BD30" s="65">
        <f t="shared" si="138"/>
        <v>0</v>
      </c>
      <c r="BE30" s="65">
        <f t="shared" si="138"/>
        <v>0</v>
      </c>
      <c r="BF30" s="65">
        <f t="shared" si="138"/>
        <v>0</v>
      </c>
      <c r="BG30" s="65">
        <f t="shared" si="138"/>
        <v>0</v>
      </c>
      <c r="BH30" s="65">
        <f t="shared" si="138"/>
        <v>0</v>
      </c>
      <c r="BI30" s="65">
        <f t="shared" si="138"/>
        <v>0</v>
      </c>
      <c r="BJ30" s="65">
        <f t="shared" si="139"/>
        <v>0</v>
      </c>
      <c r="BK30" s="65">
        <f t="shared" si="139"/>
        <v>0</v>
      </c>
      <c r="BL30" s="65">
        <f t="shared" si="139"/>
        <v>0</v>
      </c>
      <c r="BM30" s="65">
        <f t="shared" si="139"/>
        <v>0</v>
      </c>
      <c r="BN30" s="65">
        <f t="shared" si="139"/>
        <v>0</v>
      </c>
      <c r="BO30" s="65">
        <f t="shared" si="139"/>
        <v>0</v>
      </c>
      <c r="BP30" s="65">
        <f t="shared" si="139"/>
        <v>0</v>
      </c>
      <c r="BQ30" s="65">
        <f t="shared" si="139"/>
        <v>0</v>
      </c>
      <c r="BR30" s="65">
        <f t="shared" si="139"/>
        <v>0</v>
      </c>
      <c r="BS30" s="65">
        <f t="shared" si="139"/>
        <v>0</v>
      </c>
      <c r="BT30" s="65">
        <f t="shared" si="140"/>
        <v>0</v>
      </c>
      <c r="BU30" s="65">
        <f t="shared" si="140"/>
        <v>0</v>
      </c>
      <c r="BV30" s="65">
        <f t="shared" si="140"/>
        <v>0</v>
      </c>
      <c r="BW30" s="65">
        <f t="shared" si="140"/>
        <v>0</v>
      </c>
      <c r="BX30" s="65">
        <f t="shared" si="140"/>
        <v>0</v>
      </c>
      <c r="BY30" s="65">
        <f t="shared" si="140"/>
        <v>0</v>
      </c>
      <c r="BZ30" s="65">
        <f t="shared" si="140"/>
        <v>0</v>
      </c>
      <c r="CA30" s="65">
        <f t="shared" si="140"/>
        <v>0</v>
      </c>
      <c r="CB30" s="65">
        <f t="shared" si="140"/>
        <v>0</v>
      </c>
      <c r="CC30" s="65">
        <f t="shared" si="140"/>
        <v>0</v>
      </c>
      <c r="CD30" s="65">
        <f t="shared" si="141"/>
        <v>0</v>
      </c>
      <c r="CE30" s="65">
        <f t="shared" si="141"/>
        <v>0</v>
      </c>
      <c r="CF30" s="65">
        <f t="shared" si="141"/>
        <v>0</v>
      </c>
      <c r="CG30" s="65">
        <f t="shared" si="141"/>
        <v>0</v>
      </c>
      <c r="CH30" s="65">
        <f t="shared" si="141"/>
        <v>0</v>
      </c>
      <c r="CI30" s="65">
        <f t="shared" si="141"/>
        <v>0</v>
      </c>
      <c r="CJ30" s="65">
        <f t="shared" si="141"/>
        <v>0</v>
      </c>
      <c r="CK30" s="65">
        <f t="shared" si="141"/>
        <v>0</v>
      </c>
      <c r="CL30" s="65">
        <f t="shared" si="141"/>
        <v>0</v>
      </c>
      <c r="CM30" s="65">
        <f t="shared" si="141"/>
        <v>0</v>
      </c>
      <c r="CN30" s="65">
        <f t="shared" si="142"/>
        <v>0</v>
      </c>
      <c r="CO30" s="65">
        <f t="shared" si="142"/>
        <v>0</v>
      </c>
      <c r="CP30" s="65">
        <f t="shared" si="142"/>
        <v>0</v>
      </c>
      <c r="CQ30" s="65">
        <f t="shared" si="142"/>
        <v>0</v>
      </c>
      <c r="CR30" s="65">
        <f t="shared" si="142"/>
        <v>0</v>
      </c>
      <c r="CS30" s="65">
        <f t="shared" si="142"/>
        <v>0</v>
      </c>
      <c r="CT30" s="65">
        <f t="shared" si="142"/>
        <v>0</v>
      </c>
      <c r="CU30" s="65">
        <f t="shared" si="142"/>
        <v>0</v>
      </c>
      <c r="CV30" s="65">
        <f t="shared" si="142"/>
        <v>0</v>
      </c>
      <c r="CW30" s="65">
        <f t="shared" si="142"/>
        <v>0</v>
      </c>
      <c r="CX30" s="65">
        <f t="shared" si="143"/>
        <v>0</v>
      </c>
      <c r="CY30" s="65">
        <f t="shared" si="143"/>
        <v>0</v>
      </c>
      <c r="CZ30" s="65">
        <f t="shared" si="143"/>
        <v>0</v>
      </c>
      <c r="DA30" s="65">
        <f t="shared" si="143"/>
        <v>0</v>
      </c>
      <c r="DB30" s="65">
        <f t="shared" si="143"/>
        <v>0</v>
      </c>
      <c r="DC30" s="65">
        <f t="shared" si="143"/>
        <v>0</v>
      </c>
      <c r="DD30" s="65">
        <f t="shared" si="143"/>
        <v>0</v>
      </c>
      <c r="DE30" s="65">
        <f t="shared" si="144"/>
        <v>0</v>
      </c>
      <c r="DF30" s="65">
        <f t="shared" si="144"/>
        <v>0</v>
      </c>
      <c r="DG30" s="65">
        <f t="shared" si="144"/>
        <v>0</v>
      </c>
      <c r="DH30" s="65">
        <f t="shared" si="144"/>
        <v>0</v>
      </c>
      <c r="DI30" s="65">
        <f t="shared" si="144"/>
        <v>0</v>
      </c>
      <c r="DJ30" s="65">
        <f t="shared" si="144"/>
        <v>0</v>
      </c>
      <c r="DK30" s="65">
        <f t="shared" si="144"/>
        <v>0</v>
      </c>
      <c r="DL30" s="65">
        <f t="shared" si="144"/>
        <v>0</v>
      </c>
      <c r="DM30" s="65">
        <f t="shared" si="144"/>
        <v>0</v>
      </c>
      <c r="DN30" s="65">
        <f t="shared" si="144"/>
        <v>0</v>
      </c>
      <c r="DO30" s="65">
        <f t="shared" si="144"/>
        <v>0</v>
      </c>
      <c r="DP30" s="65">
        <f t="shared" si="144"/>
        <v>0</v>
      </c>
      <c r="DQ30" s="65">
        <f t="shared" si="144"/>
        <v>0</v>
      </c>
      <c r="DR30" s="65">
        <f t="shared" si="144"/>
        <v>0</v>
      </c>
      <c r="DS30" s="65">
        <f t="shared" si="144"/>
        <v>0</v>
      </c>
      <c r="DT30" s="65">
        <f t="shared" si="144"/>
        <v>0</v>
      </c>
      <c r="DU30" s="65">
        <f t="shared" si="144"/>
        <v>0</v>
      </c>
      <c r="DV30" s="65">
        <f t="shared" si="144"/>
        <v>0</v>
      </c>
      <c r="DW30" s="65">
        <f t="shared" si="144"/>
        <v>0</v>
      </c>
      <c r="DX30" s="65">
        <f t="shared" si="144"/>
        <v>0</v>
      </c>
      <c r="DY30" s="65">
        <f t="shared" si="144"/>
        <v>0</v>
      </c>
      <c r="DZ30" s="65">
        <f t="shared" si="144"/>
        <v>0</v>
      </c>
      <c r="EA30" s="65">
        <f t="shared" si="144"/>
        <v>0</v>
      </c>
      <c r="EB30" s="65">
        <f t="shared" si="144"/>
        <v>0</v>
      </c>
      <c r="EC30" s="65">
        <f t="shared" si="144"/>
        <v>0</v>
      </c>
      <c r="ED30" s="65">
        <f t="shared" si="144"/>
        <v>0</v>
      </c>
      <c r="EE30" s="65">
        <f t="shared" si="144"/>
        <v>0</v>
      </c>
      <c r="EF30" s="65">
        <f t="shared" si="144"/>
        <v>0</v>
      </c>
      <c r="EG30" s="65">
        <f t="shared" si="144"/>
        <v>0</v>
      </c>
      <c r="EH30" s="65">
        <f t="shared" si="144"/>
        <v>0</v>
      </c>
      <c r="EI30" s="65">
        <f t="shared" si="144"/>
        <v>0</v>
      </c>
      <c r="EJ30" s="65">
        <f t="shared" si="144"/>
        <v>0</v>
      </c>
      <c r="EK30" s="65">
        <f t="shared" si="144"/>
        <v>0</v>
      </c>
      <c r="EL30" s="65">
        <f t="shared" si="144"/>
        <v>0</v>
      </c>
      <c r="EM30" s="65">
        <f t="shared" si="144"/>
        <v>0</v>
      </c>
      <c r="EN30" s="65">
        <f t="shared" si="144"/>
        <v>0</v>
      </c>
      <c r="EO30" s="65">
        <f t="shared" si="144"/>
        <v>0</v>
      </c>
    </row>
    <row r="31" spans="2:145" x14ac:dyDescent="0.45">
      <c r="B31" s="86">
        <f t="shared" ref="B31:C31" si="150">+B14</f>
        <v>900</v>
      </c>
      <c r="C31" s="86" t="str">
        <f t="shared" si="150"/>
        <v>[Retail Tenant]</v>
      </c>
      <c r="F31" s="92">
        <v>36</v>
      </c>
      <c r="H31" s="63">
        <f t="shared" si="146"/>
        <v>0</v>
      </c>
      <c r="I31" s="106">
        <f t="shared" si="147"/>
        <v>0</v>
      </c>
      <c r="J31" s="108">
        <f t="shared" si="133"/>
        <v>0</v>
      </c>
      <c r="L31" s="65">
        <f t="shared" si="134"/>
        <v>0</v>
      </c>
      <c r="M31" s="65">
        <f t="shared" si="134"/>
        <v>0</v>
      </c>
      <c r="N31" s="65">
        <f t="shared" si="134"/>
        <v>0</v>
      </c>
      <c r="O31" s="65">
        <f t="shared" si="134"/>
        <v>0</v>
      </c>
      <c r="P31" s="65">
        <f t="shared" si="134"/>
        <v>0</v>
      </c>
      <c r="Q31" s="65">
        <f t="shared" si="134"/>
        <v>0</v>
      </c>
      <c r="R31" s="65">
        <f t="shared" si="134"/>
        <v>0</v>
      </c>
      <c r="S31" s="65">
        <f t="shared" si="134"/>
        <v>0</v>
      </c>
      <c r="T31" s="65">
        <f t="shared" si="134"/>
        <v>0</v>
      </c>
      <c r="U31" s="65">
        <f t="shared" si="134"/>
        <v>0</v>
      </c>
      <c r="V31" s="65">
        <f t="shared" si="135"/>
        <v>0</v>
      </c>
      <c r="W31" s="65">
        <f t="shared" si="135"/>
        <v>0</v>
      </c>
      <c r="X31" s="65">
        <f t="shared" si="135"/>
        <v>0</v>
      </c>
      <c r="Y31" s="65">
        <f t="shared" si="135"/>
        <v>0</v>
      </c>
      <c r="Z31" s="65">
        <f t="shared" si="135"/>
        <v>0</v>
      </c>
      <c r="AA31" s="65">
        <f t="shared" si="135"/>
        <v>0</v>
      </c>
      <c r="AB31" s="65">
        <f t="shared" si="135"/>
        <v>0</v>
      </c>
      <c r="AC31" s="65">
        <f t="shared" si="135"/>
        <v>0</v>
      </c>
      <c r="AD31" s="65">
        <f t="shared" si="135"/>
        <v>0</v>
      </c>
      <c r="AE31" s="65">
        <f t="shared" si="135"/>
        <v>0</v>
      </c>
      <c r="AF31" s="65">
        <f t="shared" si="136"/>
        <v>0</v>
      </c>
      <c r="AG31" s="65">
        <f t="shared" si="136"/>
        <v>0</v>
      </c>
      <c r="AH31" s="65">
        <f t="shared" si="136"/>
        <v>0</v>
      </c>
      <c r="AI31" s="65">
        <f t="shared" si="136"/>
        <v>0</v>
      </c>
      <c r="AJ31" s="65">
        <f t="shared" si="136"/>
        <v>0</v>
      </c>
      <c r="AK31" s="65">
        <f t="shared" si="136"/>
        <v>0</v>
      </c>
      <c r="AL31" s="65">
        <f t="shared" si="136"/>
        <v>0</v>
      </c>
      <c r="AM31" s="65">
        <f t="shared" si="136"/>
        <v>0</v>
      </c>
      <c r="AN31" s="65">
        <f t="shared" si="136"/>
        <v>0</v>
      </c>
      <c r="AO31" s="65">
        <f t="shared" si="136"/>
        <v>0</v>
      </c>
      <c r="AP31" s="65">
        <f t="shared" si="137"/>
        <v>0</v>
      </c>
      <c r="AQ31" s="65">
        <f t="shared" si="137"/>
        <v>0</v>
      </c>
      <c r="AR31" s="65">
        <f t="shared" si="137"/>
        <v>0</v>
      </c>
      <c r="AS31" s="65">
        <f t="shared" si="137"/>
        <v>0</v>
      </c>
      <c r="AT31" s="65">
        <f t="shared" si="137"/>
        <v>0</v>
      </c>
      <c r="AU31" s="65">
        <f t="shared" si="137"/>
        <v>0</v>
      </c>
      <c r="AV31" s="65">
        <f t="shared" si="137"/>
        <v>0</v>
      </c>
      <c r="AW31" s="65">
        <f t="shared" si="137"/>
        <v>0</v>
      </c>
      <c r="AX31" s="65">
        <f t="shared" si="137"/>
        <v>0</v>
      </c>
      <c r="AY31" s="65">
        <f t="shared" si="137"/>
        <v>0</v>
      </c>
      <c r="AZ31" s="65">
        <f t="shared" si="138"/>
        <v>0</v>
      </c>
      <c r="BA31" s="65">
        <f t="shared" si="138"/>
        <v>0</v>
      </c>
      <c r="BB31" s="65">
        <f t="shared" si="138"/>
        <v>0</v>
      </c>
      <c r="BC31" s="65">
        <f t="shared" si="138"/>
        <v>0</v>
      </c>
      <c r="BD31" s="65">
        <f t="shared" si="138"/>
        <v>0</v>
      </c>
      <c r="BE31" s="65">
        <f t="shared" si="138"/>
        <v>0</v>
      </c>
      <c r="BF31" s="65">
        <f t="shared" si="138"/>
        <v>0</v>
      </c>
      <c r="BG31" s="65">
        <f t="shared" si="138"/>
        <v>0</v>
      </c>
      <c r="BH31" s="65">
        <f t="shared" si="138"/>
        <v>0</v>
      </c>
      <c r="BI31" s="65">
        <f t="shared" si="138"/>
        <v>0</v>
      </c>
      <c r="BJ31" s="65">
        <f t="shared" si="139"/>
        <v>0</v>
      </c>
      <c r="BK31" s="65">
        <f t="shared" si="139"/>
        <v>0</v>
      </c>
      <c r="BL31" s="65">
        <f t="shared" si="139"/>
        <v>0</v>
      </c>
      <c r="BM31" s="65">
        <f t="shared" si="139"/>
        <v>0</v>
      </c>
      <c r="BN31" s="65">
        <f t="shared" si="139"/>
        <v>0</v>
      </c>
      <c r="BO31" s="65">
        <f t="shared" si="139"/>
        <v>0</v>
      </c>
      <c r="BP31" s="65">
        <f t="shared" si="139"/>
        <v>0</v>
      </c>
      <c r="BQ31" s="65">
        <f t="shared" si="139"/>
        <v>0</v>
      </c>
      <c r="BR31" s="65">
        <f t="shared" si="139"/>
        <v>0</v>
      </c>
      <c r="BS31" s="65">
        <f t="shared" si="139"/>
        <v>0</v>
      </c>
      <c r="BT31" s="65">
        <f t="shared" si="140"/>
        <v>0</v>
      </c>
      <c r="BU31" s="65">
        <f t="shared" si="140"/>
        <v>0</v>
      </c>
      <c r="BV31" s="65">
        <f t="shared" si="140"/>
        <v>0</v>
      </c>
      <c r="BW31" s="65">
        <f t="shared" si="140"/>
        <v>0</v>
      </c>
      <c r="BX31" s="65">
        <f t="shared" si="140"/>
        <v>0</v>
      </c>
      <c r="BY31" s="65">
        <f t="shared" si="140"/>
        <v>0</v>
      </c>
      <c r="BZ31" s="65">
        <f t="shared" si="140"/>
        <v>0</v>
      </c>
      <c r="CA31" s="65">
        <f t="shared" si="140"/>
        <v>0</v>
      </c>
      <c r="CB31" s="65">
        <f t="shared" si="140"/>
        <v>0</v>
      </c>
      <c r="CC31" s="65">
        <f t="shared" si="140"/>
        <v>0</v>
      </c>
      <c r="CD31" s="65">
        <f t="shared" si="141"/>
        <v>0</v>
      </c>
      <c r="CE31" s="65">
        <f t="shared" si="141"/>
        <v>0</v>
      </c>
      <c r="CF31" s="65">
        <f t="shared" si="141"/>
        <v>0</v>
      </c>
      <c r="CG31" s="65">
        <f t="shared" si="141"/>
        <v>0</v>
      </c>
      <c r="CH31" s="65">
        <f t="shared" si="141"/>
        <v>0</v>
      </c>
      <c r="CI31" s="65">
        <f t="shared" si="141"/>
        <v>0</v>
      </c>
      <c r="CJ31" s="65">
        <f t="shared" si="141"/>
        <v>0</v>
      </c>
      <c r="CK31" s="65">
        <f t="shared" si="141"/>
        <v>0</v>
      </c>
      <c r="CL31" s="65">
        <f t="shared" si="141"/>
        <v>0</v>
      </c>
      <c r="CM31" s="65">
        <f t="shared" si="141"/>
        <v>0</v>
      </c>
      <c r="CN31" s="65">
        <f t="shared" si="142"/>
        <v>0</v>
      </c>
      <c r="CO31" s="65">
        <f t="shared" si="142"/>
        <v>0</v>
      </c>
      <c r="CP31" s="65">
        <f t="shared" si="142"/>
        <v>0</v>
      </c>
      <c r="CQ31" s="65">
        <f t="shared" si="142"/>
        <v>0</v>
      </c>
      <c r="CR31" s="65">
        <f t="shared" si="142"/>
        <v>0</v>
      </c>
      <c r="CS31" s="65">
        <f t="shared" si="142"/>
        <v>0</v>
      </c>
      <c r="CT31" s="65">
        <f t="shared" si="142"/>
        <v>0</v>
      </c>
      <c r="CU31" s="65">
        <f t="shared" si="142"/>
        <v>0</v>
      </c>
      <c r="CV31" s="65">
        <f t="shared" si="142"/>
        <v>0</v>
      </c>
      <c r="CW31" s="65">
        <f t="shared" si="142"/>
        <v>0</v>
      </c>
      <c r="CX31" s="65">
        <f t="shared" si="143"/>
        <v>0</v>
      </c>
      <c r="CY31" s="65">
        <f t="shared" si="143"/>
        <v>0</v>
      </c>
      <c r="CZ31" s="65">
        <f t="shared" si="143"/>
        <v>0</v>
      </c>
      <c r="DA31" s="65">
        <f t="shared" si="143"/>
        <v>0</v>
      </c>
      <c r="DB31" s="65">
        <f t="shared" si="143"/>
        <v>0</v>
      </c>
      <c r="DC31" s="65">
        <f t="shared" si="143"/>
        <v>0</v>
      </c>
      <c r="DD31" s="65">
        <f t="shared" si="143"/>
        <v>0</v>
      </c>
      <c r="DE31" s="65">
        <f t="shared" si="144"/>
        <v>0</v>
      </c>
      <c r="DF31" s="65">
        <f t="shared" si="144"/>
        <v>0</v>
      </c>
      <c r="DG31" s="65">
        <f t="shared" si="144"/>
        <v>0</v>
      </c>
      <c r="DH31" s="65">
        <f t="shared" si="144"/>
        <v>0</v>
      </c>
      <c r="DI31" s="65">
        <f t="shared" si="144"/>
        <v>0</v>
      </c>
      <c r="DJ31" s="65">
        <f t="shared" si="144"/>
        <v>0</v>
      </c>
      <c r="DK31" s="65">
        <f t="shared" si="144"/>
        <v>0</v>
      </c>
      <c r="DL31" s="65">
        <f t="shared" si="144"/>
        <v>0</v>
      </c>
      <c r="DM31" s="65">
        <f t="shared" si="144"/>
        <v>0</v>
      </c>
      <c r="DN31" s="65">
        <f t="shared" si="144"/>
        <v>0</v>
      </c>
      <c r="DO31" s="65">
        <f t="shared" si="144"/>
        <v>0</v>
      </c>
      <c r="DP31" s="65">
        <f t="shared" si="144"/>
        <v>0</v>
      </c>
      <c r="DQ31" s="65">
        <f t="shared" si="144"/>
        <v>0</v>
      </c>
      <c r="DR31" s="65">
        <f t="shared" si="144"/>
        <v>0</v>
      </c>
      <c r="DS31" s="65">
        <f t="shared" si="144"/>
        <v>0</v>
      </c>
      <c r="DT31" s="65">
        <f t="shared" si="144"/>
        <v>0</v>
      </c>
      <c r="DU31" s="65">
        <f t="shared" si="144"/>
        <v>0</v>
      </c>
      <c r="DV31" s="65">
        <f t="shared" si="144"/>
        <v>0</v>
      </c>
      <c r="DW31" s="65">
        <f t="shared" si="144"/>
        <v>0</v>
      </c>
      <c r="DX31" s="65">
        <f t="shared" si="144"/>
        <v>0</v>
      </c>
      <c r="DY31" s="65">
        <f t="shared" si="144"/>
        <v>0</v>
      </c>
      <c r="DZ31" s="65">
        <f t="shared" si="144"/>
        <v>0</v>
      </c>
      <c r="EA31" s="65">
        <f t="shared" si="144"/>
        <v>0</v>
      </c>
      <c r="EB31" s="65">
        <f t="shared" si="144"/>
        <v>0</v>
      </c>
      <c r="EC31" s="65">
        <f t="shared" si="144"/>
        <v>0</v>
      </c>
      <c r="ED31" s="65">
        <f t="shared" si="144"/>
        <v>0</v>
      </c>
      <c r="EE31" s="65">
        <f t="shared" si="144"/>
        <v>0</v>
      </c>
      <c r="EF31" s="65">
        <f t="shared" si="144"/>
        <v>0</v>
      </c>
      <c r="EG31" s="65">
        <f t="shared" si="144"/>
        <v>0</v>
      </c>
      <c r="EH31" s="65">
        <f t="shared" si="144"/>
        <v>0</v>
      </c>
      <c r="EI31" s="65">
        <f t="shared" si="144"/>
        <v>0</v>
      </c>
      <c r="EJ31" s="65">
        <f t="shared" si="144"/>
        <v>0</v>
      </c>
      <c r="EK31" s="65">
        <f t="shared" si="144"/>
        <v>0</v>
      </c>
      <c r="EL31" s="65">
        <f t="shared" si="144"/>
        <v>0</v>
      </c>
      <c r="EM31" s="65">
        <f t="shared" si="144"/>
        <v>0</v>
      </c>
      <c r="EN31" s="65">
        <f t="shared" si="144"/>
        <v>0</v>
      </c>
      <c r="EO31" s="65">
        <f t="shared" si="144"/>
        <v>0</v>
      </c>
    </row>
    <row r="32" spans="2:145" x14ac:dyDescent="0.45">
      <c r="B32" s="86">
        <f t="shared" ref="B32:C32" si="151">+B15</f>
        <v>1000</v>
      </c>
      <c r="C32" s="86" t="str">
        <f t="shared" si="151"/>
        <v>[Retail Tenant]</v>
      </c>
      <c r="F32" s="92">
        <v>1</v>
      </c>
      <c r="H32" s="63">
        <f t="shared" si="146"/>
        <v>0</v>
      </c>
      <c r="I32" s="106">
        <f t="shared" si="147"/>
        <v>0</v>
      </c>
      <c r="J32" s="108">
        <f t="shared" si="133"/>
        <v>0</v>
      </c>
      <c r="L32" s="65">
        <f t="shared" si="134"/>
        <v>0</v>
      </c>
      <c r="M32" s="65">
        <f t="shared" si="134"/>
        <v>0</v>
      </c>
      <c r="N32" s="65">
        <f t="shared" si="134"/>
        <v>0</v>
      </c>
      <c r="O32" s="65">
        <f t="shared" si="134"/>
        <v>0</v>
      </c>
      <c r="P32" s="65">
        <f t="shared" si="134"/>
        <v>0</v>
      </c>
      <c r="Q32" s="65">
        <f t="shared" si="134"/>
        <v>0</v>
      </c>
      <c r="R32" s="65">
        <f t="shared" si="134"/>
        <v>0</v>
      </c>
      <c r="S32" s="65">
        <f t="shared" si="134"/>
        <v>0</v>
      </c>
      <c r="T32" s="65">
        <f t="shared" si="134"/>
        <v>0</v>
      </c>
      <c r="U32" s="65">
        <f t="shared" si="134"/>
        <v>0</v>
      </c>
      <c r="V32" s="65">
        <f t="shared" si="135"/>
        <v>0</v>
      </c>
      <c r="W32" s="65">
        <f t="shared" si="135"/>
        <v>0</v>
      </c>
      <c r="X32" s="65">
        <f t="shared" si="135"/>
        <v>0</v>
      </c>
      <c r="Y32" s="65">
        <f t="shared" si="135"/>
        <v>0</v>
      </c>
      <c r="Z32" s="65">
        <f t="shared" si="135"/>
        <v>0</v>
      </c>
      <c r="AA32" s="65">
        <f t="shared" si="135"/>
        <v>0</v>
      </c>
      <c r="AB32" s="65">
        <f t="shared" si="135"/>
        <v>0</v>
      </c>
      <c r="AC32" s="65">
        <f t="shared" si="135"/>
        <v>0</v>
      </c>
      <c r="AD32" s="65">
        <f t="shared" si="135"/>
        <v>0</v>
      </c>
      <c r="AE32" s="65">
        <f t="shared" si="135"/>
        <v>0</v>
      </c>
      <c r="AF32" s="65">
        <f t="shared" si="136"/>
        <v>0</v>
      </c>
      <c r="AG32" s="65">
        <f t="shared" si="136"/>
        <v>0</v>
      </c>
      <c r="AH32" s="65">
        <f t="shared" si="136"/>
        <v>0</v>
      </c>
      <c r="AI32" s="65">
        <f t="shared" si="136"/>
        <v>0</v>
      </c>
      <c r="AJ32" s="65">
        <f t="shared" si="136"/>
        <v>0</v>
      </c>
      <c r="AK32" s="65">
        <f t="shared" si="136"/>
        <v>0</v>
      </c>
      <c r="AL32" s="65">
        <f t="shared" si="136"/>
        <v>0</v>
      </c>
      <c r="AM32" s="65">
        <f t="shared" si="136"/>
        <v>0</v>
      </c>
      <c r="AN32" s="65">
        <f t="shared" si="136"/>
        <v>0</v>
      </c>
      <c r="AO32" s="65">
        <f t="shared" si="136"/>
        <v>0</v>
      </c>
      <c r="AP32" s="65">
        <f t="shared" si="137"/>
        <v>0</v>
      </c>
      <c r="AQ32" s="65">
        <f t="shared" si="137"/>
        <v>0</v>
      </c>
      <c r="AR32" s="65">
        <f t="shared" si="137"/>
        <v>0</v>
      </c>
      <c r="AS32" s="65">
        <f t="shared" si="137"/>
        <v>0</v>
      </c>
      <c r="AT32" s="65">
        <f t="shared" si="137"/>
        <v>0</v>
      </c>
      <c r="AU32" s="65">
        <f t="shared" si="137"/>
        <v>0</v>
      </c>
      <c r="AV32" s="65">
        <f t="shared" si="137"/>
        <v>0</v>
      </c>
      <c r="AW32" s="65">
        <f t="shared" si="137"/>
        <v>0</v>
      </c>
      <c r="AX32" s="65">
        <f t="shared" si="137"/>
        <v>0</v>
      </c>
      <c r="AY32" s="65">
        <f t="shared" si="137"/>
        <v>0</v>
      </c>
      <c r="AZ32" s="65">
        <f t="shared" si="138"/>
        <v>0</v>
      </c>
      <c r="BA32" s="65">
        <f t="shared" si="138"/>
        <v>0</v>
      </c>
      <c r="BB32" s="65">
        <f t="shared" si="138"/>
        <v>0</v>
      </c>
      <c r="BC32" s="65">
        <f t="shared" si="138"/>
        <v>0</v>
      </c>
      <c r="BD32" s="65">
        <f t="shared" si="138"/>
        <v>0</v>
      </c>
      <c r="BE32" s="65">
        <f t="shared" si="138"/>
        <v>0</v>
      </c>
      <c r="BF32" s="65">
        <f t="shared" si="138"/>
        <v>0</v>
      </c>
      <c r="BG32" s="65">
        <f t="shared" si="138"/>
        <v>0</v>
      </c>
      <c r="BH32" s="65">
        <f t="shared" si="138"/>
        <v>0</v>
      </c>
      <c r="BI32" s="65">
        <f t="shared" si="138"/>
        <v>0</v>
      </c>
      <c r="BJ32" s="65">
        <f t="shared" si="139"/>
        <v>0</v>
      </c>
      <c r="BK32" s="65">
        <f t="shared" si="139"/>
        <v>0</v>
      </c>
      <c r="BL32" s="65">
        <f t="shared" si="139"/>
        <v>0</v>
      </c>
      <c r="BM32" s="65">
        <f t="shared" si="139"/>
        <v>0</v>
      </c>
      <c r="BN32" s="65">
        <f t="shared" si="139"/>
        <v>0</v>
      </c>
      <c r="BO32" s="65">
        <f t="shared" si="139"/>
        <v>0</v>
      </c>
      <c r="BP32" s="65">
        <f t="shared" si="139"/>
        <v>0</v>
      </c>
      <c r="BQ32" s="65">
        <f t="shared" si="139"/>
        <v>0</v>
      </c>
      <c r="BR32" s="65">
        <f t="shared" si="139"/>
        <v>0</v>
      </c>
      <c r="BS32" s="65">
        <f t="shared" si="139"/>
        <v>0</v>
      </c>
      <c r="BT32" s="65">
        <f t="shared" si="140"/>
        <v>0</v>
      </c>
      <c r="BU32" s="65">
        <f t="shared" si="140"/>
        <v>0</v>
      </c>
      <c r="BV32" s="65">
        <f t="shared" si="140"/>
        <v>0</v>
      </c>
      <c r="BW32" s="65">
        <f t="shared" si="140"/>
        <v>0</v>
      </c>
      <c r="BX32" s="65">
        <f t="shared" si="140"/>
        <v>0</v>
      </c>
      <c r="BY32" s="65">
        <f t="shared" si="140"/>
        <v>0</v>
      </c>
      <c r="BZ32" s="65">
        <f t="shared" si="140"/>
        <v>0</v>
      </c>
      <c r="CA32" s="65">
        <f t="shared" si="140"/>
        <v>0</v>
      </c>
      <c r="CB32" s="65">
        <f t="shared" si="140"/>
        <v>0</v>
      </c>
      <c r="CC32" s="65">
        <f t="shared" si="140"/>
        <v>0</v>
      </c>
      <c r="CD32" s="65">
        <f t="shared" si="141"/>
        <v>0</v>
      </c>
      <c r="CE32" s="65">
        <f t="shared" si="141"/>
        <v>0</v>
      </c>
      <c r="CF32" s="65">
        <f t="shared" si="141"/>
        <v>0</v>
      </c>
      <c r="CG32" s="65">
        <f t="shared" si="141"/>
        <v>0</v>
      </c>
      <c r="CH32" s="65">
        <f t="shared" si="141"/>
        <v>0</v>
      </c>
      <c r="CI32" s="65">
        <f t="shared" si="141"/>
        <v>0</v>
      </c>
      <c r="CJ32" s="65">
        <f t="shared" si="141"/>
        <v>0</v>
      </c>
      <c r="CK32" s="65">
        <f t="shared" si="141"/>
        <v>0</v>
      </c>
      <c r="CL32" s="65">
        <f t="shared" si="141"/>
        <v>0</v>
      </c>
      <c r="CM32" s="65">
        <f t="shared" si="141"/>
        <v>0</v>
      </c>
      <c r="CN32" s="65">
        <f t="shared" si="142"/>
        <v>0</v>
      </c>
      <c r="CO32" s="65">
        <f t="shared" si="142"/>
        <v>0</v>
      </c>
      <c r="CP32" s="65">
        <f t="shared" si="142"/>
        <v>0</v>
      </c>
      <c r="CQ32" s="65">
        <f t="shared" si="142"/>
        <v>0</v>
      </c>
      <c r="CR32" s="65">
        <f t="shared" si="142"/>
        <v>0</v>
      </c>
      <c r="CS32" s="65">
        <f t="shared" si="142"/>
        <v>0</v>
      </c>
      <c r="CT32" s="65">
        <f t="shared" si="142"/>
        <v>0</v>
      </c>
      <c r="CU32" s="65">
        <f t="shared" si="142"/>
        <v>0</v>
      </c>
      <c r="CV32" s="65">
        <f t="shared" si="142"/>
        <v>0</v>
      </c>
      <c r="CW32" s="65">
        <f t="shared" si="142"/>
        <v>0</v>
      </c>
      <c r="CX32" s="65">
        <f t="shared" si="143"/>
        <v>0</v>
      </c>
      <c r="CY32" s="65">
        <f t="shared" si="143"/>
        <v>0</v>
      </c>
      <c r="CZ32" s="65">
        <f t="shared" si="143"/>
        <v>0</v>
      </c>
      <c r="DA32" s="65">
        <f t="shared" si="143"/>
        <v>0</v>
      </c>
      <c r="DB32" s="65">
        <f t="shared" si="143"/>
        <v>0</v>
      </c>
      <c r="DC32" s="65">
        <f t="shared" si="143"/>
        <v>0</v>
      </c>
      <c r="DD32" s="65">
        <f t="shared" si="143"/>
        <v>0</v>
      </c>
      <c r="DE32" s="65">
        <f t="shared" si="144"/>
        <v>0</v>
      </c>
      <c r="DF32" s="65">
        <f t="shared" si="144"/>
        <v>0</v>
      </c>
      <c r="DG32" s="65">
        <f t="shared" si="144"/>
        <v>0</v>
      </c>
      <c r="DH32" s="65">
        <f t="shared" si="144"/>
        <v>0</v>
      </c>
      <c r="DI32" s="65">
        <f t="shared" si="144"/>
        <v>0</v>
      </c>
      <c r="DJ32" s="65">
        <f t="shared" si="144"/>
        <v>0</v>
      </c>
      <c r="DK32" s="65">
        <f t="shared" si="144"/>
        <v>0</v>
      </c>
      <c r="DL32" s="65">
        <f t="shared" si="144"/>
        <v>0</v>
      </c>
      <c r="DM32" s="65">
        <f t="shared" si="144"/>
        <v>0</v>
      </c>
      <c r="DN32" s="65">
        <f t="shared" si="144"/>
        <v>0</v>
      </c>
      <c r="DO32" s="65">
        <f t="shared" si="144"/>
        <v>0</v>
      </c>
      <c r="DP32" s="65">
        <f t="shared" si="144"/>
        <v>0</v>
      </c>
      <c r="DQ32" s="65">
        <f t="shared" si="144"/>
        <v>0</v>
      </c>
      <c r="DR32" s="65">
        <f t="shared" si="144"/>
        <v>0</v>
      </c>
      <c r="DS32" s="65">
        <f t="shared" si="144"/>
        <v>0</v>
      </c>
      <c r="DT32" s="65">
        <f t="shared" si="144"/>
        <v>0</v>
      </c>
      <c r="DU32" s="65">
        <f t="shared" si="144"/>
        <v>0</v>
      </c>
      <c r="DV32" s="65">
        <f t="shared" si="144"/>
        <v>0</v>
      </c>
      <c r="DW32" s="65">
        <f t="shared" si="144"/>
        <v>0</v>
      </c>
      <c r="DX32" s="65">
        <f t="shared" si="144"/>
        <v>0</v>
      </c>
      <c r="DY32" s="65">
        <f t="shared" si="144"/>
        <v>0</v>
      </c>
      <c r="DZ32" s="65">
        <f t="shared" si="144"/>
        <v>0</v>
      </c>
      <c r="EA32" s="65">
        <f t="shared" si="144"/>
        <v>0</v>
      </c>
      <c r="EB32" s="65">
        <f t="shared" si="144"/>
        <v>0</v>
      </c>
      <c r="EC32" s="65">
        <f t="shared" si="144"/>
        <v>0</v>
      </c>
      <c r="ED32" s="65">
        <f t="shared" si="144"/>
        <v>0</v>
      </c>
      <c r="EE32" s="65">
        <f t="shared" si="144"/>
        <v>0</v>
      </c>
      <c r="EF32" s="65">
        <f t="shared" si="144"/>
        <v>0</v>
      </c>
      <c r="EG32" s="65">
        <f t="shared" si="144"/>
        <v>0</v>
      </c>
      <c r="EH32" s="65">
        <f t="shared" si="144"/>
        <v>0</v>
      </c>
      <c r="EI32" s="65">
        <f t="shared" si="144"/>
        <v>0</v>
      </c>
      <c r="EJ32" s="65">
        <f t="shared" si="144"/>
        <v>0</v>
      </c>
      <c r="EK32" s="65">
        <f t="shared" si="144"/>
        <v>0</v>
      </c>
      <c r="EL32" s="65">
        <f t="shared" si="144"/>
        <v>0</v>
      </c>
      <c r="EM32" s="65">
        <f t="shared" si="144"/>
        <v>0</v>
      </c>
      <c r="EN32" s="65">
        <f t="shared" si="144"/>
        <v>0</v>
      </c>
      <c r="EO32" s="65">
        <f t="shared" si="144"/>
        <v>0</v>
      </c>
    </row>
    <row r="33" spans="2:145" x14ac:dyDescent="0.45">
      <c r="B33" s="86">
        <f t="shared" ref="B33:C33" si="152">+B16</f>
        <v>1100</v>
      </c>
      <c r="C33" s="86" t="str">
        <f t="shared" si="152"/>
        <v>[Retail Tenant]</v>
      </c>
      <c r="F33" s="92">
        <v>1</v>
      </c>
      <c r="H33" s="63">
        <f t="shared" si="146"/>
        <v>0</v>
      </c>
      <c r="I33" s="106">
        <f t="shared" si="147"/>
        <v>0</v>
      </c>
      <c r="J33" s="108">
        <f t="shared" si="133"/>
        <v>0</v>
      </c>
      <c r="L33" s="65">
        <f t="shared" si="134"/>
        <v>0</v>
      </c>
      <c r="M33" s="65">
        <f t="shared" si="134"/>
        <v>0</v>
      </c>
      <c r="N33" s="65">
        <f t="shared" si="134"/>
        <v>0</v>
      </c>
      <c r="O33" s="65">
        <f t="shared" si="134"/>
        <v>0</v>
      </c>
      <c r="P33" s="65">
        <f t="shared" si="134"/>
        <v>0</v>
      </c>
      <c r="Q33" s="65">
        <f t="shared" si="134"/>
        <v>0</v>
      </c>
      <c r="R33" s="65">
        <f t="shared" si="134"/>
        <v>0</v>
      </c>
      <c r="S33" s="65">
        <f t="shared" si="134"/>
        <v>0</v>
      </c>
      <c r="T33" s="65">
        <f t="shared" si="134"/>
        <v>0</v>
      </c>
      <c r="U33" s="65">
        <f t="shared" si="134"/>
        <v>0</v>
      </c>
      <c r="V33" s="65">
        <f t="shared" si="135"/>
        <v>0</v>
      </c>
      <c r="W33" s="65">
        <f t="shared" si="135"/>
        <v>0</v>
      </c>
      <c r="X33" s="65">
        <f t="shared" si="135"/>
        <v>0</v>
      </c>
      <c r="Y33" s="65">
        <f t="shared" si="135"/>
        <v>0</v>
      </c>
      <c r="Z33" s="65">
        <f t="shared" si="135"/>
        <v>0</v>
      </c>
      <c r="AA33" s="65">
        <f t="shared" si="135"/>
        <v>0</v>
      </c>
      <c r="AB33" s="65">
        <f t="shared" si="135"/>
        <v>0</v>
      </c>
      <c r="AC33" s="65">
        <f t="shared" si="135"/>
        <v>0</v>
      </c>
      <c r="AD33" s="65">
        <f t="shared" si="135"/>
        <v>0</v>
      </c>
      <c r="AE33" s="65">
        <f t="shared" si="135"/>
        <v>0</v>
      </c>
      <c r="AF33" s="65">
        <f t="shared" si="136"/>
        <v>0</v>
      </c>
      <c r="AG33" s="65">
        <f t="shared" si="136"/>
        <v>0</v>
      </c>
      <c r="AH33" s="65">
        <f t="shared" si="136"/>
        <v>0</v>
      </c>
      <c r="AI33" s="65">
        <f t="shared" si="136"/>
        <v>0</v>
      </c>
      <c r="AJ33" s="65">
        <f t="shared" si="136"/>
        <v>0</v>
      </c>
      <c r="AK33" s="65">
        <f t="shared" si="136"/>
        <v>0</v>
      </c>
      <c r="AL33" s="65">
        <f t="shared" si="136"/>
        <v>0</v>
      </c>
      <c r="AM33" s="65">
        <f t="shared" si="136"/>
        <v>0</v>
      </c>
      <c r="AN33" s="65">
        <f t="shared" si="136"/>
        <v>0</v>
      </c>
      <c r="AO33" s="65">
        <f t="shared" si="136"/>
        <v>0</v>
      </c>
      <c r="AP33" s="65">
        <f t="shared" si="137"/>
        <v>0</v>
      </c>
      <c r="AQ33" s="65">
        <f t="shared" si="137"/>
        <v>0</v>
      </c>
      <c r="AR33" s="65">
        <f t="shared" si="137"/>
        <v>0</v>
      </c>
      <c r="AS33" s="65">
        <f t="shared" si="137"/>
        <v>0</v>
      </c>
      <c r="AT33" s="65">
        <f t="shared" si="137"/>
        <v>0</v>
      </c>
      <c r="AU33" s="65">
        <f t="shared" si="137"/>
        <v>0</v>
      </c>
      <c r="AV33" s="65">
        <f t="shared" si="137"/>
        <v>0</v>
      </c>
      <c r="AW33" s="65">
        <f t="shared" si="137"/>
        <v>0</v>
      </c>
      <c r="AX33" s="65">
        <f t="shared" si="137"/>
        <v>0</v>
      </c>
      <c r="AY33" s="65">
        <f t="shared" si="137"/>
        <v>0</v>
      </c>
      <c r="AZ33" s="65">
        <f t="shared" si="138"/>
        <v>0</v>
      </c>
      <c r="BA33" s="65">
        <f t="shared" si="138"/>
        <v>0</v>
      </c>
      <c r="BB33" s="65">
        <f t="shared" si="138"/>
        <v>0</v>
      </c>
      <c r="BC33" s="65">
        <f t="shared" si="138"/>
        <v>0</v>
      </c>
      <c r="BD33" s="65">
        <f t="shared" si="138"/>
        <v>0</v>
      </c>
      <c r="BE33" s="65">
        <f t="shared" si="138"/>
        <v>0</v>
      </c>
      <c r="BF33" s="65">
        <f t="shared" si="138"/>
        <v>0</v>
      </c>
      <c r="BG33" s="65">
        <f t="shared" si="138"/>
        <v>0</v>
      </c>
      <c r="BH33" s="65">
        <f t="shared" si="138"/>
        <v>0</v>
      </c>
      <c r="BI33" s="65">
        <f t="shared" si="138"/>
        <v>0</v>
      </c>
      <c r="BJ33" s="65">
        <f t="shared" si="139"/>
        <v>0</v>
      </c>
      <c r="BK33" s="65">
        <f t="shared" si="139"/>
        <v>0</v>
      </c>
      <c r="BL33" s="65">
        <f t="shared" si="139"/>
        <v>0</v>
      </c>
      <c r="BM33" s="65">
        <f t="shared" si="139"/>
        <v>0</v>
      </c>
      <c r="BN33" s="65">
        <f t="shared" si="139"/>
        <v>0</v>
      </c>
      <c r="BO33" s="65">
        <f t="shared" si="139"/>
        <v>0</v>
      </c>
      <c r="BP33" s="65">
        <f t="shared" si="139"/>
        <v>0</v>
      </c>
      <c r="BQ33" s="65">
        <f t="shared" si="139"/>
        <v>0</v>
      </c>
      <c r="BR33" s="65">
        <f t="shared" si="139"/>
        <v>0</v>
      </c>
      <c r="BS33" s="65">
        <f t="shared" si="139"/>
        <v>0</v>
      </c>
      <c r="BT33" s="65">
        <f t="shared" si="140"/>
        <v>0</v>
      </c>
      <c r="BU33" s="65">
        <f t="shared" si="140"/>
        <v>0</v>
      </c>
      <c r="BV33" s="65">
        <f t="shared" si="140"/>
        <v>0</v>
      </c>
      <c r="BW33" s="65">
        <f t="shared" si="140"/>
        <v>0</v>
      </c>
      <c r="BX33" s="65">
        <f t="shared" si="140"/>
        <v>0</v>
      </c>
      <c r="BY33" s="65">
        <f t="shared" si="140"/>
        <v>0</v>
      </c>
      <c r="BZ33" s="65">
        <f t="shared" si="140"/>
        <v>0</v>
      </c>
      <c r="CA33" s="65">
        <f t="shared" si="140"/>
        <v>0</v>
      </c>
      <c r="CB33" s="65">
        <f t="shared" si="140"/>
        <v>0</v>
      </c>
      <c r="CC33" s="65">
        <f t="shared" si="140"/>
        <v>0</v>
      </c>
      <c r="CD33" s="65">
        <f t="shared" si="141"/>
        <v>0</v>
      </c>
      <c r="CE33" s="65">
        <f t="shared" si="141"/>
        <v>0</v>
      </c>
      <c r="CF33" s="65">
        <f t="shared" si="141"/>
        <v>0</v>
      </c>
      <c r="CG33" s="65">
        <f t="shared" si="141"/>
        <v>0</v>
      </c>
      <c r="CH33" s="65">
        <f t="shared" si="141"/>
        <v>0</v>
      </c>
      <c r="CI33" s="65">
        <f t="shared" si="141"/>
        <v>0</v>
      </c>
      <c r="CJ33" s="65">
        <f t="shared" si="141"/>
        <v>0</v>
      </c>
      <c r="CK33" s="65">
        <f t="shared" si="141"/>
        <v>0</v>
      </c>
      <c r="CL33" s="65">
        <f t="shared" si="141"/>
        <v>0</v>
      </c>
      <c r="CM33" s="65">
        <f t="shared" si="141"/>
        <v>0</v>
      </c>
      <c r="CN33" s="65">
        <f t="shared" si="142"/>
        <v>0</v>
      </c>
      <c r="CO33" s="65">
        <f t="shared" si="142"/>
        <v>0</v>
      </c>
      <c r="CP33" s="65">
        <f t="shared" si="142"/>
        <v>0</v>
      </c>
      <c r="CQ33" s="65">
        <f t="shared" si="142"/>
        <v>0</v>
      </c>
      <c r="CR33" s="65">
        <f t="shared" si="142"/>
        <v>0</v>
      </c>
      <c r="CS33" s="65">
        <f t="shared" si="142"/>
        <v>0</v>
      </c>
      <c r="CT33" s="65">
        <f t="shared" si="142"/>
        <v>0</v>
      </c>
      <c r="CU33" s="65">
        <f t="shared" si="142"/>
        <v>0</v>
      </c>
      <c r="CV33" s="65">
        <f t="shared" si="142"/>
        <v>0</v>
      </c>
      <c r="CW33" s="65">
        <f t="shared" si="142"/>
        <v>0</v>
      </c>
      <c r="CX33" s="65">
        <f t="shared" si="143"/>
        <v>0</v>
      </c>
      <c r="CY33" s="65">
        <f t="shared" si="143"/>
        <v>0</v>
      </c>
      <c r="CZ33" s="65">
        <f t="shared" si="143"/>
        <v>0</v>
      </c>
      <c r="DA33" s="65">
        <f t="shared" si="143"/>
        <v>0</v>
      </c>
      <c r="DB33" s="65">
        <f t="shared" si="143"/>
        <v>0</v>
      </c>
      <c r="DC33" s="65">
        <f t="shared" si="143"/>
        <v>0</v>
      </c>
      <c r="DD33" s="65">
        <f t="shared" si="143"/>
        <v>0</v>
      </c>
      <c r="DE33" s="65">
        <f t="shared" si="144"/>
        <v>0</v>
      </c>
      <c r="DF33" s="65">
        <f t="shared" si="144"/>
        <v>0</v>
      </c>
      <c r="DG33" s="65">
        <f t="shared" si="144"/>
        <v>0</v>
      </c>
      <c r="DH33" s="65">
        <f t="shared" si="144"/>
        <v>0</v>
      </c>
      <c r="DI33" s="65">
        <f t="shared" si="144"/>
        <v>0</v>
      </c>
      <c r="DJ33" s="65">
        <f t="shared" si="144"/>
        <v>0</v>
      </c>
      <c r="DK33" s="65">
        <f t="shared" si="144"/>
        <v>0</v>
      </c>
      <c r="DL33" s="65">
        <f t="shared" si="144"/>
        <v>0</v>
      </c>
      <c r="DM33" s="65">
        <f t="shared" si="144"/>
        <v>0</v>
      </c>
      <c r="DN33" s="65">
        <f t="shared" si="144"/>
        <v>0</v>
      </c>
      <c r="DO33" s="65">
        <f t="shared" si="144"/>
        <v>0</v>
      </c>
      <c r="DP33" s="65">
        <f t="shared" si="144"/>
        <v>0</v>
      </c>
      <c r="DQ33" s="65">
        <f t="shared" si="144"/>
        <v>0</v>
      </c>
      <c r="DR33" s="65">
        <f t="shared" si="144"/>
        <v>0</v>
      </c>
      <c r="DS33" s="65">
        <f t="shared" si="144"/>
        <v>0</v>
      </c>
      <c r="DT33" s="65">
        <f t="shared" si="144"/>
        <v>0</v>
      </c>
      <c r="DU33" s="65">
        <f t="shared" si="144"/>
        <v>0</v>
      </c>
      <c r="DV33" s="65">
        <f t="shared" si="144"/>
        <v>0</v>
      </c>
      <c r="DW33" s="65">
        <f t="shared" si="144"/>
        <v>0</v>
      </c>
      <c r="DX33" s="65">
        <f t="shared" si="144"/>
        <v>0</v>
      </c>
      <c r="DY33" s="65">
        <f t="shared" si="144"/>
        <v>0</v>
      </c>
      <c r="DZ33" s="65">
        <f t="shared" si="144"/>
        <v>0</v>
      </c>
      <c r="EA33" s="65">
        <f t="shared" si="144"/>
        <v>0</v>
      </c>
      <c r="EB33" s="65">
        <f t="shared" si="144"/>
        <v>0</v>
      </c>
      <c r="EC33" s="65">
        <f t="shared" si="144"/>
        <v>0</v>
      </c>
      <c r="ED33" s="65">
        <f t="shared" si="144"/>
        <v>0</v>
      </c>
      <c r="EE33" s="65">
        <f t="shared" si="144"/>
        <v>0</v>
      </c>
      <c r="EF33" s="65">
        <f t="shared" si="144"/>
        <v>0</v>
      </c>
      <c r="EG33" s="65">
        <f t="shared" si="144"/>
        <v>0</v>
      </c>
      <c r="EH33" s="65">
        <f t="shared" si="144"/>
        <v>0</v>
      </c>
      <c r="EI33" s="65">
        <f t="shared" si="144"/>
        <v>0</v>
      </c>
      <c r="EJ33" s="65">
        <f t="shared" si="144"/>
        <v>0</v>
      </c>
      <c r="EK33" s="65">
        <f t="shared" si="144"/>
        <v>0</v>
      </c>
      <c r="EL33" s="65">
        <f t="shared" si="144"/>
        <v>0</v>
      </c>
      <c r="EM33" s="65">
        <f t="shared" si="144"/>
        <v>0</v>
      </c>
      <c r="EN33" s="65">
        <f t="shared" si="144"/>
        <v>0</v>
      </c>
      <c r="EO33" s="65">
        <f t="shared" ref="DE33:EO35" si="153">IFERROR((EO$5&gt;=$F33)*$H33*EO$47,0)</f>
        <v>0</v>
      </c>
    </row>
    <row r="34" spans="2:145" x14ac:dyDescent="0.45">
      <c r="B34" s="86">
        <f t="shared" ref="B34:C34" si="154">+B17</f>
        <v>1200</v>
      </c>
      <c r="C34" s="86" t="str">
        <f t="shared" si="154"/>
        <v>[Retail Tenant]</v>
      </c>
      <c r="F34" s="92">
        <v>1</v>
      </c>
      <c r="H34" s="63">
        <f t="shared" si="146"/>
        <v>0</v>
      </c>
      <c r="I34" s="106">
        <f t="shared" si="147"/>
        <v>0</v>
      </c>
      <c r="J34" s="108">
        <f t="shared" si="133"/>
        <v>0</v>
      </c>
      <c r="L34" s="65">
        <f t="shared" si="134"/>
        <v>0</v>
      </c>
      <c r="M34" s="65">
        <f t="shared" si="134"/>
        <v>0</v>
      </c>
      <c r="N34" s="65">
        <f t="shared" si="134"/>
        <v>0</v>
      </c>
      <c r="O34" s="65">
        <f t="shared" si="134"/>
        <v>0</v>
      </c>
      <c r="P34" s="65">
        <f t="shared" si="134"/>
        <v>0</v>
      </c>
      <c r="Q34" s="65">
        <f t="shared" si="134"/>
        <v>0</v>
      </c>
      <c r="R34" s="65">
        <f t="shared" si="134"/>
        <v>0</v>
      </c>
      <c r="S34" s="65">
        <f t="shared" si="134"/>
        <v>0</v>
      </c>
      <c r="T34" s="65">
        <f t="shared" si="134"/>
        <v>0</v>
      </c>
      <c r="U34" s="65">
        <f t="shared" si="134"/>
        <v>0</v>
      </c>
      <c r="V34" s="65">
        <f t="shared" si="135"/>
        <v>0</v>
      </c>
      <c r="W34" s="65">
        <f t="shared" si="135"/>
        <v>0</v>
      </c>
      <c r="X34" s="65">
        <f t="shared" si="135"/>
        <v>0</v>
      </c>
      <c r="Y34" s="65">
        <f t="shared" si="135"/>
        <v>0</v>
      </c>
      <c r="Z34" s="65">
        <f t="shared" si="135"/>
        <v>0</v>
      </c>
      <c r="AA34" s="65">
        <f t="shared" si="135"/>
        <v>0</v>
      </c>
      <c r="AB34" s="65">
        <f t="shared" si="135"/>
        <v>0</v>
      </c>
      <c r="AC34" s="65">
        <f t="shared" si="135"/>
        <v>0</v>
      </c>
      <c r="AD34" s="65">
        <f t="shared" si="135"/>
        <v>0</v>
      </c>
      <c r="AE34" s="65">
        <f t="shared" si="135"/>
        <v>0</v>
      </c>
      <c r="AF34" s="65">
        <f t="shared" si="136"/>
        <v>0</v>
      </c>
      <c r="AG34" s="65">
        <f t="shared" si="136"/>
        <v>0</v>
      </c>
      <c r="AH34" s="65">
        <f t="shared" si="136"/>
        <v>0</v>
      </c>
      <c r="AI34" s="65">
        <f t="shared" si="136"/>
        <v>0</v>
      </c>
      <c r="AJ34" s="65">
        <f t="shared" si="136"/>
        <v>0</v>
      </c>
      <c r="AK34" s="65">
        <f t="shared" si="136"/>
        <v>0</v>
      </c>
      <c r="AL34" s="65">
        <f t="shared" si="136"/>
        <v>0</v>
      </c>
      <c r="AM34" s="65">
        <f t="shared" si="136"/>
        <v>0</v>
      </c>
      <c r="AN34" s="65">
        <f t="shared" si="136"/>
        <v>0</v>
      </c>
      <c r="AO34" s="65">
        <f t="shared" si="136"/>
        <v>0</v>
      </c>
      <c r="AP34" s="65">
        <f t="shared" si="137"/>
        <v>0</v>
      </c>
      <c r="AQ34" s="65">
        <f t="shared" si="137"/>
        <v>0</v>
      </c>
      <c r="AR34" s="65">
        <f t="shared" si="137"/>
        <v>0</v>
      </c>
      <c r="AS34" s="65">
        <f t="shared" si="137"/>
        <v>0</v>
      </c>
      <c r="AT34" s="65">
        <f t="shared" si="137"/>
        <v>0</v>
      </c>
      <c r="AU34" s="65">
        <f t="shared" si="137"/>
        <v>0</v>
      </c>
      <c r="AV34" s="65">
        <f t="shared" si="137"/>
        <v>0</v>
      </c>
      <c r="AW34" s="65">
        <f t="shared" si="137"/>
        <v>0</v>
      </c>
      <c r="AX34" s="65">
        <f t="shared" si="137"/>
        <v>0</v>
      </c>
      <c r="AY34" s="65">
        <f t="shared" si="137"/>
        <v>0</v>
      </c>
      <c r="AZ34" s="65">
        <f t="shared" si="138"/>
        <v>0</v>
      </c>
      <c r="BA34" s="65">
        <f t="shared" si="138"/>
        <v>0</v>
      </c>
      <c r="BB34" s="65">
        <f t="shared" si="138"/>
        <v>0</v>
      </c>
      <c r="BC34" s="65">
        <f t="shared" si="138"/>
        <v>0</v>
      </c>
      <c r="BD34" s="65">
        <f t="shared" si="138"/>
        <v>0</v>
      </c>
      <c r="BE34" s="65">
        <f t="shared" si="138"/>
        <v>0</v>
      </c>
      <c r="BF34" s="65">
        <f t="shared" si="138"/>
        <v>0</v>
      </c>
      <c r="BG34" s="65">
        <f t="shared" si="138"/>
        <v>0</v>
      </c>
      <c r="BH34" s="65">
        <f t="shared" si="138"/>
        <v>0</v>
      </c>
      <c r="BI34" s="65">
        <f t="shared" si="138"/>
        <v>0</v>
      </c>
      <c r="BJ34" s="65">
        <f t="shared" si="139"/>
        <v>0</v>
      </c>
      <c r="BK34" s="65">
        <f t="shared" si="139"/>
        <v>0</v>
      </c>
      <c r="BL34" s="65">
        <f t="shared" si="139"/>
        <v>0</v>
      </c>
      <c r="BM34" s="65">
        <f t="shared" si="139"/>
        <v>0</v>
      </c>
      <c r="BN34" s="65">
        <f t="shared" si="139"/>
        <v>0</v>
      </c>
      <c r="BO34" s="65">
        <f t="shared" si="139"/>
        <v>0</v>
      </c>
      <c r="BP34" s="65">
        <f t="shared" si="139"/>
        <v>0</v>
      </c>
      <c r="BQ34" s="65">
        <f t="shared" si="139"/>
        <v>0</v>
      </c>
      <c r="BR34" s="65">
        <f t="shared" si="139"/>
        <v>0</v>
      </c>
      <c r="BS34" s="65">
        <f t="shared" si="139"/>
        <v>0</v>
      </c>
      <c r="BT34" s="65">
        <f t="shared" si="140"/>
        <v>0</v>
      </c>
      <c r="BU34" s="65">
        <f t="shared" si="140"/>
        <v>0</v>
      </c>
      <c r="BV34" s="65">
        <f t="shared" si="140"/>
        <v>0</v>
      </c>
      <c r="BW34" s="65">
        <f t="shared" si="140"/>
        <v>0</v>
      </c>
      <c r="BX34" s="65">
        <f t="shared" si="140"/>
        <v>0</v>
      </c>
      <c r="BY34" s="65">
        <f t="shared" si="140"/>
        <v>0</v>
      </c>
      <c r="BZ34" s="65">
        <f t="shared" si="140"/>
        <v>0</v>
      </c>
      <c r="CA34" s="65">
        <f t="shared" si="140"/>
        <v>0</v>
      </c>
      <c r="CB34" s="65">
        <f t="shared" si="140"/>
        <v>0</v>
      </c>
      <c r="CC34" s="65">
        <f t="shared" si="140"/>
        <v>0</v>
      </c>
      <c r="CD34" s="65">
        <f t="shared" si="141"/>
        <v>0</v>
      </c>
      <c r="CE34" s="65">
        <f t="shared" si="141"/>
        <v>0</v>
      </c>
      <c r="CF34" s="65">
        <f t="shared" si="141"/>
        <v>0</v>
      </c>
      <c r="CG34" s="65">
        <f t="shared" si="141"/>
        <v>0</v>
      </c>
      <c r="CH34" s="65">
        <f t="shared" si="141"/>
        <v>0</v>
      </c>
      <c r="CI34" s="65">
        <f t="shared" si="141"/>
        <v>0</v>
      </c>
      <c r="CJ34" s="65">
        <f t="shared" si="141"/>
        <v>0</v>
      </c>
      <c r="CK34" s="65">
        <f t="shared" si="141"/>
        <v>0</v>
      </c>
      <c r="CL34" s="65">
        <f t="shared" si="141"/>
        <v>0</v>
      </c>
      <c r="CM34" s="65">
        <f t="shared" si="141"/>
        <v>0</v>
      </c>
      <c r="CN34" s="65">
        <f t="shared" si="142"/>
        <v>0</v>
      </c>
      <c r="CO34" s="65">
        <f t="shared" si="142"/>
        <v>0</v>
      </c>
      <c r="CP34" s="65">
        <f t="shared" si="142"/>
        <v>0</v>
      </c>
      <c r="CQ34" s="65">
        <f t="shared" si="142"/>
        <v>0</v>
      </c>
      <c r="CR34" s="65">
        <f t="shared" si="142"/>
        <v>0</v>
      </c>
      <c r="CS34" s="65">
        <f t="shared" si="142"/>
        <v>0</v>
      </c>
      <c r="CT34" s="65">
        <f t="shared" si="142"/>
        <v>0</v>
      </c>
      <c r="CU34" s="65">
        <f t="shared" si="142"/>
        <v>0</v>
      </c>
      <c r="CV34" s="65">
        <f t="shared" si="142"/>
        <v>0</v>
      </c>
      <c r="CW34" s="65">
        <f t="shared" si="142"/>
        <v>0</v>
      </c>
      <c r="CX34" s="65">
        <f t="shared" si="143"/>
        <v>0</v>
      </c>
      <c r="CY34" s="65">
        <f t="shared" si="143"/>
        <v>0</v>
      </c>
      <c r="CZ34" s="65">
        <f t="shared" si="143"/>
        <v>0</v>
      </c>
      <c r="DA34" s="65">
        <f t="shared" si="143"/>
        <v>0</v>
      </c>
      <c r="DB34" s="65">
        <f t="shared" si="143"/>
        <v>0</v>
      </c>
      <c r="DC34" s="65">
        <f t="shared" si="143"/>
        <v>0</v>
      </c>
      <c r="DD34" s="65">
        <f t="shared" si="143"/>
        <v>0</v>
      </c>
      <c r="DE34" s="65">
        <f t="shared" si="153"/>
        <v>0</v>
      </c>
      <c r="DF34" s="65">
        <f t="shared" si="153"/>
        <v>0</v>
      </c>
      <c r="DG34" s="65">
        <f t="shared" si="153"/>
        <v>0</v>
      </c>
      <c r="DH34" s="65">
        <f t="shared" si="153"/>
        <v>0</v>
      </c>
      <c r="DI34" s="65">
        <f t="shared" si="153"/>
        <v>0</v>
      </c>
      <c r="DJ34" s="65">
        <f t="shared" si="153"/>
        <v>0</v>
      </c>
      <c r="DK34" s="65">
        <f t="shared" si="153"/>
        <v>0</v>
      </c>
      <c r="DL34" s="65">
        <f t="shared" si="153"/>
        <v>0</v>
      </c>
      <c r="DM34" s="65">
        <f t="shared" si="153"/>
        <v>0</v>
      </c>
      <c r="DN34" s="65">
        <f t="shared" si="153"/>
        <v>0</v>
      </c>
      <c r="DO34" s="65">
        <f t="shared" si="153"/>
        <v>0</v>
      </c>
      <c r="DP34" s="65">
        <f t="shared" si="153"/>
        <v>0</v>
      </c>
      <c r="DQ34" s="65">
        <f t="shared" si="153"/>
        <v>0</v>
      </c>
      <c r="DR34" s="65">
        <f t="shared" si="153"/>
        <v>0</v>
      </c>
      <c r="DS34" s="65">
        <f t="shared" si="153"/>
        <v>0</v>
      </c>
      <c r="DT34" s="65">
        <f t="shared" si="153"/>
        <v>0</v>
      </c>
      <c r="DU34" s="65">
        <f t="shared" si="153"/>
        <v>0</v>
      </c>
      <c r="DV34" s="65">
        <f t="shared" si="153"/>
        <v>0</v>
      </c>
      <c r="DW34" s="65">
        <f t="shared" si="153"/>
        <v>0</v>
      </c>
      <c r="DX34" s="65">
        <f t="shared" si="153"/>
        <v>0</v>
      </c>
      <c r="DY34" s="65">
        <f t="shared" si="153"/>
        <v>0</v>
      </c>
      <c r="DZ34" s="65">
        <f t="shared" si="153"/>
        <v>0</v>
      </c>
      <c r="EA34" s="65">
        <f t="shared" si="153"/>
        <v>0</v>
      </c>
      <c r="EB34" s="65">
        <f t="shared" si="153"/>
        <v>0</v>
      </c>
      <c r="EC34" s="65">
        <f t="shared" si="153"/>
        <v>0</v>
      </c>
      <c r="ED34" s="65">
        <f t="shared" si="153"/>
        <v>0</v>
      </c>
      <c r="EE34" s="65">
        <f t="shared" si="153"/>
        <v>0</v>
      </c>
      <c r="EF34" s="65">
        <f t="shared" si="153"/>
        <v>0</v>
      </c>
      <c r="EG34" s="65">
        <f t="shared" si="153"/>
        <v>0</v>
      </c>
      <c r="EH34" s="65">
        <f t="shared" si="153"/>
        <v>0</v>
      </c>
      <c r="EI34" s="65">
        <f t="shared" si="153"/>
        <v>0</v>
      </c>
      <c r="EJ34" s="65">
        <f t="shared" si="153"/>
        <v>0</v>
      </c>
      <c r="EK34" s="65">
        <f t="shared" si="153"/>
        <v>0</v>
      </c>
      <c r="EL34" s="65">
        <f t="shared" si="153"/>
        <v>0</v>
      </c>
      <c r="EM34" s="65">
        <f t="shared" si="153"/>
        <v>0</v>
      </c>
      <c r="EN34" s="65">
        <f t="shared" si="153"/>
        <v>0</v>
      </c>
      <c r="EO34" s="65">
        <f t="shared" si="153"/>
        <v>0</v>
      </c>
    </row>
    <row r="35" spans="2:145" x14ac:dyDescent="0.45">
      <c r="B35" s="86">
        <f t="shared" ref="B35:C35" si="155">+B18</f>
        <v>1300</v>
      </c>
      <c r="C35" s="86" t="str">
        <f t="shared" si="155"/>
        <v>[Retail Tenant]</v>
      </c>
      <c r="F35" s="92">
        <v>1</v>
      </c>
      <c r="H35" s="63">
        <f t="shared" si="146"/>
        <v>0</v>
      </c>
      <c r="I35" s="106">
        <f t="shared" si="147"/>
        <v>0</v>
      </c>
      <c r="J35" s="108">
        <f t="shared" si="133"/>
        <v>0</v>
      </c>
      <c r="L35" s="65">
        <f t="shared" si="134"/>
        <v>0</v>
      </c>
      <c r="M35" s="65">
        <f t="shared" si="134"/>
        <v>0</v>
      </c>
      <c r="N35" s="65">
        <f t="shared" si="134"/>
        <v>0</v>
      </c>
      <c r="O35" s="65">
        <f t="shared" si="134"/>
        <v>0</v>
      </c>
      <c r="P35" s="65">
        <f t="shared" si="134"/>
        <v>0</v>
      </c>
      <c r="Q35" s="65">
        <f t="shared" si="134"/>
        <v>0</v>
      </c>
      <c r="R35" s="65">
        <f t="shared" si="134"/>
        <v>0</v>
      </c>
      <c r="S35" s="65">
        <f t="shared" si="134"/>
        <v>0</v>
      </c>
      <c r="T35" s="65">
        <f t="shared" si="134"/>
        <v>0</v>
      </c>
      <c r="U35" s="65">
        <f t="shared" si="134"/>
        <v>0</v>
      </c>
      <c r="V35" s="65">
        <f t="shared" si="135"/>
        <v>0</v>
      </c>
      <c r="W35" s="65">
        <f t="shared" si="135"/>
        <v>0</v>
      </c>
      <c r="X35" s="65">
        <f t="shared" si="135"/>
        <v>0</v>
      </c>
      <c r="Y35" s="65">
        <f t="shared" si="135"/>
        <v>0</v>
      </c>
      <c r="Z35" s="65">
        <f t="shared" si="135"/>
        <v>0</v>
      </c>
      <c r="AA35" s="65">
        <f t="shared" si="135"/>
        <v>0</v>
      </c>
      <c r="AB35" s="65">
        <f t="shared" si="135"/>
        <v>0</v>
      </c>
      <c r="AC35" s="65">
        <f t="shared" si="135"/>
        <v>0</v>
      </c>
      <c r="AD35" s="65">
        <f t="shared" si="135"/>
        <v>0</v>
      </c>
      <c r="AE35" s="65">
        <f t="shared" si="135"/>
        <v>0</v>
      </c>
      <c r="AF35" s="65">
        <f t="shared" si="136"/>
        <v>0</v>
      </c>
      <c r="AG35" s="65">
        <f t="shared" si="136"/>
        <v>0</v>
      </c>
      <c r="AH35" s="65">
        <f t="shared" si="136"/>
        <v>0</v>
      </c>
      <c r="AI35" s="65">
        <f t="shared" si="136"/>
        <v>0</v>
      </c>
      <c r="AJ35" s="65">
        <f t="shared" si="136"/>
        <v>0</v>
      </c>
      <c r="AK35" s="65">
        <f t="shared" si="136"/>
        <v>0</v>
      </c>
      <c r="AL35" s="65">
        <f t="shared" si="136"/>
        <v>0</v>
      </c>
      <c r="AM35" s="65">
        <f t="shared" si="136"/>
        <v>0</v>
      </c>
      <c r="AN35" s="65">
        <f t="shared" si="136"/>
        <v>0</v>
      </c>
      <c r="AO35" s="65">
        <f t="shared" si="136"/>
        <v>0</v>
      </c>
      <c r="AP35" s="65">
        <f t="shared" si="137"/>
        <v>0</v>
      </c>
      <c r="AQ35" s="65">
        <f t="shared" si="137"/>
        <v>0</v>
      </c>
      <c r="AR35" s="65">
        <f t="shared" si="137"/>
        <v>0</v>
      </c>
      <c r="AS35" s="65">
        <f t="shared" si="137"/>
        <v>0</v>
      </c>
      <c r="AT35" s="65">
        <f t="shared" si="137"/>
        <v>0</v>
      </c>
      <c r="AU35" s="65">
        <f t="shared" si="137"/>
        <v>0</v>
      </c>
      <c r="AV35" s="65">
        <f t="shared" si="137"/>
        <v>0</v>
      </c>
      <c r="AW35" s="65">
        <f t="shared" si="137"/>
        <v>0</v>
      </c>
      <c r="AX35" s="65">
        <f t="shared" si="137"/>
        <v>0</v>
      </c>
      <c r="AY35" s="65">
        <f t="shared" si="137"/>
        <v>0</v>
      </c>
      <c r="AZ35" s="65">
        <f t="shared" si="138"/>
        <v>0</v>
      </c>
      <c r="BA35" s="65">
        <f t="shared" si="138"/>
        <v>0</v>
      </c>
      <c r="BB35" s="65">
        <f t="shared" si="138"/>
        <v>0</v>
      </c>
      <c r="BC35" s="65">
        <f t="shared" si="138"/>
        <v>0</v>
      </c>
      <c r="BD35" s="65">
        <f t="shared" si="138"/>
        <v>0</v>
      </c>
      <c r="BE35" s="65">
        <f t="shared" si="138"/>
        <v>0</v>
      </c>
      <c r="BF35" s="65">
        <f t="shared" si="138"/>
        <v>0</v>
      </c>
      <c r="BG35" s="65">
        <f t="shared" si="138"/>
        <v>0</v>
      </c>
      <c r="BH35" s="65">
        <f t="shared" si="138"/>
        <v>0</v>
      </c>
      <c r="BI35" s="65">
        <f t="shared" si="138"/>
        <v>0</v>
      </c>
      <c r="BJ35" s="65">
        <f t="shared" si="139"/>
        <v>0</v>
      </c>
      <c r="BK35" s="65">
        <f t="shared" si="139"/>
        <v>0</v>
      </c>
      <c r="BL35" s="65">
        <f t="shared" si="139"/>
        <v>0</v>
      </c>
      <c r="BM35" s="65">
        <f t="shared" si="139"/>
        <v>0</v>
      </c>
      <c r="BN35" s="65">
        <f t="shared" si="139"/>
        <v>0</v>
      </c>
      <c r="BO35" s="65">
        <f t="shared" si="139"/>
        <v>0</v>
      </c>
      <c r="BP35" s="65">
        <f t="shared" si="139"/>
        <v>0</v>
      </c>
      <c r="BQ35" s="65">
        <f t="shared" si="139"/>
        <v>0</v>
      </c>
      <c r="BR35" s="65">
        <f t="shared" si="139"/>
        <v>0</v>
      </c>
      <c r="BS35" s="65">
        <f t="shared" si="139"/>
        <v>0</v>
      </c>
      <c r="BT35" s="65">
        <f t="shared" si="140"/>
        <v>0</v>
      </c>
      <c r="BU35" s="65">
        <f t="shared" si="140"/>
        <v>0</v>
      </c>
      <c r="BV35" s="65">
        <f t="shared" si="140"/>
        <v>0</v>
      </c>
      <c r="BW35" s="65">
        <f t="shared" si="140"/>
        <v>0</v>
      </c>
      <c r="BX35" s="65">
        <f t="shared" si="140"/>
        <v>0</v>
      </c>
      <c r="BY35" s="65">
        <f t="shared" si="140"/>
        <v>0</v>
      </c>
      <c r="BZ35" s="65">
        <f t="shared" si="140"/>
        <v>0</v>
      </c>
      <c r="CA35" s="65">
        <f t="shared" si="140"/>
        <v>0</v>
      </c>
      <c r="CB35" s="65">
        <f t="shared" si="140"/>
        <v>0</v>
      </c>
      <c r="CC35" s="65">
        <f t="shared" si="140"/>
        <v>0</v>
      </c>
      <c r="CD35" s="65">
        <f t="shared" si="141"/>
        <v>0</v>
      </c>
      <c r="CE35" s="65">
        <f t="shared" si="141"/>
        <v>0</v>
      </c>
      <c r="CF35" s="65">
        <f t="shared" si="141"/>
        <v>0</v>
      </c>
      <c r="CG35" s="65">
        <f t="shared" si="141"/>
        <v>0</v>
      </c>
      <c r="CH35" s="65">
        <f t="shared" si="141"/>
        <v>0</v>
      </c>
      <c r="CI35" s="65">
        <f t="shared" si="141"/>
        <v>0</v>
      </c>
      <c r="CJ35" s="65">
        <f t="shared" si="141"/>
        <v>0</v>
      </c>
      <c r="CK35" s="65">
        <f t="shared" si="141"/>
        <v>0</v>
      </c>
      <c r="CL35" s="65">
        <f t="shared" si="141"/>
        <v>0</v>
      </c>
      <c r="CM35" s="65">
        <f t="shared" si="141"/>
        <v>0</v>
      </c>
      <c r="CN35" s="65">
        <f t="shared" si="142"/>
        <v>0</v>
      </c>
      <c r="CO35" s="65">
        <f t="shared" si="142"/>
        <v>0</v>
      </c>
      <c r="CP35" s="65">
        <f t="shared" si="142"/>
        <v>0</v>
      </c>
      <c r="CQ35" s="65">
        <f t="shared" si="142"/>
        <v>0</v>
      </c>
      <c r="CR35" s="65">
        <f t="shared" si="142"/>
        <v>0</v>
      </c>
      <c r="CS35" s="65">
        <f t="shared" si="142"/>
        <v>0</v>
      </c>
      <c r="CT35" s="65">
        <f t="shared" si="142"/>
        <v>0</v>
      </c>
      <c r="CU35" s="65">
        <f t="shared" si="142"/>
        <v>0</v>
      </c>
      <c r="CV35" s="65">
        <f t="shared" si="142"/>
        <v>0</v>
      </c>
      <c r="CW35" s="65">
        <f t="shared" si="142"/>
        <v>0</v>
      </c>
      <c r="CX35" s="65">
        <f t="shared" si="143"/>
        <v>0</v>
      </c>
      <c r="CY35" s="65">
        <f t="shared" si="143"/>
        <v>0</v>
      </c>
      <c r="CZ35" s="65">
        <f t="shared" si="143"/>
        <v>0</v>
      </c>
      <c r="DA35" s="65">
        <f t="shared" si="143"/>
        <v>0</v>
      </c>
      <c r="DB35" s="65">
        <f t="shared" si="143"/>
        <v>0</v>
      </c>
      <c r="DC35" s="65">
        <f t="shared" si="143"/>
        <v>0</v>
      </c>
      <c r="DD35" s="65">
        <f t="shared" si="143"/>
        <v>0</v>
      </c>
      <c r="DE35" s="65">
        <f t="shared" si="153"/>
        <v>0</v>
      </c>
      <c r="DF35" s="65">
        <f t="shared" si="153"/>
        <v>0</v>
      </c>
      <c r="DG35" s="65">
        <f t="shared" si="153"/>
        <v>0</v>
      </c>
      <c r="DH35" s="65">
        <f t="shared" si="153"/>
        <v>0</v>
      </c>
      <c r="DI35" s="65">
        <f t="shared" si="153"/>
        <v>0</v>
      </c>
      <c r="DJ35" s="65">
        <f t="shared" si="153"/>
        <v>0</v>
      </c>
      <c r="DK35" s="65">
        <f t="shared" si="153"/>
        <v>0</v>
      </c>
      <c r="DL35" s="65">
        <f t="shared" si="153"/>
        <v>0</v>
      </c>
      <c r="DM35" s="65">
        <f t="shared" si="153"/>
        <v>0</v>
      </c>
      <c r="DN35" s="65">
        <f t="shared" si="153"/>
        <v>0</v>
      </c>
      <c r="DO35" s="65">
        <f t="shared" si="153"/>
        <v>0</v>
      </c>
      <c r="DP35" s="65">
        <f t="shared" si="153"/>
        <v>0</v>
      </c>
      <c r="DQ35" s="65">
        <f t="shared" si="153"/>
        <v>0</v>
      </c>
      <c r="DR35" s="65">
        <f t="shared" si="153"/>
        <v>0</v>
      </c>
      <c r="DS35" s="65">
        <f t="shared" si="153"/>
        <v>0</v>
      </c>
      <c r="DT35" s="65">
        <f t="shared" si="153"/>
        <v>0</v>
      </c>
      <c r="DU35" s="65">
        <f t="shared" si="153"/>
        <v>0</v>
      </c>
      <c r="DV35" s="65">
        <f t="shared" si="153"/>
        <v>0</v>
      </c>
      <c r="DW35" s="65">
        <f t="shared" si="153"/>
        <v>0</v>
      </c>
      <c r="DX35" s="65">
        <f t="shared" si="153"/>
        <v>0</v>
      </c>
      <c r="DY35" s="65">
        <f t="shared" si="153"/>
        <v>0</v>
      </c>
      <c r="DZ35" s="65">
        <f t="shared" si="153"/>
        <v>0</v>
      </c>
      <c r="EA35" s="65">
        <f t="shared" si="153"/>
        <v>0</v>
      </c>
      <c r="EB35" s="65">
        <f t="shared" si="153"/>
        <v>0</v>
      </c>
      <c r="EC35" s="65">
        <f t="shared" si="153"/>
        <v>0</v>
      </c>
      <c r="ED35" s="65">
        <f t="shared" si="153"/>
        <v>0</v>
      </c>
      <c r="EE35" s="65">
        <f t="shared" si="153"/>
        <v>0</v>
      </c>
      <c r="EF35" s="65">
        <f t="shared" si="153"/>
        <v>0</v>
      </c>
      <c r="EG35" s="65">
        <f t="shared" si="153"/>
        <v>0</v>
      </c>
      <c r="EH35" s="65">
        <f t="shared" si="153"/>
        <v>0</v>
      </c>
      <c r="EI35" s="65">
        <f t="shared" si="153"/>
        <v>0</v>
      </c>
      <c r="EJ35" s="65">
        <f t="shared" si="153"/>
        <v>0</v>
      </c>
      <c r="EK35" s="65">
        <f t="shared" si="153"/>
        <v>0</v>
      </c>
      <c r="EL35" s="65">
        <f t="shared" si="153"/>
        <v>0</v>
      </c>
      <c r="EM35" s="65">
        <f t="shared" si="153"/>
        <v>0</v>
      </c>
      <c r="EN35" s="65">
        <f t="shared" si="153"/>
        <v>0</v>
      </c>
      <c r="EO35" s="65">
        <f t="shared" si="153"/>
        <v>0</v>
      </c>
    </row>
    <row r="36" spans="2:145" x14ac:dyDescent="0.45">
      <c r="B36" s="71" t="s">
        <v>116</v>
      </c>
      <c r="C36" s="71"/>
      <c r="D36" s="71"/>
      <c r="E36" s="71"/>
      <c r="F36" s="97">
        <f>MIN(F23:F35)</f>
        <v>1</v>
      </c>
      <c r="G36" s="71"/>
      <c r="H36" s="71"/>
      <c r="I36" s="107">
        <f>IFERROR(J36/F19,0)</f>
        <v>0</v>
      </c>
      <c r="J36" s="109">
        <f>SUM(J23:J35)</f>
        <v>0</v>
      </c>
      <c r="L36" s="109">
        <f t="shared" ref="L36:AQ36" si="156">SUM(L23:L35)</f>
        <v>0</v>
      </c>
      <c r="M36" s="109">
        <f t="shared" si="156"/>
        <v>0</v>
      </c>
      <c r="N36" s="109">
        <f t="shared" si="156"/>
        <v>0</v>
      </c>
      <c r="O36" s="109">
        <f t="shared" si="156"/>
        <v>0</v>
      </c>
      <c r="P36" s="109">
        <f t="shared" si="156"/>
        <v>0</v>
      </c>
      <c r="Q36" s="109">
        <f t="shared" si="156"/>
        <v>0</v>
      </c>
      <c r="R36" s="109">
        <f t="shared" si="156"/>
        <v>0</v>
      </c>
      <c r="S36" s="109">
        <f t="shared" si="156"/>
        <v>0</v>
      </c>
      <c r="T36" s="109">
        <f t="shared" si="156"/>
        <v>0</v>
      </c>
      <c r="U36" s="109">
        <f t="shared" si="156"/>
        <v>0</v>
      </c>
      <c r="V36" s="109">
        <f t="shared" si="156"/>
        <v>0</v>
      </c>
      <c r="W36" s="109">
        <f t="shared" si="156"/>
        <v>0</v>
      </c>
      <c r="X36" s="109">
        <f t="shared" si="156"/>
        <v>0</v>
      </c>
      <c r="Y36" s="109">
        <f t="shared" si="156"/>
        <v>0</v>
      </c>
      <c r="Z36" s="109">
        <f t="shared" si="156"/>
        <v>0</v>
      </c>
      <c r="AA36" s="109">
        <f t="shared" si="156"/>
        <v>0</v>
      </c>
      <c r="AB36" s="109">
        <f t="shared" si="156"/>
        <v>0</v>
      </c>
      <c r="AC36" s="109">
        <f t="shared" si="156"/>
        <v>0</v>
      </c>
      <c r="AD36" s="109">
        <f t="shared" si="156"/>
        <v>0</v>
      </c>
      <c r="AE36" s="109">
        <f t="shared" si="156"/>
        <v>0</v>
      </c>
      <c r="AF36" s="109">
        <f t="shared" si="156"/>
        <v>0</v>
      </c>
      <c r="AG36" s="109">
        <f t="shared" si="156"/>
        <v>0</v>
      </c>
      <c r="AH36" s="109">
        <f t="shared" si="156"/>
        <v>0</v>
      </c>
      <c r="AI36" s="109">
        <f t="shared" si="156"/>
        <v>0</v>
      </c>
      <c r="AJ36" s="109">
        <f t="shared" si="156"/>
        <v>0</v>
      </c>
      <c r="AK36" s="109">
        <f t="shared" si="156"/>
        <v>0</v>
      </c>
      <c r="AL36" s="109">
        <f t="shared" si="156"/>
        <v>0</v>
      </c>
      <c r="AM36" s="109">
        <f t="shared" si="156"/>
        <v>0</v>
      </c>
      <c r="AN36" s="109">
        <f t="shared" si="156"/>
        <v>0</v>
      </c>
      <c r="AO36" s="109">
        <f t="shared" si="156"/>
        <v>0</v>
      </c>
      <c r="AP36" s="109">
        <f t="shared" si="156"/>
        <v>0</v>
      </c>
      <c r="AQ36" s="109">
        <f t="shared" si="156"/>
        <v>0</v>
      </c>
      <c r="AR36" s="109">
        <f t="shared" ref="AR36:BW36" si="157">SUM(AR23:AR35)</f>
        <v>0</v>
      </c>
      <c r="AS36" s="109">
        <f t="shared" si="157"/>
        <v>0</v>
      </c>
      <c r="AT36" s="109">
        <f t="shared" si="157"/>
        <v>0</v>
      </c>
      <c r="AU36" s="109">
        <f t="shared" si="157"/>
        <v>0</v>
      </c>
      <c r="AV36" s="109">
        <f t="shared" si="157"/>
        <v>0</v>
      </c>
      <c r="AW36" s="109">
        <f t="shared" si="157"/>
        <v>0</v>
      </c>
      <c r="AX36" s="109">
        <f t="shared" si="157"/>
        <v>0</v>
      </c>
      <c r="AY36" s="109">
        <f t="shared" si="157"/>
        <v>0</v>
      </c>
      <c r="AZ36" s="109">
        <f t="shared" si="157"/>
        <v>0</v>
      </c>
      <c r="BA36" s="109">
        <f t="shared" si="157"/>
        <v>0</v>
      </c>
      <c r="BB36" s="109">
        <f t="shared" si="157"/>
        <v>0</v>
      </c>
      <c r="BC36" s="109">
        <f t="shared" si="157"/>
        <v>0</v>
      </c>
      <c r="BD36" s="109">
        <f t="shared" si="157"/>
        <v>0</v>
      </c>
      <c r="BE36" s="109">
        <f t="shared" si="157"/>
        <v>0</v>
      </c>
      <c r="BF36" s="109">
        <f t="shared" si="157"/>
        <v>0</v>
      </c>
      <c r="BG36" s="109">
        <f t="shared" si="157"/>
        <v>0</v>
      </c>
      <c r="BH36" s="109">
        <f t="shared" si="157"/>
        <v>0</v>
      </c>
      <c r="BI36" s="109">
        <f t="shared" si="157"/>
        <v>0</v>
      </c>
      <c r="BJ36" s="109">
        <f t="shared" si="157"/>
        <v>0</v>
      </c>
      <c r="BK36" s="109">
        <f t="shared" si="157"/>
        <v>0</v>
      </c>
      <c r="BL36" s="109">
        <f t="shared" si="157"/>
        <v>0</v>
      </c>
      <c r="BM36" s="109">
        <f t="shared" si="157"/>
        <v>0</v>
      </c>
      <c r="BN36" s="109">
        <f t="shared" si="157"/>
        <v>0</v>
      </c>
      <c r="BO36" s="109">
        <f t="shared" si="157"/>
        <v>0</v>
      </c>
      <c r="BP36" s="109">
        <f t="shared" si="157"/>
        <v>0</v>
      </c>
      <c r="BQ36" s="109">
        <f t="shared" si="157"/>
        <v>0</v>
      </c>
      <c r="BR36" s="109">
        <f t="shared" si="157"/>
        <v>0</v>
      </c>
      <c r="BS36" s="109">
        <f t="shared" si="157"/>
        <v>0</v>
      </c>
      <c r="BT36" s="109">
        <f t="shared" si="157"/>
        <v>0</v>
      </c>
      <c r="BU36" s="109">
        <f t="shared" si="157"/>
        <v>0</v>
      </c>
      <c r="BV36" s="109">
        <f t="shared" si="157"/>
        <v>0</v>
      </c>
      <c r="BW36" s="109">
        <f t="shared" si="157"/>
        <v>0</v>
      </c>
      <c r="BX36" s="109">
        <f t="shared" ref="BX36:DC36" si="158">SUM(BX23:BX35)</f>
        <v>0</v>
      </c>
      <c r="BY36" s="109">
        <f t="shared" si="158"/>
        <v>0</v>
      </c>
      <c r="BZ36" s="109">
        <f t="shared" si="158"/>
        <v>0</v>
      </c>
      <c r="CA36" s="109">
        <f t="shared" si="158"/>
        <v>0</v>
      </c>
      <c r="CB36" s="109">
        <f t="shared" si="158"/>
        <v>0</v>
      </c>
      <c r="CC36" s="109">
        <f t="shared" si="158"/>
        <v>0</v>
      </c>
      <c r="CD36" s="109">
        <f t="shared" si="158"/>
        <v>0</v>
      </c>
      <c r="CE36" s="109">
        <f t="shared" si="158"/>
        <v>0</v>
      </c>
      <c r="CF36" s="109">
        <f t="shared" si="158"/>
        <v>0</v>
      </c>
      <c r="CG36" s="109">
        <f t="shared" si="158"/>
        <v>0</v>
      </c>
      <c r="CH36" s="109">
        <f t="shared" si="158"/>
        <v>0</v>
      </c>
      <c r="CI36" s="109">
        <f t="shared" si="158"/>
        <v>0</v>
      </c>
      <c r="CJ36" s="109">
        <f t="shared" si="158"/>
        <v>0</v>
      </c>
      <c r="CK36" s="109">
        <f t="shared" si="158"/>
        <v>0</v>
      </c>
      <c r="CL36" s="109">
        <f t="shared" si="158"/>
        <v>0</v>
      </c>
      <c r="CM36" s="109">
        <f t="shared" si="158"/>
        <v>0</v>
      </c>
      <c r="CN36" s="109">
        <f t="shared" si="158"/>
        <v>0</v>
      </c>
      <c r="CO36" s="109">
        <f t="shared" si="158"/>
        <v>0</v>
      </c>
      <c r="CP36" s="109">
        <f t="shared" si="158"/>
        <v>0</v>
      </c>
      <c r="CQ36" s="109">
        <f t="shared" si="158"/>
        <v>0</v>
      </c>
      <c r="CR36" s="109">
        <f t="shared" si="158"/>
        <v>0</v>
      </c>
      <c r="CS36" s="109">
        <f t="shared" si="158"/>
        <v>0</v>
      </c>
      <c r="CT36" s="109">
        <f t="shared" si="158"/>
        <v>0</v>
      </c>
      <c r="CU36" s="109">
        <f t="shared" si="158"/>
        <v>0</v>
      </c>
      <c r="CV36" s="109">
        <f t="shared" si="158"/>
        <v>0</v>
      </c>
      <c r="CW36" s="109">
        <f t="shared" si="158"/>
        <v>0</v>
      </c>
      <c r="CX36" s="109">
        <f t="shared" si="158"/>
        <v>0</v>
      </c>
      <c r="CY36" s="109">
        <f t="shared" si="158"/>
        <v>0</v>
      </c>
      <c r="CZ36" s="109">
        <f t="shared" si="158"/>
        <v>0</v>
      </c>
      <c r="DA36" s="109">
        <f t="shared" si="158"/>
        <v>0</v>
      </c>
      <c r="DB36" s="109">
        <f t="shared" si="158"/>
        <v>0</v>
      </c>
      <c r="DC36" s="109">
        <f t="shared" si="158"/>
        <v>0</v>
      </c>
      <c r="DD36" s="109">
        <f t="shared" ref="DD36" si="159">SUM(DD23:DD35)</f>
        <v>0</v>
      </c>
      <c r="DE36" s="109">
        <f t="shared" ref="DE36:EO36" si="160">SUM(DE23:DE35)</f>
        <v>0</v>
      </c>
      <c r="DF36" s="109">
        <f t="shared" si="160"/>
        <v>0</v>
      </c>
      <c r="DG36" s="109">
        <f t="shared" si="160"/>
        <v>0</v>
      </c>
      <c r="DH36" s="109">
        <f t="shared" si="160"/>
        <v>0</v>
      </c>
      <c r="DI36" s="109">
        <f t="shared" si="160"/>
        <v>0</v>
      </c>
      <c r="DJ36" s="109">
        <f t="shared" si="160"/>
        <v>0</v>
      </c>
      <c r="DK36" s="109">
        <f t="shared" si="160"/>
        <v>0</v>
      </c>
      <c r="DL36" s="109">
        <f t="shared" si="160"/>
        <v>0</v>
      </c>
      <c r="DM36" s="109">
        <f t="shared" si="160"/>
        <v>0</v>
      </c>
      <c r="DN36" s="109">
        <f t="shared" si="160"/>
        <v>0</v>
      </c>
      <c r="DO36" s="109">
        <f t="shared" si="160"/>
        <v>0</v>
      </c>
      <c r="DP36" s="109">
        <f t="shared" si="160"/>
        <v>0</v>
      </c>
      <c r="DQ36" s="109">
        <f t="shared" si="160"/>
        <v>0</v>
      </c>
      <c r="DR36" s="109">
        <f t="shared" si="160"/>
        <v>0</v>
      </c>
      <c r="DS36" s="109">
        <f t="shared" si="160"/>
        <v>0</v>
      </c>
      <c r="DT36" s="109">
        <f t="shared" si="160"/>
        <v>0</v>
      </c>
      <c r="DU36" s="109">
        <f t="shared" si="160"/>
        <v>0</v>
      </c>
      <c r="DV36" s="109">
        <f t="shared" si="160"/>
        <v>0</v>
      </c>
      <c r="DW36" s="109">
        <f t="shared" si="160"/>
        <v>0</v>
      </c>
      <c r="DX36" s="109">
        <f t="shared" si="160"/>
        <v>0</v>
      </c>
      <c r="DY36" s="109">
        <f t="shared" si="160"/>
        <v>0</v>
      </c>
      <c r="DZ36" s="109">
        <f t="shared" si="160"/>
        <v>0</v>
      </c>
      <c r="EA36" s="109">
        <f t="shared" si="160"/>
        <v>0</v>
      </c>
      <c r="EB36" s="109">
        <f t="shared" si="160"/>
        <v>0</v>
      </c>
      <c r="EC36" s="109">
        <f t="shared" si="160"/>
        <v>0</v>
      </c>
      <c r="ED36" s="109">
        <f t="shared" si="160"/>
        <v>0</v>
      </c>
      <c r="EE36" s="109">
        <f t="shared" si="160"/>
        <v>0</v>
      </c>
      <c r="EF36" s="109">
        <f t="shared" si="160"/>
        <v>0</v>
      </c>
      <c r="EG36" s="109">
        <f t="shared" si="160"/>
        <v>0</v>
      </c>
      <c r="EH36" s="109">
        <f t="shared" si="160"/>
        <v>0</v>
      </c>
      <c r="EI36" s="109">
        <f t="shared" si="160"/>
        <v>0</v>
      </c>
      <c r="EJ36" s="109">
        <f t="shared" si="160"/>
        <v>0</v>
      </c>
      <c r="EK36" s="109">
        <f t="shared" si="160"/>
        <v>0</v>
      </c>
      <c r="EL36" s="109">
        <f t="shared" si="160"/>
        <v>0</v>
      </c>
      <c r="EM36" s="109">
        <f t="shared" si="160"/>
        <v>0</v>
      </c>
      <c r="EN36" s="109">
        <f t="shared" si="160"/>
        <v>0</v>
      </c>
      <c r="EO36" s="109">
        <f t="shared" si="160"/>
        <v>0</v>
      </c>
    </row>
    <row r="37" spans="2:145" x14ac:dyDescent="0.45">
      <c r="B37" s="84"/>
      <c r="C37" s="84"/>
      <c r="D37" s="84"/>
      <c r="E37" s="84"/>
      <c r="F37" s="84"/>
      <c r="G37" s="84"/>
      <c r="H37" s="84"/>
      <c r="I37" s="112"/>
      <c r="J37" s="118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65"/>
      <c r="CO37" s="65"/>
      <c r="CP37" s="65"/>
      <c r="CQ37" s="65"/>
      <c r="CR37" s="65"/>
      <c r="CS37" s="65"/>
      <c r="CT37" s="65"/>
      <c r="CU37" s="65"/>
      <c r="CV37" s="65"/>
      <c r="CW37" s="65"/>
      <c r="CX37" s="65"/>
      <c r="CY37" s="65"/>
      <c r="CZ37" s="65"/>
      <c r="DA37" s="65"/>
      <c r="DB37" s="65"/>
      <c r="DC37" s="65"/>
      <c r="DD37" s="65"/>
      <c r="DE37" s="65"/>
      <c r="DF37" s="65"/>
      <c r="DG37" s="65"/>
      <c r="DH37" s="65"/>
      <c r="DI37" s="65"/>
      <c r="DJ37" s="65"/>
      <c r="DK37" s="65"/>
      <c r="DL37" s="65"/>
      <c r="DM37" s="65"/>
      <c r="DN37" s="65"/>
      <c r="DO37" s="65"/>
      <c r="DP37" s="65"/>
      <c r="DQ37" s="65"/>
      <c r="DR37" s="65"/>
      <c r="DS37" s="65"/>
      <c r="DT37" s="65"/>
      <c r="DU37" s="65"/>
      <c r="DV37" s="65"/>
      <c r="DW37" s="65"/>
      <c r="DX37" s="65"/>
      <c r="DY37" s="65"/>
      <c r="DZ37" s="65"/>
      <c r="EA37" s="65"/>
      <c r="EB37" s="65"/>
      <c r="EC37" s="65"/>
      <c r="ED37" s="65"/>
      <c r="EE37" s="65"/>
      <c r="EF37" s="65"/>
      <c r="EG37" s="65"/>
      <c r="EH37" s="65"/>
      <c r="EI37" s="65"/>
      <c r="EJ37" s="65"/>
      <c r="EK37" s="65"/>
      <c r="EL37" s="65"/>
      <c r="EM37" s="65"/>
      <c r="EN37" s="65"/>
      <c r="EO37" s="65"/>
    </row>
    <row r="38" spans="2:145" s="84" customFormat="1" x14ac:dyDescent="0.45">
      <c r="B38" s="71" t="s">
        <v>142</v>
      </c>
      <c r="C38" s="71"/>
      <c r="D38" s="71"/>
      <c r="E38" s="71"/>
      <c r="F38" s="71"/>
      <c r="G38" s="71"/>
      <c r="H38" s="71"/>
      <c r="I38" s="107">
        <f>IFERROR(J38/F19,0)</f>
        <v>0</v>
      </c>
      <c r="J38" s="109">
        <f>+J36+J19</f>
        <v>0</v>
      </c>
      <c r="L38" s="85">
        <f t="shared" ref="L38:AQ38" si="161">+L36+L19</f>
        <v>0</v>
      </c>
      <c r="M38" s="85">
        <f t="shared" si="161"/>
        <v>0</v>
      </c>
      <c r="N38" s="85">
        <f t="shared" si="161"/>
        <v>0</v>
      </c>
      <c r="O38" s="85">
        <f t="shared" si="161"/>
        <v>0</v>
      </c>
      <c r="P38" s="85">
        <f t="shared" si="161"/>
        <v>0</v>
      </c>
      <c r="Q38" s="85">
        <f t="shared" si="161"/>
        <v>0</v>
      </c>
      <c r="R38" s="85">
        <f t="shared" si="161"/>
        <v>0</v>
      </c>
      <c r="S38" s="85">
        <f t="shared" si="161"/>
        <v>0</v>
      </c>
      <c r="T38" s="85">
        <f t="shared" si="161"/>
        <v>0</v>
      </c>
      <c r="U38" s="85">
        <f t="shared" si="161"/>
        <v>0</v>
      </c>
      <c r="V38" s="85">
        <f t="shared" si="161"/>
        <v>0</v>
      </c>
      <c r="W38" s="85">
        <f t="shared" si="161"/>
        <v>0</v>
      </c>
      <c r="X38" s="85">
        <f t="shared" si="161"/>
        <v>0</v>
      </c>
      <c r="Y38" s="85">
        <f t="shared" si="161"/>
        <v>0</v>
      </c>
      <c r="Z38" s="85">
        <f t="shared" si="161"/>
        <v>0</v>
      </c>
      <c r="AA38" s="85">
        <f t="shared" si="161"/>
        <v>0</v>
      </c>
      <c r="AB38" s="85">
        <f t="shared" si="161"/>
        <v>0</v>
      </c>
      <c r="AC38" s="85">
        <f t="shared" si="161"/>
        <v>0</v>
      </c>
      <c r="AD38" s="85">
        <f t="shared" si="161"/>
        <v>0</v>
      </c>
      <c r="AE38" s="85">
        <f t="shared" si="161"/>
        <v>0</v>
      </c>
      <c r="AF38" s="85">
        <f t="shared" si="161"/>
        <v>0</v>
      </c>
      <c r="AG38" s="85">
        <f t="shared" si="161"/>
        <v>0</v>
      </c>
      <c r="AH38" s="85">
        <f t="shared" si="161"/>
        <v>0</v>
      </c>
      <c r="AI38" s="85">
        <f t="shared" si="161"/>
        <v>0</v>
      </c>
      <c r="AJ38" s="85">
        <f t="shared" si="161"/>
        <v>0</v>
      </c>
      <c r="AK38" s="85">
        <f t="shared" si="161"/>
        <v>0</v>
      </c>
      <c r="AL38" s="85">
        <f t="shared" si="161"/>
        <v>0</v>
      </c>
      <c r="AM38" s="85">
        <f t="shared" si="161"/>
        <v>0</v>
      </c>
      <c r="AN38" s="85">
        <f t="shared" si="161"/>
        <v>0</v>
      </c>
      <c r="AO38" s="85">
        <f t="shared" si="161"/>
        <v>0</v>
      </c>
      <c r="AP38" s="85">
        <f t="shared" si="161"/>
        <v>0</v>
      </c>
      <c r="AQ38" s="85">
        <f t="shared" si="161"/>
        <v>0</v>
      </c>
      <c r="AR38" s="85">
        <f t="shared" ref="AR38:BW38" si="162">+AR36+AR19</f>
        <v>0</v>
      </c>
      <c r="AS38" s="85">
        <f t="shared" si="162"/>
        <v>0</v>
      </c>
      <c r="AT38" s="85">
        <f t="shared" si="162"/>
        <v>0</v>
      </c>
      <c r="AU38" s="85">
        <f t="shared" si="162"/>
        <v>0</v>
      </c>
      <c r="AV38" s="85">
        <f t="shared" si="162"/>
        <v>0</v>
      </c>
      <c r="AW38" s="85">
        <f t="shared" si="162"/>
        <v>0</v>
      </c>
      <c r="AX38" s="85">
        <f t="shared" si="162"/>
        <v>0</v>
      </c>
      <c r="AY38" s="85">
        <f t="shared" si="162"/>
        <v>0</v>
      </c>
      <c r="AZ38" s="85">
        <f t="shared" si="162"/>
        <v>0</v>
      </c>
      <c r="BA38" s="85">
        <f t="shared" si="162"/>
        <v>0</v>
      </c>
      <c r="BB38" s="85">
        <f t="shared" si="162"/>
        <v>0</v>
      </c>
      <c r="BC38" s="85">
        <f t="shared" si="162"/>
        <v>0</v>
      </c>
      <c r="BD38" s="85">
        <f t="shared" si="162"/>
        <v>0</v>
      </c>
      <c r="BE38" s="85">
        <f t="shared" si="162"/>
        <v>0</v>
      </c>
      <c r="BF38" s="85">
        <f t="shared" si="162"/>
        <v>0</v>
      </c>
      <c r="BG38" s="85">
        <f t="shared" si="162"/>
        <v>0</v>
      </c>
      <c r="BH38" s="85">
        <f t="shared" si="162"/>
        <v>0</v>
      </c>
      <c r="BI38" s="85">
        <f t="shared" si="162"/>
        <v>0</v>
      </c>
      <c r="BJ38" s="85">
        <f t="shared" si="162"/>
        <v>0</v>
      </c>
      <c r="BK38" s="85">
        <f t="shared" si="162"/>
        <v>0</v>
      </c>
      <c r="BL38" s="85">
        <f t="shared" si="162"/>
        <v>0</v>
      </c>
      <c r="BM38" s="85">
        <f t="shared" si="162"/>
        <v>0</v>
      </c>
      <c r="BN38" s="85">
        <f t="shared" si="162"/>
        <v>0</v>
      </c>
      <c r="BO38" s="85">
        <f t="shared" si="162"/>
        <v>0</v>
      </c>
      <c r="BP38" s="85">
        <f t="shared" si="162"/>
        <v>0</v>
      </c>
      <c r="BQ38" s="85">
        <f t="shared" si="162"/>
        <v>0</v>
      </c>
      <c r="BR38" s="85">
        <f t="shared" si="162"/>
        <v>0</v>
      </c>
      <c r="BS38" s="85">
        <f t="shared" si="162"/>
        <v>0</v>
      </c>
      <c r="BT38" s="85">
        <f t="shared" si="162"/>
        <v>0</v>
      </c>
      <c r="BU38" s="85">
        <f t="shared" si="162"/>
        <v>0</v>
      </c>
      <c r="BV38" s="85">
        <f t="shared" si="162"/>
        <v>0</v>
      </c>
      <c r="BW38" s="85">
        <f t="shared" si="162"/>
        <v>0</v>
      </c>
      <c r="BX38" s="85">
        <f t="shared" ref="BX38:DD38" si="163">+BX36+BX19</f>
        <v>0</v>
      </c>
      <c r="BY38" s="85">
        <f t="shared" si="163"/>
        <v>0</v>
      </c>
      <c r="BZ38" s="85">
        <f t="shared" si="163"/>
        <v>0</v>
      </c>
      <c r="CA38" s="85">
        <f t="shared" si="163"/>
        <v>0</v>
      </c>
      <c r="CB38" s="85">
        <f t="shared" si="163"/>
        <v>0</v>
      </c>
      <c r="CC38" s="85">
        <f t="shared" si="163"/>
        <v>0</v>
      </c>
      <c r="CD38" s="85">
        <f t="shared" si="163"/>
        <v>0</v>
      </c>
      <c r="CE38" s="85">
        <f t="shared" si="163"/>
        <v>0</v>
      </c>
      <c r="CF38" s="85">
        <f t="shared" si="163"/>
        <v>0</v>
      </c>
      <c r="CG38" s="85">
        <f t="shared" si="163"/>
        <v>0</v>
      </c>
      <c r="CH38" s="85">
        <f t="shared" si="163"/>
        <v>0</v>
      </c>
      <c r="CI38" s="85">
        <f t="shared" si="163"/>
        <v>0</v>
      </c>
      <c r="CJ38" s="85">
        <f t="shared" si="163"/>
        <v>0</v>
      </c>
      <c r="CK38" s="85">
        <f t="shared" si="163"/>
        <v>0</v>
      </c>
      <c r="CL38" s="85">
        <f t="shared" si="163"/>
        <v>0</v>
      </c>
      <c r="CM38" s="85">
        <f t="shared" si="163"/>
        <v>0</v>
      </c>
      <c r="CN38" s="85">
        <f t="shared" si="163"/>
        <v>0</v>
      </c>
      <c r="CO38" s="85">
        <f t="shared" si="163"/>
        <v>0</v>
      </c>
      <c r="CP38" s="85">
        <f t="shared" si="163"/>
        <v>0</v>
      </c>
      <c r="CQ38" s="85">
        <f t="shared" si="163"/>
        <v>0</v>
      </c>
      <c r="CR38" s="85">
        <f t="shared" si="163"/>
        <v>0</v>
      </c>
      <c r="CS38" s="85">
        <f t="shared" si="163"/>
        <v>0</v>
      </c>
      <c r="CT38" s="85">
        <f t="shared" si="163"/>
        <v>0</v>
      </c>
      <c r="CU38" s="85">
        <f t="shared" si="163"/>
        <v>0</v>
      </c>
      <c r="CV38" s="85">
        <f t="shared" si="163"/>
        <v>0</v>
      </c>
      <c r="CW38" s="85">
        <f t="shared" si="163"/>
        <v>0</v>
      </c>
      <c r="CX38" s="85">
        <f t="shared" si="163"/>
        <v>0</v>
      </c>
      <c r="CY38" s="85">
        <f t="shared" si="163"/>
        <v>0</v>
      </c>
      <c r="CZ38" s="85">
        <f t="shared" si="163"/>
        <v>0</v>
      </c>
      <c r="DA38" s="85">
        <f t="shared" si="163"/>
        <v>0</v>
      </c>
      <c r="DB38" s="85">
        <f t="shared" si="163"/>
        <v>0</v>
      </c>
      <c r="DC38" s="85">
        <f t="shared" si="163"/>
        <v>0</v>
      </c>
      <c r="DD38" s="85">
        <f t="shared" si="163"/>
        <v>0</v>
      </c>
      <c r="DE38" s="85">
        <f t="shared" ref="DE38:EO38" si="164">+DE36+DE19</f>
        <v>0</v>
      </c>
      <c r="DF38" s="85">
        <f t="shared" si="164"/>
        <v>0</v>
      </c>
      <c r="DG38" s="85">
        <f t="shared" si="164"/>
        <v>0</v>
      </c>
      <c r="DH38" s="85">
        <f t="shared" si="164"/>
        <v>0</v>
      </c>
      <c r="DI38" s="85">
        <f t="shared" si="164"/>
        <v>0</v>
      </c>
      <c r="DJ38" s="85">
        <f t="shared" si="164"/>
        <v>0</v>
      </c>
      <c r="DK38" s="85">
        <f t="shared" si="164"/>
        <v>0</v>
      </c>
      <c r="DL38" s="85">
        <f t="shared" si="164"/>
        <v>0</v>
      </c>
      <c r="DM38" s="85">
        <f t="shared" si="164"/>
        <v>0</v>
      </c>
      <c r="DN38" s="85">
        <f t="shared" si="164"/>
        <v>0</v>
      </c>
      <c r="DO38" s="85">
        <f t="shared" si="164"/>
        <v>0</v>
      </c>
      <c r="DP38" s="85">
        <f t="shared" si="164"/>
        <v>0</v>
      </c>
      <c r="DQ38" s="85">
        <f t="shared" si="164"/>
        <v>0</v>
      </c>
      <c r="DR38" s="85">
        <f t="shared" si="164"/>
        <v>0</v>
      </c>
      <c r="DS38" s="85">
        <f t="shared" si="164"/>
        <v>0</v>
      </c>
      <c r="DT38" s="85">
        <f t="shared" si="164"/>
        <v>0</v>
      </c>
      <c r="DU38" s="85">
        <f t="shared" si="164"/>
        <v>0</v>
      </c>
      <c r="DV38" s="85">
        <f t="shared" si="164"/>
        <v>0</v>
      </c>
      <c r="DW38" s="85">
        <f t="shared" si="164"/>
        <v>0</v>
      </c>
      <c r="DX38" s="85">
        <f t="shared" si="164"/>
        <v>0</v>
      </c>
      <c r="DY38" s="85">
        <f t="shared" si="164"/>
        <v>0</v>
      </c>
      <c r="DZ38" s="85">
        <f t="shared" si="164"/>
        <v>0</v>
      </c>
      <c r="EA38" s="85">
        <f t="shared" si="164"/>
        <v>0</v>
      </c>
      <c r="EB38" s="85">
        <f t="shared" si="164"/>
        <v>0</v>
      </c>
      <c r="EC38" s="85">
        <f t="shared" si="164"/>
        <v>0</v>
      </c>
      <c r="ED38" s="85">
        <f t="shared" si="164"/>
        <v>0</v>
      </c>
      <c r="EE38" s="85">
        <f t="shared" si="164"/>
        <v>0</v>
      </c>
      <c r="EF38" s="85">
        <f t="shared" si="164"/>
        <v>0</v>
      </c>
      <c r="EG38" s="85">
        <f t="shared" si="164"/>
        <v>0</v>
      </c>
      <c r="EH38" s="85">
        <f t="shared" si="164"/>
        <v>0</v>
      </c>
      <c r="EI38" s="85">
        <f t="shared" si="164"/>
        <v>0</v>
      </c>
      <c r="EJ38" s="85">
        <f t="shared" si="164"/>
        <v>0</v>
      </c>
      <c r="EK38" s="85">
        <f t="shared" si="164"/>
        <v>0</v>
      </c>
      <c r="EL38" s="85">
        <f t="shared" si="164"/>
        <v>0</v>
      </c>
      <c r="EM38" s="85">
        <f t="shared" si="164"/>
        <v>0</v>
      </c>
      <c r="EN38" s="85">
        <f t="shared" si="164"/>
        <v>0</v>
      </c>
      <c r="EO38" s="85">
        <f t="shared" si="164"/>
        <v>0</v>
      </c>
    </row>
    <row r="39" spans="2:145" x14ac:dyDescent="0.45">
      <c r="B39" s="58" t="s">
        <v>124</v>
      </c>
      <c r="G39" s="111">
        <v>0.05</v>
      </c>
      <c r="I39" s="106">
        <f>IFERROR(J39/$F$19,0)</f>
        <v>0</v>
      </c>
      <c r="J39" s="108">
        <f>+SUM(J36,J19)*G39</f>
        <v>0</v>
      </c>
      <c r="L39" s="65">
        <f>-$G$39*L38</f>
        <v>0</v>
      </c>
      <c r="M39" s="65">
        <f t="shared" ref="M39:BX39" si="165">-$G$39*M38</f>
        <v>0</v>
      </c>
      <c r="N39" s="65">
        <f t="shared" si="165"/>
        <v>0</v>
      </c>
      <c r="O39" s="65">
        <f t="shared" si="165"/>
        <v>0</v>
      </c>
      <c r="P39" s="65">
        <f t="shared" si="165"/>
        <v>0</v>
      </c>
      <c r="Q39" s="65">
        <f t="shared" si="165"/>
        <v>0</v>
      </c>
      <c r="R39" s="65">
        <f t="shared" si="165"/>
        <v>0</v>
      </c>
      <c r="S39" s="65">
        <f t="shared" si="165"/>
        <v>0</v>
      </c>
      <c r="T39" s="65">
        <f t="shared" si="165"/>
        <v>0</v>
      </c>
      <c r="U39" s="65">
        <f t="shared" si="165"/>
        <v>0</v>
      </c>
      <c r="V39" s="65">
        <f t="shared" si="165"/>
        <v>0</v>
      </c>
      <c r="W39" s="65">
        <f t="shared" si="165"/>
        <v>0</v>
      </c>
      <c r="X39" s="65">
        <f t="shared" si="165"/>
        <v>0</v>
      </c>
      <c r="Y39" s="65">
        <f t="shared" si="165"/>
        <v>0</v>
      </c>
      <c r="Z39" s="65">
        <f t="shared" si="165"/>
        <v>0</v>
      </c>
      <c r="AA39" s="65">
        <f t="shared" si="165"/>
        <v>0</v>
      </c>
      <c r="AB39" s="65">
        <f t="shared" si="165"/>
        <v>0</v>
      </c>
      <c r="AC39" s="65">
        <f t="shared" si="165"/>
        <v>0</v>
      </c>
      <c r="AD39" s="65">
        <f t="shared" si="165"/>
        <v>0</v>
      </c>
      <c r="AE39" s="65">
        <f t="shared" si="165"/>
        <v>0</v>
      </c>
      <c r="AF39" s="65">
        <f t="shared" si="165"/>
        <v>0</v>
      </c>
      <c r="AG39" s="65">
        <f t="shared" si="165"/>
        <v>0</v>
      </c>
      <c r="AH39" s="65">
        <f t="shared" si="165"/>
        <v>0</v>
      </c>
      <c r="AI39" s="65">
        <f t="shared" si="165"/>
        <v>0</v>
      </c>
      <c r="AJ39" s="65">
        <f t="shared" si="165"/>
        <v>0</v>
      </c>
      <c r="AK39" s="65">
        <f t="shared" si="165"/>
        <v>0</v>
      </c>
      <c r="AL39" s="65">
        <f t="shared" si="165"/>
        <v>0</v>
      </c>
      <c r="AM39" s="65">
        <f t="shared" si="165"/>
        <v>0</v>
      </c>
      <c r="AN39" s="65">
        <f t="shared" si="165"/>
        <v>0</v>
      </c>
      <c r="AO39" s="65">
        <f t="shared" si="165"/>
        <v>0</v>
      </c>
      <c r="AP39" s="65">
        <f t="shared" si="165"/>
        <v>0</v>
      </c>
      <c r="AQ39" s="65">
        <f t="shared" si="165"/>
        <v>0</v>
      </c>
      <c r="AR39" s="65">
        <f t="shared" si="165"/>
        <v>0</v>
      </c>
      <c r="AS39" s="65">
        <f t="shared" si="165"/>
        <v>0</v>
      </c>
      <c r="AT39" s="65">
        <f t="shared" si="165"/>
        <v>0</v>
      </c>
      <c r="AU39" s="65">
        <f t="shared" si="165"/>
        <v>0</v>
      </c>
      <c r="AV39" s="65">
        <f t="shared" si="165"/>
        <v>0</v>
      </c>
      <c r="AW39" s="65">
        <f t="shared" si="165"/>
        <v>0</v>
      </c>
      <c r="AX39" s="65">
        <f t="shared" si="165"/>
        <v>0</v>
      </c>
      <c r="AY39" s="65">
        <f t="shared" si="165"/>
        <v>0</v>
      </c>
      <c r="AZ39" s="65">
        <f t="shared" si="165"/>
        <v>0</v>
      </c>
      <c r="BA39" s="65">
        <f t="shared" si="165"/>
        <v>0</v>
      </c>
      <c r="BB39" s="65">
        <f t="shared" si="165"/>
        <v>0</v>
      </c>
      <c r="BC39" s="65">
        <f t="shared" si="165"/>
        <v>0</v>
      </c>
      <c r="BD39" s="65">
        <f t="shared" si="165"/>
        <v>0</v>
      </c>
      <c r="BE39" s="65">
        <f t="shared" si="165"/>
        <v>0</v>
      </c>
      <c r="BF39" s="65">
        <f t="shared" si="165"/>
        <v>0</v>
      </c>
      <c r="BG39" s="65">
        <f t="shared" si="165"/>
        <v>0</v>
      </c>
      <c r="BH39" s="65">
        <f t="shared" si="165"/>
        <v>0</v>
      </c>
      <c r="BI39" s="65">
        <f t="shared" si="165"/>
        <v>0</v>
      </c>
      <c r="BJ39" s="65">
        <f t="shared" si="165"/>
        <v>0</v>
      </c>
      <c r="BK39" s="65">
        <f t="shared" si="165"/>
        <v>0</v>
      </c>
      <c r="BL39" s="65">
        <f t="shared" si="165"/>
        <v>0</v>
      </c>
      <c r="BM39" s="65">
        <f t="shared" si="165"/>
        <v>0</v>
      </c>
      <c r="BN39" s="65">
        <f t="shared" si="165"/>
        <v>0</v>
      </c>
      <c r="BO39" s="65">
        <f t="shared" si="165"/>
        <v>0</v>
      </c>
      <c r="BP39" s="65">
        <f t="shared" si="165"/>
        <v>0</v>
      </c>
      <c r="BQ39" s="65">
        <f t="shared" si="165"/>
        <v>0</v>
      </c>
      <c r="BR39" s="65">
        <f t="shared" si="165"/>
        <v>0</v>
      </c>
      <c r="BS39" s="65">
        <f t="shared" si="165"/>
        <v>0</v>
      </c>
      <c r="BT39" s="65">
        <f t="shared" si="165"/>
        <v>0</v>
      </c>
      <c r="BU39" s="65">
        <f t="shared" si="165"/>
        <v>0</v>
      </c>
      <c r="BV39" s="65">
        <f t="shared" si="165"/>
        <v>0</v>
      </c>
      <c r="BW39" s="65">
        <f t="shared" si="165"/>
        <v>0</v>
      </c>
      <c r="BX39" s="65">
        <f t="shared" si="165"/>
        <v>0</v>
      </c>
      <c r="BY39" s="65">
        <f t="shared" ref="BY39:CQ39" si="166">-$G$39*BY38</f>
        <v>0</v>
      </c>
      <c r="BZ39" s="65">
        <f t="shared" si="166"/>
        <v>0</v>
      </c>
      <c r="CA39" s="65">
        <f t="shared" si="166"/>
        <v>0</v>
      </c>
      <c r="CB39" s="65">
        <f t="shared" si="166"/>
        <v>0</v>
      </c>
      <c r="CC39" s="65">
        <f t="shared" si="166"/>
        <v>0</v>
      </c>
      <c r="CD39" s="65">
        <f t="shared" si="166"/>
        <v>0</v>
      </c>
      <c r="CE39" s="65">
        <f t="shared" si="166"/>
        <v>0</v>
      </c>
      <c r="CF39" s="65">
        <f t="shared" si="166"/>
        <v>0</v>
      </c>
      <c r="CG39" s="65">
        <f t="shared" si="166"/>
        <v>0</v>
      </c>
      <c r="CH39" s="65">
        <f t="shared" si="166"/>
        <v>0</v>
      </c>
      <c r="CI39" s="65">
        <f t="shared" si="166"/>
        <v>0</v>
      </c>
      <c r="CJ39" s="65">
        <f t="shared" si="166"/>
        <v>0</v>
      </c>
      <c r="CK39" s="65">
        <f t="shared" si="166"/>
        <v>0</v>
      </c>
      <c r="CL39" s="65">
        <f t="shared" si="166"/>
        <v>0</v>
      </c>
      <c r="CM39" s="65">
        <f t="shared" si="166"/>
        <v>0</v>
      </c>
      <c r="CN39" s="65">
        <f t="shared" si="166"/>
        <v>0</v>
      </c>
      <c r="CO39" s="65">
        <f t="shared" si="166"/>
        <v>0</v>
      </c>
      <c r="CP39" s="65">
        <f t="shared" si="166"/>
        <v>0</v>
      </c>
      <c r="CQ39" s="65">
        <f t="shared" si="166"/>
        <v>0</v>
      </c>
      <c r="CR39" s="65">
        <f t="shared" ref="CR39:DD39" si="167">-$G$39*CR38</f>
        <v>0</v>
      </c>
      <c r="CS39" s="65">
        <f t="shared" si="167"/>
        <v>0</v>
      </c>
      <c r="CT39" s="65">
        <f t="shared" si="167"/>
        <v>0</v>
      </c>
      <c r="CU39" s="65">
        <f t="shared" si="167"/>
        <v>0</v>
      </c>
      <c r="CV39" s="65">
        <f t="shared" si="167"/>
        <v>0</v>
      </c>
      <c r="CW39" s="65">
        <f t="shared" si="167"/>
        <v>0</v>
      </c>
      <c r="CX39" s="65">
        <f t="shared" si="167"/>
        <v>0</v>
      </c>
      <c r="CY39" s="65">
        <f t="shared" si="167"/>
        <v>0</v>
      </c>
      <c r="CZ39" s="65">
        <f t="shared" si="167"/>
        <v>0</v>
      </c>
      <c r="DA39" s="65">
        <f t="shared" si="167"/>
        <v>0</v>
      </c>
      <c r="DB39" s="65">
        <f t="shared" si="167"/>
        <v>0</v>
      </c>
      <c r="DC39" s="65">
        <f t="shared" si="167"/>
        <v>0</v>
      </c>
      <c r="DD39" s="65">
        <f t="shared" si="167"/>
        <v>0</v>
      </c>
      <c r="DE39" s="65">
        <f t="shared" ref="DE39:EO39" si="168">-$G$39*DE38</f>
        <v>0</v>
      </c>
      <c r="DF39" s="65">
        <f t="shared" si="168"/>
        <v>0</v>
      </c>
      <c r="DG39" s="65">
        <f t="shared" si="168"/>
        <v>0</v>
      </c>
      <c r="DH39" s="65">
        <f t="shared" si="168"/>
        <v>0</v>
      </c>
      <c r="DI39" s="65">
        <f t="shared" si="168"/>
        <v>0</v>
      </c>
      <c r="DJ39" s="65">
        <f t="shared" si="168"/>
        <v>0</v>
      </c>
      <c r="DK39" s="65">
        <f t="shared" si="168"/>
        <v>0</v>
      </c>
      <c r="DL39" s="65">
        <f t="shared" si="168"/>
        <v>0</v>
      </c>
      <c r="DM39" s="65">
        <f t="shared" si="168"/>
        <v>0</v>
      </c>
      <c r="DN39" s="65">
        <f t="shared" si="168"/>
        <v>0</v>
      </c>
      <c r="DO39" s="65">
        <f t="shared" si="168"/>
        <v>0</v>
      </c>
      <c r="DP39" s="65">
        <f t="shared" si="168"/>
        <v>0</v>
      </c>
      <c r="DQ39" s="65">
        <f t="shared" si="168"/>
        <v>0</v>
      </c>
      <c r="DR39" s="65">
        <f t="shared" si="168"/>
        <v>0</v>
      </c>
      <c r="DS39" s="65">
        <f t="shared" si="168"/>
        <v>0</v>
      </c>
      <c r="DT39" s="65">
        <f t="shared" si="168"/>
        <v>0</v>
      </c>
      <c r="DU39" s="65">
        <f t="shared" si="168"/>
        <v>0</v>
      </c>
      <c r="DV39" s="65">
        <f t="shared" si="168"/>
        <v>0</v>
      </c>
      <c r="DW39" s="65">
        <f t="shared" si="168"/>
        <v>0</v>
      </c>
      <c r="DX39" s="65">
        <f t="shared" si="168"/>
        <v>0</v>
      </c>
      <c r="DY39" s="65">
        <f t="shared" si="168"/>
        <v>0</v>
      </c>
      <c r="DZ39" s="65">
        <f t="shared" si="168"/>
        <v>0</v>
      </c>
      <c r="EA39" s="65">
        <f t="shared" si="168"/>
        <v>0</v>
      </c>
      <c r="EB39" s="65">
        <f t="shared" si="168"/>
        <v>0</v>
      </c>
      <c r="EC39" s="65">
        <f t="shared" si="168"/>
        <v>0</v>
      </c>
      <c r="ED39" s="65">
        <f t="shared" si="168"/>
        <v>0</v>
      </c>
      <c r="EE39" s="65">
        <f t="shared" si="168"/>
        <v>0</v>
      </c>
      <c r="EF39" s="65">
        <f t="shared" si="168"/>
        <v>0</v>
      </c>
      <c r="EG39" s="65">
        <f t="shared" si="168"/>
        <v>0</v>
      </c>
      <c r="EH39" s="65">
        <f t="shared" si="168"/>
        <v>0</v>
      </c>
      <c r="EI39" s="65">
        <f t="shared" si="168"/>
        <v>0</v>
      </c>
      <c r="EJ39" s="65">
        <f t="shared" si="168"/>
        <v>0</v>
      </c>
      <c r="EK39" s="65">
        <f t="shared" si="168"/>
        <v>0</v>
      </c>
      <c r="EL39" s="65">
        <f t="shared" si="168"/>
        <v>0</v>
      </c>
      <c r="EM39" s="65">
        <f t="shared" si="168"/>
        <v>0</v>
      </c>
      <c r="EN39" s="65">
        <f t="shared" si="168"/>
        <v>0</v>
      </c>
      <c r="EO39" s="65">
        <f t="shared" si="168"/>
        <v>0</v>
      </c>
    </row>
    <row r="40" spans="2:145" s="84" customFormat="1" x14ac:dyDescent="0.45">
      <c r="B40" s="121" t="s">
        <v>142</v>
      </c>
      <c r="C40" s="121"/>
      <c r="D40" s="121"/>
      <c r="E40" s="121"/>
      <c r="F40" s="121"/>
      <c r="G40" s="121"/>
      <c r="H40" s="121"/>
      <c r="I40" s="122">
        <f>IFERROR(J40/F19,0)</f>
        <v>0</v>
      </c>
      <c r="J40" s="134">
        <f>+J38-J39</f>
        <v>0</v>
      </c>
      <c r="L40" s="72">
        <f>SUM(L38:L39)</f>
        <v>0</v>
      </c>
      <c r="M40" s="72">
        <f t="shared" ref="M40:BX40" si="169">SUM(M38:M39)</f>
        <v>0</v>
      </c>
      <c r="N40" s="72">
        <f t="shared" si="169"/>
        <v>0</v>
      </c>
      <c r="O40" s="72">
        <f t="shared" si="169"/>
        <v>0</v>
      </c>
      <c r="P40" s="72">
        <f t="shared" si="169"/>
        <v>0</v>
      </c>
      <c r="Q40" s="72">
        <f t="shared" si="169"/>
        <v>0</v>
      </c>
      <c r="R40" s="72">
        <f t="shared" si="169"/>
        <v>0</v>
      </c>
      <c r="S40" s="72">
        <f t="shared" si="169"/>
        <v>0</v>
      </c>
      <c r="T40" s="72">
        <f t="shared" si="169"/>
        <v>0</v>
      </c>
      <c r="U40" s="72">
        <f t="shared" si="169"/>
        <v>0</v>
      </c>
      <c r="V40" s="72">
        <f t="shared" si="169"/>
        <v>0</v>
      </c>
      <c r="W40" s="72">
        <f t="shared" si="169"/>
        <v>0</v>
      </c>
      <c r="X40" s="72">
        <f t="shared" si="169"/>
        <v>0</v>
      </c>
      <c r="Y40" s="72">
        <f t="shared" si="169"/>
        <v>0</v>
      </c>
      <c r="Z40" s="72">
        <f t="shared" si="169"/>
        <v>0</v>
      </c>
      <c r="AA40" s="72">
        <f t="shared" si="169"/>
        <v>0</v>
      </c>
      <c r="AB40" s="72">
        <f t="shared" si="169"/>
        <v>0</v>
      </c>
      <c r="AC40" s="72">
        <f t="shared" si="169"/>
        <v>0</v>
      </c>
      <c r="AD40" s="72">
        <f t="shared" si="169"/>
        <v>0</v>
      </c>
      <c r="AE40" s="72">
        <f t="shared" si="169"/>
        <v>0</v>
      </c>
      <c r="AF40" s="72">
        <f t="shared" si="169"/>
        <v>0</v>
      </c>
      <c r="AG40" s="72">
        <f t="shared" si="169"/>
        <v>0</v>
      </c>
      <c r="AH40" s="72">
        <f t="shared" si="169"/>
        <v>0</v>
      </c>
      <c r="AI40" s="72">
        <f t="shared" si="169"/>
        <v>0</v>
      </c>
      <c r="AJ40" s="72">
        <f t="shared" si="169"/>
        <v>0</v>
      </c>
      <c r="AK40" s="72">
        <f t="shared" si="169"/>
        <v>0</v>
      </c>
      <c r="AL40" s="72">
        <f t="shared" si="169"/>
        <v>0</v>
      </c>
      <c r="AM40" s="72">
        <f t="shared" si="169"/>
        <v>0</v>
      </c>
      <c r="AN40" s="72">
        <f t="shared" si="169"/>
        <v>0</v>
      </c>
      <c r="AO40" s="72">
        <f t="shared" si="169"/>
        <v>0</v>
      </c>
      <c r="AP40" s="72">
        <f t="shared" si="169"/>
        <v>0</v>
      </c>
      <c r="AQ40" s="72">
        <f t="shared" si="169"/>
        <v>0</v>
      </c>
      <c r="AR40" s="72">
        <f t="shared" si="169"/>
        <v>0</v>
      </c>
      <c r="AS40" s="72">
        <f t="shared" si="169"/>
        <v>0</v>
      </c>
      <c r="AT40" s="72">
        <f t="shared" si="169"/>
        <v>0</v>
      </c>
      <c r="AU40" s="72">
        <f t="shared" si="169"/>
        <v>0</v>
      </c>
      <c r="AV40" s="72">
        <f t="shared" si="169"/>
        <v>0</v>
      </c>
      <c r="AW40" s="72">
        <f t="shared" si="169"/>
        <v>0</v>
      </c>
      <c r="AX40" s="72">
        <f t="shared" si="169"/>
        <v>0</v>
      </c>
      <c r="AY40" s="72">
        <f t="shared" si="169"/>
        <v>0</v>
      </c>
      <c r="AZ40" s="72">
        <f t="shared" si="169"/>
        <v>0</v>
      </c>
      <c r="BA40" s="72">
        <f t="shared" si="169"/>
        <v>0</v>
      </c>
      <c r="BB40" s="72">
        <f t="shared" si="169"/>
        <v>0</v>
      </c>
      <c r="BC40" s="72">
        <f t="shared" si="169"/>
        <v>0</v>
      </c>
      <c r="BD40" s="72">
        <f t="shared" si="169"/>
        <v>0</v>
      </c>
      <c r="BE40" s="72">
        <f t="shared" si="169"/>
        <v>0</v>
      </c>
      <c r="BF40" s="72">
        <f t="shared" si="169"/>
        <v>0</v>
      </c>
      <c r="BG40" s="72">
        <f t="shared" si="169"/>
        <v>0</v>
      </c>
      <c r="BH40" s="72">
        <f t="shared" si="169"/>
        <v>0</v>
      </c>
      <c r="BI40" s="72">
        <f t="shared" si="169"/>
        <v>0</v>
      </c>
      <c r="BJ40" s="72">
        <f t="shared" si="169"/>
        <v>0</v>
      </c>
      <c r="BK40" s="72">
        <f t="shared" si="169"/>
        <v>0</v>
      </c>
      <c r="BL40" s="72">
        <f t="shared" si="169"/>
        <v>0</v>
      </c>
      <c r="BM40" s="72">
        <f t="shared" si="169"/>
        <v>0</v>
      </c>
      <c r="BN40" s="72">
        <f t="shared" si="169"/>
        <v>0</v>
      </c>
      <c r="BO40" s="72">
        <f t="shared" si="169"/>
        <v>0</v>
      </c>
      <c r="BP40" s="72">
        <f t="shared" si="169"/>
        <v>0</v>
      </c>
      <c r="BQ40" s="72">
        <f t="shared" si="169"/>
        <v>0</v>
      </c>
      <c r="BR40" s="72">
        <f t="shared" si="169"/>
        <v>0</v>
      </c>
      <c r="BS40" s="72">
        <f t="shared" si="169"/>
        <v>0</v>
      </c>
      <c r="BT40" s="72">
        <f t="shared" si="169"/>
        <v>0</v>
      </c>
      <c r="BU40" s="72">
        <f t="shared" si="169"/>
        <v>0</v>
      </c>
      <c r="BV40" s="72">
        <f t="shared" si="169"/>
        <v>0</v>
      </c>
      <c r="BW40" s="72">
        <f t="shared" si="169"/>
        <v>0</v>
      </c>
      <c r="BX40" s="72">
        <f t="shared" si="169"/>
        <v>0</v>
      </c>
      <c r="BY40" s="72">
        <f t="shared" ref="BY40:CQ40" si="170">SUM(BY38:BY39)</f>
        <v>0</v>
      </c>
      <c r="BZ40" s="72">
        <f t="shared" si="170"/>
        <v>0</v>
      </c>
      <c r="CA40" s="72">
        <f t="shared" si="170"/>
        <v>0</v>
      </c>
      <c r="CB40" s="72">
        <f t="shared" si="170"/>
        <v>0</v>
      </c>
      <c r="CC40" s="72">
        <f t="shared" si="170"/>
        <v>0</v>
      </c>
      <c r="CD40" s="72">
        <f t="shared" si="170"/>
        <v>0</v>
      </c>
      <c r="CE40" s="72">
        <f t="shared" si="170"/>
        <v>0</v>
      </c>
      <c r="CF40" s="72">
        <f t="shared" si="170"/>
        <v>0</v>
      </c>
      <c r="CG40" s="72">
        <f t="shared" si="170"/>
        <v>0</v>
      </c>
      <c r="CH40" s="72">
        <f t="shared" si="170"/>
        <v>0</v>
      </c>
      <c r="CI40" s="72">
        <f t="shared" si="170"/>
        <v>0</v>
      </c>
      <c r="CJ40" s="72">
        <f t="shared" si="170"/>
        <v>0</v>
      </c>
      <c r="CK40" s="72">
        <f t="shared" si="170"/>
        <v>0</v>
      </c>
      <c r="CL40" s="72">
        <f t="shared" si="170"/>
        <v>0</v>
      </c>
      <c r="CM40" s="72">
        <f t="shared" si="170"/>
        <v>0</v>
      </c>
      <c r="CN40" s="72">
        <f t="shared" si="170"/>
        <v>0</v>
      </c>
      <c r="CO40" s="72">
        <f t="shared" si="170"/>
        <v>0</v>
      </c>
      <c r="CP40" s="72">
        <f t="shared" si="170"/>
        <v>0</v>
      </c>
      <c r="CQ40" s="72">
        <f t="shared" si="170"/>
        <v>0</v>
      </c>
      <c r="CR40" s="72">
        <f t="shared" ref="CR40:DD40" si="171">SUM(CR38:CR39)</f>
        <v>0</v>
      </c>
      <c r="CS40" s="72">
        <f t="shared" si="171"/>
        <v>0</v>
      </c>
      <c r="CT40" s="72">
        <f t="shared" si="171"/>
        <v>0</v>
      </c>
      <c r="CU40" s="72">
        <f t="shared" si="171"/>
        <v>0</v>
      </c>
      <c r="CV40" s="72">
        <f t="shared" si="171"/>
        <v>0</v>
      </c>
      <c r="CW40" s="72">
        <f t="shared" si="171"/>
        <v>0</v>
      </c>
      <c r="CX40" s="72">
        <f t="shared" si="171"/>
        <v>0</v>
      </c>
      <c r="CY40" s="72">
        <f t="shared" si="171"/>
        <v>0</v>
      </c>
      <c r="CZ40" s="72">
        <f t="shared" si="171"/>
        <v>0</v>
      </c>
      <c r="DA40" s="72">
        <f t="shared" si="171"/>
        <v>0</v>
      </c>
      <c r="DB40" s="72">
        <f t="shared" si="171"/>
        <v>0</v>
      </c>
      <c r="DC40" s="72">
        <f t="shared" si="171"/>
        <v>0</v>
      </c>
      <c r="DD40" s="72">
        <f t="shared" si="171"/>
        <v>0</v>
      </c>
      <c r="DE40" s="72">
        <f t="shared" ref="DE40:EO40" si="172">SUM(DE38:DE39)</f>
        <v>0</v>
      </c>
      <c r="DF40" s="72">
        <f t="shared" si="172"/>
        <v>0</v>
      </c>
      <c r="DG40" s="72">
        <f t="shared" si="172"/>
        <v>0</v>
      </c>
      <c r="DH40" s="72">
        <f t="shared" si="172"/>
        <v>0</v>
      </c>
      <c r="DI40" s="72">
        <f t="shared" si="172"/>
        <v>0</v>
      </c>
      <c r="DJ40" s="72">
        <f t="shared" si="172"/>
        <v>0</v>
      </c>
      <c r="DK40" s="72">
        <f t="shared" si="172"/>
        <v>0</v>
      </c>
      <c r="DL40" s="72">
        <f t="shared" si="172"/>
        <v>0</v>
      </c>
      <c r="DM40" s="72">
        <f t="shared" si="172"/>
        <v>0</v>
      </c>
      <c r="DN40" s="72">
        <f t="shared" si="172"/>
        <v>0</v>
      </c>
      <c r="DO40" s="72">
        <f t="shared" si="172"/>
        <v>0</v>
      </c>
      <c r="DP40" s="72">
        <f t="shared" si="172"/>
        <v>0</v>
      </c>
      <c r="DQ40" s="72">
        <f t="shared" si="172"/>
        <v>0</v>
      </c>
      <c r="DR40" s="72">
        <f t="shared" si="172"/>
        <v>0</v>
      </c>
      <c r="DS40" s="72">
        <f t="shared" si="172"/>
        <v>0</v>
      </c>
      <c r="DT40" s="72">
        <f t="shared" si="172"/>
        <v>0</v>
      </c>
      <c r="DU40" s="72">
        <f t="shared" si="172"/>
        <v>0</v>
      </c>
      <c r="DV40" s="72">
        <f t="shared" si="172"/>
        <v>0</v>
      </c>
      <c r="DW40" s="72">
        <f t="shared" si="172"/>
        <v>0</v>
      </c>
      <c r="DX40" s="72">
        <f t="shared" si="172"/>
        <v>0</v>
      </c>
      <c r="DY40" s="72">
        <f t="shared" si="172"/>
        <v>0</v>
      </c>
      <c r="DZ40" s="72">
        <f t="shared" si="172"/>
        <v>0</v>
      </c>
      <c r="EA40" s="72">
        <f t="shared" si="172"/>
        <v>0</v>
      </c>
      <c r="EB40" s="72">
        <f t="shared" si="172"/>
        <v>0</v>
      </c>
      <c r="EC40" s="72">
        <f t="shared" si="172"/>
        <v>0</v>
      </c>
      <c r="ED40" s="72">
        <f t="shared" si="172"/>
        <v>0</v>
      </c>
      <c r="EE40" s="72">
        <f t="shared" si="172"/>
        <v>0</v>
      </c>
      <c r="EF40" s="72">
        <f t="shared" si="172"/>
        <v>0</v>
      </c>
      <c r="EG40" s="72">
        <f t="shared" si="172"/>
        <v>0</v>
      </c>
      <c r="EH40" s="72">
        <f t="shared" si="172"/>
        <v>0</v>
      </c>
      <c r="EI40" s="72">
        <f t="shared" si="172"/>
        <v>0</v>
      </c>
      <c r="EJ40" s="72">
        <f t="shared" si="172"/>
        <v>0</v>
      </c>
      <c r="EK40" s="72">
        <f t="shared" si="172"/>
        <v>0</v>
      </c>
      <c r="EL40" s="72">
        <f t="shared" si="172"/>
        <v>0</v>
      </c>
      <c r="EM40" s="72">
        <f t="shared" si="172"/>
        <v>0</v>
      </c>
      <c r="EN40" s="72">
        <f t="shared" si="172"/>
        <v>0</v>
      </c>
      <c r="EO40" s="72">
        <f t="shared" si="172"/>
        <v>0</v>
      </c>
    </row>
    <row r="41" spans="2:145" x14ac:dyDescent="0.45"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/>
      <c r="CB41" s="65"/>
      <c r="CC41" s="65"/>
      <c r="CD41" s="65"/>
      <c r="CE41" s="65"/>
      <c r="CF41" s="65"/>
      <c r="CG41" s="65"/>
      <c r="CH41" s="65"/>
      <c r="CI41" s="65"/>
      <c r="CJ41" s="65"/>
      <c r="CK41" s="65"/>
      <c r="CL41" s="65"/>
      <c r="CM41" s="65"/>
      <c r="CN41" s="65"/>
      <c r="CO41" s="65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5"/>
      <c r="DA41" s="65"/>
      <c r="DB41" s="65"/>
      <c r="DC41" s="65"/>
      <c r="DD41" s="65"/>
      <c r="DE41" s="65"/>
      <c r="DF41" s="65"/>
      <c r="DG41" s="65"/>
      <c r="DH41" s="65"/>
      <c r="DI41" s="65"/>
      <c r="DJ41" s="65"/>
      <c r="DK41" s="65"/>
      <c r="DL41" s="65"/>
      <c r="DM41" s="65"/>
      <c r="DN41" s="65"/>
      <c r="DO41" s="65"/>
      <c r="DP41" s="65"/>
      <c r="DQ41" s="65"/>
      <c r="DR41" s="65"/>
      <c r="DS41" s="65"/>
      <c r="DT41" s="65"/>
      <c r="DU41" s="65"/>
      <c r="DV41" s="65"/>
      <c r="DW41" s="65"/>
      <c r="DX41" s="65"/>
      <c r="DY41" s="65"/>
      <c r="DZ41" s="65"/>
      <c r="EA41" s="65"/>
      <c r="EB41" s="65"/>
      <c r="EC41" s="65"/>
      <c r="ED41" s="65"/>
      <c r="EE41" s="65"/>
      <c r="EF41" s="65"/>
      <c r="EG41" s="65"/>
      <c r="EH41" s="65"/>
      <c r="EI41" s="65"/>
      <c r="EJ41" s="65"/>
      <c r="EK41" s="65"/>
      <c r="EL41" s="65"/>
      <c r="EM41" s="65"/>
      <c r="EN41" s="65"/>
      <c r="EO41" s="65"/>
    </row>
    <row r="42" spans="2:145" x14ac:dyDescent="0.45">
      <c r="B42" s="58" t="s">
        <v>117</v>
      </c>
      <c r="G42" s="147" t="s">
        <v>159</v>
      </c>
      <c r="H42" s="101"/>
      <c r="I42" s="101" t="s">
        <v>120</v>
      </c>
      <c r="J42" s="101" t="s">
        <v>53</v>
      </c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5"/>
      <c r="BQ42" s="65"/>
      <c r="BR42" s="65"/>
      <c r="BS42" s="65"/>
      <c r="BT42" s="65"/>
      <c r="BU42" s="65"/>
      <c r="BV42" s="65"/>
      <c r="BW42" s="65"/>
      <c r="BX42" s="65"/>
      <c r="BY42" s="65"/>
      <c r="BZ42" s="65"/>
      <c r="CA42" s="65"/>
      <c r="CB42" s="65"/>
      <c r="CC42" s="65"/>
      <c r="CD42" s="65"/>
      <c r="CE42" s="65"/>
      <c r="CF42" s="65"/>
      <c r="CG42" s="65"/>
      <c r="CH42" s="65"/>
      <c r="CI42" s="65"/>
      <c r="CJ42" s="65"/>
      <c r="CK42" s="65"/>
      <c r="CL42" s="65"/>
      <c r="CM42" s="65"/>
      <c r="CN42" s="65"/>
      <c r="CO42" s="65"/>
      <c r="CP42" s="65"/>
      <c r="CQ42" s="65"/>
      <c r="CR42" s="65"/>
      <c r="CS42" s="65"/>
      <c r="CT42" s="65"/>
      <c r="CU42" s="65"/>
      <c r="CV42" s="65"/>
      <c r="CW42" s="65"/>
      <c r="CX42" s="65"/>
      <c r="CY42" s="65"/>
      <c r="CZ42" s="65"/>
      <c r="DA42" s="65"/>
      <c r="DB42" s="65"/>
      <c r="DC42" s="65"/>
      <c r="DD42" s="65"/>
      <c r="DE42" s="65"/>
      <c r="DF42" s="65"/>
      <c r="DG42" s="65"/>
      <c r="DH42" s="65"/>
      <c r="DI42" s="65"/>
      <c r="DJ42" s="65"/>
      <c r="DK42" s="65"/>
      <c r="DL42" s="65"/>
      <c r="DM42" s="65"/>
      <c r="DN42" s="65"/>
      <c r="DO42" s="65"/>
      <c r="DP42" s="65"/>
      <c r="DQ42" s="65"/>
      <c r="DR42" s="65"/>
      <c r="DS42" s="65"/>
      <c r="DT42" s="65"/>
      <c r="DU42" s="65"/>
      <c r="DV42" s="65"/>
      <c r="DW42" s="65"/>
      <c r="DX42" s="65"/>
      <c r="DY42" s="65"/>
      <c r="DZ42" s="65"/>
      <c r="EA42" s="65"/>
      <c r="EB42" s="65"/>
      <c r="EC42" s="65"/>
      <c r="ED42" s="65"/>
      <c r="EE42" s="65"/>
      <c r="EF42" s="65"/>
      <c r="EG42" s="65"/>
      <c r="EH42" s="65"/>
      <c r="EI42" s="65"/>
      <c r="EJ42" s="65"/>
      <c r="EK42" s="65"/>
      <c r="EL42" s="65"/>
      <c r="EM42" s="65"/>
      <c r="EN42" s="65"/>
      <c r="EO42" s="65"/>
    </row>
    <row r="43" spans="2:145" x14ac:dyDescent="0.45">
      <c r="B43" s="94" t="s">
        <v>87</v>
      </c>
      <c r="C43" s="94"/>
      <c r="D43" s="94"/>
      <c r="E43" s="94"/>
      <c r="F43" s="94"/>
      <c r="G43" s="145">
        <f>+Assumptions!$E$137</f>
        <v>0.02</v>
      </c>
      <c r="H43" s="104"/>
      <c r="I43" s="103">
        <v>0</v>
      </c>
      <c r="J43" s="95">
        <f t="shared" ref="J43:J46" si="173">+$F$19*I43</f>
        <v>0</v>
      </c>
      <c r="L43" s="65">
        <f t="shared" ref="L43:U45" si="174">IFERROR($J43/12*L$20*(1+$G43)^(ROUNDUP(L$5/12,0)-1),0)</f>
        <v>0</v>
      </c>
      <c r="M43" s="65">
        <f t="shared" si="174"/>
        <v>0</v>
      </c>
      <c r="N43" s="65">
        <f t="shared" si="174"/>
        <v>0</v>
      </c>
      <c r="O43" s="65">
        <f t="shared" si="174"/>
        <v>0</v>
      </c>
      <c r="P43" s="65">
        <f t="shared" si="174"/>
        <v>0</v>
      </c>
      <c r="Q43" s="65">
        <f t="shared" si="174"/>
        <v>0</v>
      </c>
      <c r="R43" s="65">
        <f t="shared" si="174"/>
        <v>0</v>
      </c>
      <c r="S43" s="65">
        <f t="shared" si="174"/>
        <v>0</v>
      </c>
      <c r="T43" s="65">
        <f t="shared" si="174"/>
        <v>0</v>
      </c>
      <c r="U43" s="65">
        <f t="shared" si="174"/>
        <v>0</v>
      </c>
      <c r="V43" s="65">
        <f t="shared" ref="V43:AE45" si="175">IFERROR($J43/12*V$20*(1+$G43)^(ROUNDUP(V$5/12,0)-1),0)</f>
        <v>0</v>
      </c>
      <c r="W43" s="65">
        <f t="shared" si="175"/>
        <v>0</v>
      </c>
      <c r="X43" s="65">
        <f t="shared" si="175"/>
        <v>0</v>
      </c>
      <c r="Y43" s="65">
        <f t="shared" si="175"/>
        <v>0</v>
      </c>
      <c r="Z43" s="65">
        <f t="shared" si="175"/>
        <v>0</v>
      </c>
      <c r="AA43" s="65">
        <f t="shared" si="175"/>
        <v>0</v>
      </c>
      <c r="AB43" s="65">
        <f t="shared" si="175"/>
        <v>0</v>
      </c>
      <c r="AC43" s="65">
        <f t="shared" si="175"/>
        <v>0</v>
      </c>
      <c r="AD43" s="65">
        <f t="shared" si="175"/>
        <v>0</v>
      </c>
      <c r="AE43" s="65">
        <f t="shared" si="175"/>
        <v>0</v>
      </c>
      <c r="AF43" s="65">
        <f t="shared" ref="AF43:AO45" si="176">IFERROR($J43/12*AF$20*(1+$G43)^(ROUNDUP(AF$5/12,0)-1),0)</f>
        <v>0</v>
      </c>
      <c r="AG43" s="65">
        <f t="shared" si="176"/>
        <v>0</v>
      </c>
      <c r="AH43" s="65">
        <f t="shared" si="176"/>
        <v>0</v>
      </c>
      <c r="AI43" s="65">
        <f t="shared" si="176"/>
        <v>0</v>
      </c>
      <c r="AJ43" s="65">
        <f t="shared" si="176"/>
        <v>0</v>
      </c>
      <c r="AK43" s="65">
        <f t="shared" si="176"/>
        <v>0</v>
      </c>
      <c r="AL43" s="65">
        <f t="shared" si="176"/>
        <v>0</v>
      </c>
      <c r="AM43" s="65">
        <f t="shared" si="176"/>
        <v>0</v>
      </c>
      <c r="AN43" s="65">
        <f t="shared" si="176"/>
        <v>0</v>
      </c>
      <c r="AO43" s="65">
        <f t="shared" si="176"/>
        <v>0</v>
      </c>
      <c r="AP43" s="65">
        <f t="shared" ref="AP43:AY45" si="177">IFERROR($J43/12*AP$20*(1+$G43)^(ROUNDUP(AP$5/12,0)-1),0)</f>
        <v>0</v>
      </c>
      <c r="AQ43" s="65">
        <f t="shared" si="177"/>
        <v>0</v>
      </c>
      <c r="AR43" s="65">
        <f t="shared" si="177"/>
        <v>0</v>
      </c>
      <c r="AS43" s="65">
        <f t="shared" si="177"/>
        <v>0</v>
      </c>
      <c r="AT43" s="65">
        <f t="shared" si="177"/>
        <v>0</v>
      </c>
      <c r="AU43" s="65">
        <f t="shared" si="177"/>
        <v>0</v>
      </c>
      <c r="AV43" s="65">
        <f t="shared" si="177"/>
        <v>0</v>
      </c>
      <c r="AW43" s="65">
        <f t="shared" si="177"/>
        <v>0</v>
      </c>
      <c r="AX43" s="65">
        <f t="shared" si="177"/>
        <v>0</v>
      </c>
      <c r="AY43" s="65">
        <f t="shared" si="177"/>
        <v>0</v>
      </c>
      <c r="AZ43" s="65">
        <f t="shared" ref="AZ43:BI45" si="178">IFERROR($J43/12*AZ$20*(1+$G43)^(ROUNDUP(AZ$5/12,0)-1),0)</f>
        <v>0</v>
      </c>
      <c r="BA43" s="65">
        <f t="shared" si="178"/>
        <v>0</v>
      </c>
      <c r="BB43" s="65">
        <f t="shared" si="178"/>
        <v>0</v>
      </c>
      <c r="BC43" s="65">
        <f t="shared" si="178"/>
        <v>0</v>
      </c>
      <c r="BD43" s="65">
        <f t="shared" si="178"/>
        <v>0</v>
      </c>
      <c r="BE43" s="65">
        <f t="shared" si="178"/>
        <v>0</v>
      </c>
      <c r="BF43" s="65">
        <f t="shared" si="178"/>
        <v>0</v>
      </c>
      <c r="BG43" s="65">
        <f t="shared" si="178"/>
        <v>0</v>
      </c>
      <c r="BH43" s="65">
        <f t="shared" si="178"/>
        <v>0</v>
      </c>
      <c r="BI43" s="65">
        <f t="shared" si="178"/>
        <v>0</v>
      </c>
      <c r="BJ43" s="65">
        <f t="shared" ref="BJ43:BS45" si="179">IFERROR($J43/12*BJ$20*(1+$G43)^(ROUNDUP(BJ$5/12,0)-1),0)</f>
        <v>0</v>
      </c>
      <c r="BK43" s="65">
        <f t="shared" si="179"/>
        <v>0</v>
      </c>
      <c r="BL43" s="65">
        <f t="shared" si="179"/>
        <v>0</v>
      </c>
      <c r="BM43" s="65">
        <f t="shared" si="179"/>
        <v>0</v>
      </c>
      <c r="BN43" s="65">
        <f t="shared" si="179"/>
        <v>0</v>
      </c>
      <c r="BO43" s="65">
        <f t="shared" si="179"/>
        <v>0</v>
      </c>
      <c r="BP43" s="65">
        <f t="shared" si="179"/>
        <v>0</v>
      </c>
      <c r="BQ43" s="65">
        <f t="shared" si="179"/>
        <v>0</v>
      </c>
      <c r="BR43" s="65">
        <f t="shared" si="179"/>
        <v>0</v>
      </c>
      <c r="BS43" s="65">
        <f t="shared" si="179"/>
        <v>0</v>
      </c>
      <c r="BT43" s="65">
        <f t="shared" ref="BT43:CC45" si="180">IFERROR($J43/12*BT$20*(1+$G43)^(ROUNDUP(BT$5/12,0)-1),0)</f>
        <v>0</v>
      </c>
      <c r="BU43" s="65">
        <f t="shared" si="180"/>
        <v>0</v>
      </c>
      <c r="BV43" s="65">
        <f t="shared" si="180"/>
        <v>0</v>
      </c>
      <c r="BW43" s="65">
        <f t="shared" si="180"/>
        <v>0</v>
      </c>
      <c r="BX43" s="65">
        <f t="shared" si="180"/>
        <v>0</v>
      </c>
      <c r="BY43" s="65">
        <f t="shared" si="180"/>
        <v>0</v>
      </c>
      <c r="BZ43" s="65">
        <f t="shared" si="180"/>
        <v>0</v>
      </c>
      <c r="CA43" s="65">
        <f t="shared" si="180"/>
        <v>0</v>
      </c>
      <c r="CB43" s="65">
        <f t="shared" si="180"/>
        <v>0</v>
      </c>
      <c r="CC43" s="65">
        <f t="shared" si="180"/>
        <v>0</v>
      </c>
      <c r="CD43" s="65">
        <f t="shared" ref="CD43:CM45" si="181">IFERROR($J43/12*CD$20*(1+$G43)^(ROUNDUP(CD$5/12,0)-1),0)</f>
        <v>0</v>
      </c>
      <c r="CE43" s="65">
        <f t="shared" si="181"/>
        <v>0</v>
      </c>
      <c r="CF43" s="65">
        <f t="shared" si="181"/>
        <v>0</v>
      </c>
      <c r="CG43" s="65">
        <f t="shared" si="181"/>
        <v>0</v>
      </c>
      <c r="CH43" s="65">
        <f t="shared" si="181"/>
        <v>0</v>
      </c>
      <c r="CI43" s="65">
        <f t="shared" si="181"/>
        <v>0</v>
      </c>
      <c r="CJ43" s="65">
        <f t="shared" si="181"/>
        <v>0</v>
      </c>
      <c r="CK43" s="65">
        <f t="shared" si="181"/>
        <v>0</v>
      </c>
      <c r="CL43" s="65">
        <f t="shared" si="181"/>
        <v>0</v>
      </c>
      <c r="CM43" s="65">
        <f t="shared" si="181"/>
        <v>0</v>
      </c>
      <c r="CN43" s="65">
        <f t="shared" ref="CN43:CW45" si="182">IFERROR($J43/12*CN$20*(1+$G43)^(ROUNDUP(CN$5/12,0)-1),0)</f>
        <v>0</v>
      </c>
      <c r="CO43" s="65">
        <f t="shared" si="182"/>
        <v>0</v>
      </c>
      <c r="CP43" s="65">
        <f t="shared" si="182"/>
        <v>0</v>
      </c>
      <c r="CQ43" s="65">
        <f t="shared" si="182"/>
        <v>0</v>
      </c>
      <c r="CR43" s="65">
        <f t="shared" si="182"/>
        <v>0</v>
      </c>
      <c r="CS43" s="65">
        <f t="shared" si="182"/>
        <v>0</v>
      </c>
      <c r="CT43" s="65">
        <f t="shared" si="182"/>
        <v>0</v>
      </c>
      <c r="CU43" s="65">
        <f t="shared" si="182"/>
        <v>0</v>
      </c>
      <c r="CV43" s="65">
        <f t="shared" si="182"/>
        <v>0</v>
      </c>
      <c r="CW43" s="65">
        <f t="shared" si="182"/>
        <v>0</v>
      </c>
      <c r="CX43" s="65">
        <f t="shared" ref="CX43:EO45" si="183">IFERROR($J43/12*CX$20*(1+$G43)^(ROUNDUP(CX$5/12,0)-1),0)</f>
        <v>0</v>
      </c>
      <c r="CY43" s="65">
        <f t="shared" si="183"/>
        <v>0</v>
      </c>
      <c r="CZ43" s="65">
        <f t="shared" si="183"/>
        <v>0</v>
      </c>
      <c r="DA43" s="65">
        <f t="shared" si="183"/>
        <v>0</v>
      </c>
      <c r="DB43" s="65">
        <f t="shared" si="183"/>
        <v>0</v>
      </c>
      <c r="DC43" s="65">
        <f t="shared" si="183"/>
        <v>0</v>
      </c>
      <c r="DD43" s="65">
        <f t="shared" si="183"/>
        <v>0</v>
      </c>
      <c r="DE43" s="65">
        <f t="shared" si="183"/>
        <v>0</v>
      </c>
      <c r="DF43" s="65">
        <f t="shared" si="183"/>
        <v>0</v>
      </c>
      <c r="DG43" s="65">
        <f t="shared" si="183"/>
        <v>0</v>
      </c>
      <c r="DH43" s="65">
        <f t="shared" si="183"/>
        <v>0</v>
      </c>
      <c r="DI43" s="65">
        <f t="shared" si="183"/>
        <v>0</v>
      </c>
      <c r="DJ43" s="65">
        <f t="shared" si="183"/>
        <v>0</v>
      </c>
      <c r="DK43" s="65">
        <f t="shared" si="183"/>
        <v>0</v>
      </c>
      <c r="DL43" s="65">
        <f t="shared" si="183"/>
        <v>0</v>
      </c>
      <c r="DM43" s="65">
        <f t="shared" si="183"/>
        <v>0</v>
      </c>
      <c r="DN43" s="65">
        <f t="shared" si="183"/>
        <v>0</v>
      </c>
      <c r="DO43" s="65">
        <f t="shared" si="183"/>
        <v>0</v>
      </c>
      <c r="DP43" s="65">
        <f t="shared" si="183"/>
        <v>0</v>
      </c>
      <c r="DQ43" s="65">
        <f t="shared" si="183"/>
        <v>0</v>
      </c>
      <c r="DR43" s="65">
        <f t="shared" si="183"/>
        <v>0</v>
      </c>
      <c r="DS43" s="65">
        <f t="shared" si="183"/>
        <v>0</v>
      </c>
      <c r="DT43" s="65">
        <f t="shared" si="183"/>
        <v>0</v>
      </c>
      <c r="DU43" s="65">
        <f t="shared" si="183"/>
        <v>0</v>
      </c>
      <c r="DV43" s="65">
        <f t="shared" si="183"/>
        <v>0</v>
      </c>
      <c r="DW43" s="65">
        <f t="shared" si="183"/>
        <v>0</v>
      </c>
      <c r="DX43" s="65">
        <f t="shared" si="183"/>
        <v>0</v>
      </c>
      <c r="DY43" s="65">
        <f t="shared" si="183"/>
        <v>0</v>
      </c>
      <c r="DZ43" s="65">
        <f t="shared" si="183"/>
        <v>0</v>
      </c>
      <c r="EA43" s="65">
        <f t="shared" si="183"/>
        <v>0</v>
      </c>
      <c r="EB43" s="65">
        <f t="shared" si="183"/>
        <v>0</v>
      </c>
      <c r="EC43" s="65">
        <f t="shared" si="183"/>
        <v>0</v>
      </c>
      <c r="ED43" s="65">
        <f t="shared" si="183"/>
        <v>0</v>
      </c>
      <c r="EE43" s="65">
        <f t="shared" si="183"/>
        <v>0</v>
      </c>
      <c r="EF43" s="65">
        <f t="shared" si="183"/>
        <v>0</v>
      </c>
      <c r="EG43" s="65">
        <f t="shared" si="183"/>
        <v>0</v>
      </c>
      <c r="EH43" s="65">
        <f t="shared" si="183"/>
        <v>0</v>
      </c>
      <c r="EI43" s="65">
        <f t="shared" si="183"/>
        <v>0</v>
      </c>
      <c r="EJ43" s="65">
        <f t="shared" si="183"/>
        <v>0</v>
      </c>
      <c r="EK43" s="65">
        <f t="shared" si="183"/>
        <v>0</v>
      </c>
      <c r="EL43" s="65">
        <f t="shared" si="183"/>
        <v>0</v>
      </c>
      <c r="EM43" s="65">
        <f t="shared" si="183"/>
        <v>0</v>
      </c>
      <c r="EN43" s="65">
        <f t="shared" si="183"/>
        <v>0</v>
      </c>
      <c r="EO43" s="65">
        <f t="shared" si="183"/>
        <v>0</v>
      </c>
    </row>
    <row r="44" spans="2:145" x14ac:dyDescent="0.45">
      <c r="B44" s="58" t="s">
        <v>118</v>
      </c>
      <c r="G44" s="146">
        <f>+Assumptions!$E$137</f>
        <v>0.02</v>
      </c>
      <c r="H44" s="105"/>
      <c r="I44" s="93">
        <v>0</v>
      </c>
      <c r="J44" s="65">
        <f t="shared" si="173"/>
        <v>0</v>
      </c>
      <c r="L44" s="65">
        <f t="shared" si="174"/>
        <v>0</v>
      </c>
      <c r="M44" s="65">
        <f t="shared" si="174"/>
        <v>0</v>
      </c>
      <c r="N44" s="65">
        <f t="shared" si="174"/>
        <v>0</v>
      </c>
      <c r="O44" s="65">
        <f t="shared" si="174"/>
        <v>0</v>
      </c>
      <c r="P44" s="65">
        <f t="shared" si="174"/>
        <v>0</v>
      </c>
      <c r="Q44" s="65">
        <f t="shared" si="174"/>
        <v>0</v>
      </c>
      <c r="R44" s="65">
        <f t="shared" si="174"/>
        <v>0</v>
      </c>
      <c r="S44" s="65">
        <f t="shared" si="174"/>
        <v>0</v>
      </c>
      <c r="T44" s="65">
        <f t="shared" si="174"/>
        <v>0</v>
      </c>
      <c r="U44" s="65">
        <f t="shared" si="174"/>
        <v>0</v>
      </c>
      <c r="V44" s="65">
        <f t="shared" si="175"/>
        <v>0</v>
      </c>
      <c r="W44" s="65">
        <f t="shared" si="175"/>
        <v>0</v>
      </c>
      <c r="X44" s="65">
        <f t="shared" si="175"/>
        <v>0</v>
      </c>
      <c r="Y44" s="65">
        <f t="shared" si="175"/>
        <v>0</v>
      </c>
      <c r="Z44" s="65">
        <f t="shared" si="175"/>
        <v>0</v>
      </c>
      <c r="AA44" s="65">
        <f t="shared" si="175"/>
        <v>0</v>
      </c>
      <c r="AB44" s="65">
        <f t="shared" si="175"/>
        <v>0</v>
      </c>
      <c r="AC44" s="65">
        <f t="shared" si="175"/>
        <v>0</v>
      </c>
      <c r="AD44" s="65">
        <f t="shared" si="175"/>
        <v>0</v>
      </c>
      <c r="AE44" s="65">
        <f t="shared" si="175"/>
        <v>0</v>
      </c>
      <c r="AF44" s="65">
        <f t="shared" si="176"/>
        <v>0</v>
      </c>
      <c r="AG44" s="65">
        <f t="shared" si="176"/>
        <v>0</v>
      </c>
      <c r="AH44" s="65">
        <f t="shared" si="176"/>
        <v>0</v>
      </c>
      <c r="AI44" s="65">
        <f t="shared" si="176"/>
        <v>0</v>
      </c>
      <c r="AJ44" s="65">
        <f t="shared" si="176"/>
        <v>0</v>
      </c>
      <c r="AK44" s="65">
        <f t="shared" si="176"/>
        <v>0</v>
      </c>
      <c r="AL44" s="65">
        <f t="shared" si="176"/>
        <v>0</v>
      </c>
      <c r="AM44" s="65">
        <f t="shared" si="176"/>
        <v>0</v>
      </c>
      <c r="AN44" s="65">
        <f t="shared" si="176"/>
        <v>0</v>
      </c>
      <c r="AO44" s="65">
        <f t="shared" si="176"/>
        <v>0</v>
      </c>
      <c r="AP44" s="65">
        <f t="shared" si="177"/>
        <v>0</v>
      </c>
      <c r="AQ44" s="65">
        <f t="shared" si="177"/>
        <v>0</v>
      </c>
      <c r="AR44" s="65">
        <f t="shared" si="177"/>
        <v>0</v>
      </c>
      <c r="AS44" s="65">
        <f t="shared" si="177"/>
        <v>0</v>
      </c>
      <c r="AT44" s="65">
        <f t="shared" si="177"/>
        <v>0</v>
      </c>
      <c r="AU44" s="65">
        <f t="shared" si="177"/>
        <v>0</v>
      </c>
      <c r="AV44" s="65">
        <f t="shared" si="177"/>
        <v>0</v>
      </c>
      <c r="AW44" s="65">
        <f t="shared" si="177"/>
        <v>0</v>
      </c>
      <c r="AX44" s="65">
        <f t="shared" si="177"/>
        <v>0</v>
      </c>
      <c r="AY44" s="65">
        <f t="shared" si="177"/>
        <v>0</v>
      </c>
      <c r="AZ44" s="65">
        <f t="shared" si="178"/>
        <v>0</v>
      </c>
      <c r="BA44" s="65">
        <f t="shared" si="178"/>
        <v>0</v>
      </c>
      <c r="BB44" s="65">
        <f t="shared" si="178"/>
        <v>0</v>
      </c>
      <c r="BC44" s="65">
        <f t="shared" si="178"/>
        <v>0</v>
      </c>
      <c r="BD44" s="65">
        <f t="shared" si="178"/>
        <v>0</v>
      </c>
      <c r="BE44" s="65">
        <f t="shared" si="178"/>
        <v>0</v>
      </c>
      <c r="BF44" s="65">
        <f t="shared" si="178"/>
        <v>0</v>
      </c>
      <c r="BG44" s="65">
        <f t="shared" si="178"/>
        <v>0</v>
      </c>
      <c r="BH44" s="65">
        <f t="shared" si="178"/>
        <v>0</v>
      </c>
      <c r="BI44" s="65">
        <f t="shared" si="178"/>
        <v>0</v>
      </c>
      <c r="BJ44" s="65">
        <f t="shared" si="179"/>
        <v>0</v>
      </c>
      <c r="BK44" s="65">
        <f t="shared" si="179"/>
        <v>0</v>
      </c>
      <c r="BL44" s="65">
        <f t="shared" si="179"/>
        <v>0</v>
      </c>
      <c r="BM44" s="65">
        <f t="shared" si="179"/>
        <v>0</v>
      </c>
      <c r="BN44" s="65">
        <f t="shared" si="179"/>
        <v>0</v>
      </c>
      <c r="BO44" s="65">
        <f t="shared" si="179"/>
        <v>0</v>
      </c>
      <c r="BP44" s="65">
        <f t="shared" si="179"/>
        <v>0</v>
      </c>
      <c r="BQ44" s="65">
        <f t="shared" si="179"/>
        <v>0</v>
      </c>
      <c r="BR44" s="65">
        <f t="shared" si="179"/>
        <v>0</v>
      </c>
      <c r="BS44" s="65">
        <f t="shared" si="179"/>
        <v>0</v>
      </c>
      <c r="BT44" s="65">
        <f t="shared" si="180"/>
        <v>0</v>
      </c>
      <c r="BU44" s="65">
        <f t="shared" si="180"/>
        <v>0</v>
      </c>
      <c r="BV44" s="65">
        <f t="shared" si="180"/>
        <v>0</v>
      </c>
      <c r="BW44" s="65">
        <f t="shared" si="180"/>
        <v>0</v>
      </c>
      <c r="BX44" s="65">
        <f t="shared" si="180"/>
        <v>0</v>
      </c>
      <c r="BY44" s="65">
        <f t="shared" si="180"/>
        <v>0</v>
      </c>
      <c r="BZ44" s="65">
        <f t="shared" si="180"/>
        <v>0</v>
      </c>
      <c r="CA44" s="65">
        <f t="shared" si="180"/>
        <v>0</v>
      </c>
      <c r="CB44" s="65">
        <f t="shared" si="180"/>
        <v>0</v>
      </c>
      <c r="CC44" s="65">
        <f t="shared" si="180"/>
        <v>0</v>
      </c>
      <c r="CD44" s="65">
        <f t="shared" si="181"/>
        <v>0</v>
      </c>
      <c r="CE44" s="65">
        <f t="shared" si="181"/>
        <v>0</v>
      </c>
      <c r="CF44" s="65">
        <f t="shared" si="181"/>
        <v>0</v>
      </c>
      <c r="CG44" s="65">
        <f t="shared" si="181"/>
        <v>0</v>
      </c>
      <c r="CH44" s="65">
        <f t="shared" si="181"/>
        <v>0</v>
      </c>
      <c r="CI44" s="65">
        <f t="shared" si="181"/>
        <v>0</v>
      </c>
      <c r="CJ44" s="65">
        <f t="shared" si="181"/>
        <v>0</v>
      </c>
      <c r="CK44" s="65">
        <f t="shared" si="181"/>
        <v>0</v>
      </c>
      <c r="CL44" s="65">
        <f t="shared" si="181"/>
        <v>0</v>
      </c>
      <c r="CM44" s="65">
        <f t="shared" si="181"/>
        <v>0</v>
      </c>
      <c r="CN44" s="65">
        <f t="shared" si="182"/>
        <v>0</v>
      </c>
      <c r="CO44" s="65">
        <f t="shared" si="182"/>
        <v>0</v>
      </c>
      <c r="CP44" s="65">
        <f t="shared" si="182"/>
        <v>0</v>
      </c>
      <c r="CQ44" s="65">
        <f t="shared" si="182"/>
        <v>0</v>
      </c>
      <c r="CR44" s="65">
        <f t="shared" si="182"/>
        <v>0</v>
      </c>
      <c r="CS44" s="65">
        <f t="shared" si="182"/>
        <v>0</v>
      </c>
      <c r="CT44" s="65">
        <f t="shared" si="182"/>
        <v>0</v>
      </c>
      <c r="CU44" s="65">
        <f t="shared" si="182"/>
        <v>0</v>
      </c>
      <c r="CV44" s="65">
        <f t="shared" si="182"/>
        <v>0</v>
      </c>
      <c r="CW44" s="65">
        <f t="shared" si="182"/>
        <v>0</v>
      </c>
      <c r="CX44" s="65">
        <f t="shared" si="183"/>
        <v>0</v>
      </c>
      <c r="CY44" s="65">
        <f t="shared" si="183"/>
        <v>0</v>
      </c>
      <c r="CZ44" s="65">
        <f t="shared" si="183"/>
        <v>0</v>
      </c>
      <c r="DA44" s="65">
        <f t="shared" si="183"/>
        <v>0</v>
      </c>
      <c r="DB44" s="65">
        <f t="shared" si="183"/>
        <v>0</v>
      </c>
      <c r="DC44" s="65">
        <f t="shared" si="183"/>
        <v>0</v>
      </c>
      <c r="DD44" s="65">
        <f t="shared" si="183"/>
        <v>0</v>
      </c>
      <c r="DE44" s="65">
        <f t="shared" si="183"/>
        <v>0</v>
      </c>
      <c r="DF44" s="65">
        <f t="shared" si="183"/>
        <v>0</v>
      </c>
      <c r="DG44" s="65">
        <f t="shared" si="183"/>
        <v>0</v>
      </c>
      <c r="DH44" s="65">
        <f t="shared" si="183"/>
        <v>0</v>
      </c>
      <c r="DI44" s="65">
        <f t="shared" si="183"/>
        <v>0</v>
      </c>
      <c r="DJ44" s="65">
        <f t="shared" si="183"/>
        <v>0</v>
      </c>
      <c r="DK44" s="65">
        <f t="shared" si="183"/>
        <v>0</v>
      </c>
      <c r="DL44" s="65">
        <f t="shared" si="183"/>
        <v>0</v>
      </c>
      <c r="DM44" s="65">
        <f t="shared" si="183"/>
        <v>0</v>
      </c>
      <c r="DN44" s="65">
        <f t="shared" si="183"/>
        <v>0</v>
      </c>
      <c r="DO44" s="65">
        <f t="shared" si="183"/>
        <v>0</v>
      </c>
      <c r="DP44" s="65">
        <f t="shared" si="183"/>
        <v>0</v>
      </c>
      <c r="DQ44" s="65">
        <f t="shared" si="183"/>
        <v>0</v>
      </c>
      <c r="DR44" s="65">
        <f t="shared" si="183"/>
        <v>0</v>
      </c>
      <c r="DS44" s="65">
        <f t="shared" si="183"/>
        <v>0</v>
      </c>
      <c r="DT44" s="65">
        <f t="shared" si="183"/>
        <v>0</v>
      </c>
      <c r="DU44" s="65">
        <f t="shared" si="183"/>
        <v>0</v>
      </c>
      <c r="DV44" s="65">
        <f t="shared" si="183"/>
        <v>0</v>
      </c>
      <c r="DW44" s="65">
        <f t="shared" si="183"/>
        <v>0</v>
      </c>
      <c r="DX44" s="65">
        <f t="shared" si="183"/>
        <v>0</v>
      </c>
      <c r="DY44" s="65">
        <f t="shared" si="183"/>
        <v>0</v>
      </c>
      <c r="DZ44" s="65">
        <f t="shared" si="183"/>
        <v>0</v>
      </c>
      <c r="EA44" s="65">
        <f t="shared" si="183"/>
        <v>0</v>
      </c>
      <c r="EB44" s="65">
        <f t="shared" si="183"/>
        <v>0</v>
      </c>
      <c r="EC44" s="65">
        <f t="shared" si="183"/>
        <v>0</v>
      </c>
      <c r="ED44" s="65">
        <f t="shared" si="183"/>
        <v>0</v>
      </c>
      <c r="EE44" s="65">
        <f t="shared" si="183"/>
        <v>0</v>
      </c>
      <c r="EF44" s="65">
        <f t="shared" si="183"/>
        <v>0</v>
      </c>
      <c r="EG44" s="65">
        <f t="shared" si="183"/>
        <v>0</v>
      </c>
      <c r="EH44" s="65">
        <f t="shared" si="183"/>
        <v>0</v>
      </c>
      <c r="EI44" s="65">
        <f t="shared" si="183"/>
        <v>0</v>
      </c>
      <c r="EJ44" s="65">
        <f t="shared" si="183"/>
        <v>0</v>
      </c>
      <c r="EK44" s="65">
        <f t="shared" si="183"/>
        <v>0</v>
      </c>
      <c r="EL44" s="65">
        <f t="shared" si="183"/>
        <v>0</v>
      </c>
      <c r="EM44" s="65">
        <f t="shared" si="183"/>
        <v>0</v>
      </c>
      <c r="EN44" s="65">
        <f t="shared" si="183"/>
        <v>0</v>
      </c>
      <c r="EO44" s="65">
        <f t="shared" si="183"/>
        <v>0</v>
      </c>
    </row>
    <row r="45" spans="2:145" x14ac:dyDescent="0.45">
      <c r="B45" s="58" t="s">
        <v>86</v>
      </c>
      <c r="G45" s="146">
        <f>+Assumptions!$E$137</f>
        <v>0.02</v>
      </c>
      <c r="H45" s="105"/>
      <c r="I45" s="93">
        <v>0</v>
      </c>
      <c r="J45" s="65">
        <f t="shared" si="173"/>
        <v>0</v>
      </c>
      <c r="L45" s="65">
        <f t="shared" si="174"/>
        <v>0</v>
      </c>
      <c r="M45" s="65">
        <f t="shared" si="174"/>
        <v>0</v>
      </c>
      <c r="N45" s="65">
        <f t="shared" si="174"/>
        <v>0</v>
      </c>
      <c r="O45" s="65">
        <f t="shared" si="174"/>
        <v>0</v>
      </c>
      <c r="P45" s="65">
        <f t="shared" si="174"/>
        <v>0</v>
      </c>
      <c r="Q45" s="65">
        <f t="shared" si="174"/>
        <v>0</v>
      </c>
      <c r="R45" s="65">
        <f t="shared" si="174"/>
        <v>0</v>
      </c>
      <c r="S45" s="65">
        <f t="shared" si="174"/>
        <v>0</v>
      </c>
      <c r="T45" s="65">
        <f t="shared" si="174"/>
        <v>0</v>
      </c>
      <c r="U45" s="65">
        <f t="shared" si="174"/>
        <v>0</v>
      </c>
      <c r="V45" s="65">
        <f t="shared" si="175"/>
        <v>0</v>
      </c>
      <c r="W45" s="65">
        <f t="shared" si="175"/>
        <v>0</v>
      </c>
      <c r="X45" s="65">
        <f t="shared" si="175"/>
        <v>0</v>
      </c>
      <c r="Y45" s="65">
        <f t="shared" si="175"/>
        <v>0</v>
      </c>
      <c r="Z45" s="65">
        <f t="shared" si="175"/>
        <v>0</v>
      </c>
      <c r="AA45" s="65">
        <f t="shared" si="175"/>
        <v>0</v>
      </c>
      <c r="AB45" s="65">
        <f t="shared" si="175"/>
        <v>0</v>
      </c>
      <c r="AC45" s="65">
        <f t="shared" si="175"/>
        <v>0</v>
      </c>
      <c r="AD45" s="65">
        <f t="shared" si="175"/>
        <v>0</v>
      </c>
      <c r="AE45" s="65">
        <f t="shared" si="175"/>
        <v>0</v>
      </c>
      <c r="AF45" s="65">
        <f t="shared" si="176"/>
        <v>0</v>
      </c>
      <c r="AG45" s="65">
        <f t="shared" si="176"/>
        <v>0</v>
      </c>
      <c r="AH45" s="65">
        <f t="shared" si="176"/>
        <v>0</v>
      </c>
      <c r="AI45" s="65">
        <f t="shared" si="176"/>
        <v>0</v>
      </c>
      <c r="AJ45" s="65">
        <f t="shared" si="176"/>
        <v>0</v>
      </c>
      <c r="AK45" s="65">
        <f t="shared" si="176"/>
        <v>0</v>
      </c>
      <c r="AL45" s="65">
        <f t="shared" si="176"/>
        <v>0</v>
      </c>
      <c r="AM45" s="65">
        <f t="shared" si="176"/>
        <v>0</v>
      </c>
      <c r="AN45" s="65">
        <f t="shared" si="176"/>
        <v>0</v>
      </c>
      <c r="AO45" s="65">
        <f t="shared" si="176"/>
        <v>0</v>
      </c>
      <c r="AP45" s="65">
        <f t="shared" si="177"/>
        <v>0</v>
      </c>
      <c r="AQ45" s="65">
        <f t="shared" si="177"/>
        <v>0</v>
      </c>
      <c r="AR45" s="65">
        <f t="shared" si="177"/>
        <v>0</v>
      </c>
      <c r="AS45" s="65">
        <f t="shared" si="177"/>
        <v>0</v>
      </c>
      <c r="AT45" s="65">
        <f t="shared" si="177"/>
        <v>0</v>
      </c>
      <c r="AU45" s="65">
        <f t="shared" si="177"/>
        <v>0</v>
      </c>
      <c r="AV45" s="65">
        <f t="shared" si="177"/>
        <v>0</v>
      </c>
      <c r="AW45" s="65">
        <f t="shared" si="177"/>
        <v>0</v>
      </c>
      <c r="AX45" s="65">
        <f t="shared" si="177"/>
        <v>0</v>
      </c>
      <c r="AY45" s="65">
        <f t="shared" si="177"/>
        <v>0</v>
      </c>
      <c r="AZ45" s="65">
        <f t="shared" si="178"/>
        <v>0</v>
      </c>
      <c r="BA45" s="65">
        <f t="shared" si="178"/>
        <v>0</v>
      </c>
      <c r="BB45" s="65">
        <f t="shared" si="178"/>
        <v>0</v>
      </c>
      <c r="BC45" s="65">
        <f t="shared" si="178"/>
        <v>0</v>
      </c>
      <c r="BD45" s="65">
        <f t="shared" si="178"/>
        <v>0</v>
      </c>
      <c r="BE45" s="65">
        <f t="shared" si="178"/>
        <v>0</v>
      </c>
      <c r="BF45" s="65">
        <f t="shared" si="178"/>
        <v>0</v>
      </c>
      <c r="BG45" s="65">
        <f t="shared" si="178"/>
        <v>0</v>
      </c>
      <c r="BH45" s="65">
        <f t="shared" si="178"/>
        <v>0</v>
      </c>
      <c r="BI45" s="65">
        <f t="shared" si="178"/>
        <v>0</v>
      </c>
      <c r="BJ45" s="65">
        <f t="shared" si="179"/>
        <v>0</v>
      </c>
      <c r="BK45" s="65">
        <f t="shared" si="179"/>
        <v>0</v>
      </c>
      <c r="BL45" s="65">
        <f t="shared" si="179"/>
        <v>0</v>
      </c>
      <c r="BM45" s="65">
        <f t="shared" si="179"/>
        <v>0</v>
      </c>
      <c r="BN45" s="65">
        <f t="shared" si="179"/>
        <v>0</v>
      </c>
      <c r="BO45" s="65">
        <f t="shared" si="179"/>
        <v>0</v>
      </c>
      <c r="BP45" s="65">
        <f t="shared" si="179"/>
        <v>0</v>
      </c>
      <c r="BQ45" s="65">
        <f t="shared" si="179"/>
        <v>0</v>
      </c>
      <c r="BR45" s="65">
        <f t="shared" si="179"/>
        <v>0</v>
      </c>
      <c r="BS45" s="65">
        <f t="shared" si="179"/>
        <v>0</v>
      </c>
      <c r="BT45" s="65">
        <f t="shared" si="180"/>
        <v>0</v>
      </c>
      <c r="BU45" s="65">
        <f t="shared" si="180"/>
        <v>0</v>
      </c>
      <c r="BV45" s="65">
        <f t="shared" si="180"/>
        <v>0</v>
      </c>
      <c r="BW45" s="65">
        <f t="shared" si="180"/>
        <v>0</v>
      </c>
      <c r="BX45" s="65">
        <f t="shared" si="180"/>
        <v>0</v>
      </c>
      <c r="BY45" s="65">
        <f t="shared" si="180"/>
        <v>0</v>
      </c>
      <c r="BZ45" s="65">
        <f t="shared" si="180"/>
        <v>0</v>
      </c>
      <c r="CA45" s="65">
        <f t="shared" si="180"/>
        <v>0</v>
      </c>
      <c r="CB45" s="65">
        <f t="shared" si="180"/>
        <v>0</v>
      </c>
      <c r="CC45" s="65">
        <f t="shared" si="180"/>
        <v>0</v>
      </c>
      <c r="CD45" s="65">
        <f t="shared" si="181"/>
        <v>0</v>
      </c>
      <c r="CE45" s="65">
        <f t="shared" si="181"/>
        <v>0</v>
      </c>
      <c r="CF45" s="65">
        <f t="shared" si="181"/>
        <v>0</v>
      </c>
      <c r="CG45" s="65">
        <f t="shared" si="181"/>
        <v>0</v>
      </c>
      <c r="CH45" s="65">
        <f t="shared" si="181"/>
        <v>0</v>
      </c>
      <c r="CI45" s="65">
        <f t="shared" si="181"/>
        <v>0</v>
      </c>
      <c r="CJ45" s="65">
        <f t="shared" si="181"/>
        <v>0</v>
      </c>
      <c r="CK45" s="65">
        <f t="shared" si="181"/>
        <v>0</v>
      </c>
      <c r="CL45" s="65">
        <f t="shared" si="181"/>
        <v>0</v>
      </c>
      <c r="CM45" s="65">
        <f t="shared" si="181"/>
        <v>0</v>
      </c>
      <c r="CN45" s="65">
        <f t="shared" si="182"/>
        <v>0</v>
      </c>
      <c r="CO45" s="65">
        <f t="shared" si="182"/>
        <v>0</v>
      </c>
      <c r="CP45" s="65">
        <f t="shared" si="182"/>
        <v>0</v>
      </c>
      <c r="CQ45" s="65">
        <f t="shared" si="182"/>
        <v>0</v>
      </c>
      <c r="CR45" s="65">
        <f t="shared" si="182"/>
        <v>0</v>
      </c>
      <c r="CS45" s="65">
        <f t="shared" si="182"/>
        <v>0</v>
      </c>
      <c r="CT45" s="65">
        <f t="shared" si="182"/>
        <v>0</v>
      </c>
      <c r="CU45" s="65">
        <f t="shared" si="182"/>
        <v>0</v>
      </c>
      <c r="CV45" s="65">
        <f t="shared" si="182"/>
        <v>0</v>
      </c>
      <c r="CW45" s="65">
        <f t="shared" si="182"/>
        <v>0</v>
      </c>
      <c r="CX45" s="65">
        <f t="shared" si="183"/>
        <v>0</v>
      </c>
      <c r="CY45" s="65">
        <f t="shared" si="183"/>
        <v>0</v>
      </c>
      <c r="CZ45" s="65">
        <f t="shared" si="183"/>
        <v>0</v>
      </c>
      <c r="DA45" s="65">
        <f t="shared" si="183"/>
        <v>0</v>
      </c>
      <c r="DB45" s="65">
        <f t="shared" si="183"/>
        <v>0</v>
      </c>
      <c r="DC45" s="65">
        <f t="shared" si="183"/>
        <v>0</v>
      </c>
      <c r="DD45" s="65">
        <f t="shared" si="183"/>
        <v>0</v>
      </c>
      <c r="DE45" s="65">
        <f t="shared" si="183"/>
        <v>0</v>
      </c>
      <c r="DF45" s="65">
        <f t="shared" si="183"/>
        <v>0</v>
      </c>
      <c r="DG45" s="65">
        <f t="shared" si="183"/>
        <v>0</v>
      </c>
      <c r="DH45" s="65">
        <f t="shared" si="183"/>
        <v>0</v>
      </c>
      <c r="DI45" s="65">
        <f t="shared" si="183"/>
        <v>0</v>
      </c>
      <c r="DJ45" s="65">
        <f t="shared" si="183"/>
        <v>0</v>
      </c>
      <c r="DK45" s="65">
        <f t="shared" si="183"/>
        <v>0</v>
      </c>
      <c r="DL45" s="65">
        <f t="shared" si="183"/>
        <v>0</v>
      </c>
      <c r="DM45" s="65">
        <f t="shared" si="183"/>
        <v>0</v>
      </c>
      <c r="DN45" s="65">
        <f t="shared" si="183"/>
        <v>0</v>
      </c>
      <c r="DO45" s="65">
        <f t="shared" si="183"/>
        <v>0</v>
      </c>
      <c r="DP45" s="65">
        <f t="shared" si="183"/>
        <v>0</v>
      </c>
      <c r="DQ45" s="65">
        <f t="shared" si="183"/>
        <v>0</v>
      </c>
      <c r="DR45" s="65">
        <f t="shared" si="183"/>
        <v>0</v>
      </c>
      <c r="DS45" s="65">
        <f t="shared" si="183"/>
        <v>0</v>
      </c>
      <c r="DT45" s="65">
        <f t="shared" si="183"/>
        <v>0</v>
      </c>
      <c r="DU45" s="65">
        <f t="shared" si="183"/>
        <v>0</v>
      </c>
      <c r="DV45" s="65">
        <f t="shared" si="183"/>
        <v>0</v>
      </c>
      <c r="DW45" s="65">
        <f t="shared" si="183"/>
        <v>0</v>
      </c>
      <c r="DX45" s="65">
        <f t="shared" si="183"/>
        <v>0</v>
      </c>
      <c r="DY45" s="65">
        <f t="shared" si="183"/>
        <v>0</v>
      </c>
      <c r="DZ45" s="65">
        <f t="shared" si="183"/>
        <v>0</v>
      </c>
      <c r="EA45" s="65">
        <f t="shared" si="183"/>
        <v>0</v>
      </c>
      <c r="EB45" s="65">
        <f t="shared" si="183"/>
        <v>0</v>
      </c>
      <c r="EC45" s="65">
        <f t="shared" si="183"/>
        <v>0</v>
      </c>
      <c r="ED45" s="65">
        <f t="shared" si="183"/>
        <v>0</v>
      </c>
      <c r="EE45" s="65">
        <f t="shared" si="183"/>
        <v>0</v>
      </c>
      <c r="EF45" s="65">
        <f t="shared" si="183"/>
        <v>0</v>
      </c>
      <c r="EG45" s="65">
        <f t="shared" si="183"/>
        <v>0</v>
      </c>
      <c r="EH45" s="65">
        <f t="shared" si="183"/>
        <v>0</v>
      </c>
      <c r="EI45" s="65">
        <f t="shared" si="183"/>
        <v>0</v>
      </c>
      <c r="EJ45" s="65">
        <f t="shared" si="183"/>
        <v>0</v>
      </c>
      <c r="EK45" s="65">
        <f t="shared" si="183"/>
        <v>0</v>
      </c>
      <c r="EL45" s="65">
        <f t="shared" si="183"/>
        <v>0</v>
      </c>
      <c r="EM45" s="65">
        <f t="shared" si="183"/>
        <v>0</v>
      </c>
      <c r="EN45" s="65">
        <f t="shared" si="183"/>
        <v>0</v>
      </c>
      <c r="EO45" s="65">
        <f t="shared" si="183"/>
        <v>0</v>
      </c>
    </row>
    <row r="46" spans="2:145" x14ac:dyDescent="0.45">
      <c r="B46" s="58" t="s">
        <v>24</v>
      </c>
      <c r="G46" s="146">
        <f>+Assumptions!$E$137</f>
        <v>0.02</v>
      </c>
      <c r="H46" s="105"/>
      <c r="I46" s="93">
        <v>0</v>
      </c>
      <c r="J46" s="65">
        <f t="shared" si="173"/>
        <v>0</v>
      </c>
      <c r="L46" s="65">
        <f t="shared" ref="L46:AQ46" si="184">IFERROR($J46/12*L$20*(1+$G46)^(ROUNDUP(L$5/12,0)-1),0)</f>
        <v>0</v>
      </c>
      <c r="M46" s="65">
        <f t="shared" si="184"/>
        <v>0</v>
      </c>
      <c r="N46" s="65">
        <f t="shared" si="184"/>
        <v>0</v>
      </c>
      <c r="O46" s="65">
        <f t="shared" si="184"/>
        <v>0</v>
      </c>
      <c r="P46" s="65">
        <f t="shared" si="184"/>
        <v>0</v>
      </c>
      <c r="Q46" s="65">
        <f t="shared" si="184"/>
        <v>0</v>
      </c>
      <c r="R46" s="65">
        <f t="shared" si="184"/>
        <v>0</v>
      </c>
      <c r="S46" s="65">
        <f t="shared" si="184"/>
        <v>0</v>
      </c>
      <c r="T46" s="65">
        <f t="shared" si="184"/>
        <v>0</v>
      </c>
      <c r="U46" s="65">
        <f t="shared" si="184"/>
        <v>0</v>
      </c>
      <c r="V46" s="65">
        <f t="shared" si="184"/>
        <v>0</v>
      </c>
      <c r="W46" s="65">
        <f t="shared" si="184"/>
        <v>0</v>
      </c>
      <c r="X46" s="65">
        <f t="shared" si="184"/>
        <v>0</v>
      </c>
      <c r="Y46" s="65">
        <f t="shared" si="184"/>
        <v>0</v>
      </c>
      <c r="Z46" s="65">
        <f t="shared" si="184"/>
        <v>0</v>
      </c>
      <c r="AA46" s="65">
        <f t="shared" si="184"/>
        <v>0</v>
      </c>
      <c r="AB46" s="65">
        <f t="shared" si="184"/>
        <v>0</v>
      </c>
      <c r="AC46" s="65">
        <f t="shared" si="184"/>
        <v>0</v>
      </c>
      <c r="AD46" s="65">
        <f t="shared" si="184"/>
        <v>0</v>
      </c>
      <c r="AE46" s="65">
        <f t="shared" si="184"/>
        <v>0</v>
      </c>
      <c r="AF46" s="65">
        <f t="shared" si="184"/>
        <v>0</v>
      </c>
      <c r="AG46" s="65">
        <f t="shared" si="184"/>
        <v>0</v>
      </c>
      <c r="AH46" s="65">
        <f t="shared" si="184"/>
        <v>0</v>
      </c>
      <c r="AI46" s="65">
        <f t="shared" si="184"/>
        <v>0</v>
      </c>
      <c r="AJ46" s="65">
        <f t="shared" si="184"/>
        <v>0</v>
      </c>
      <c r="AK46" s="65">
        <f t="shared" si="184"/>
        <v>0</v>
      </c>
      <c r="AL46" s="65">
        <f t="shared" si="184"/>
        <v>0</v>
      </c>
      <c r="AM46" s="65">
        <f t="shared" si="184"/>
        <v>0</v>
      </c>
      <c r="AN46" s="65">
        <f t="shared" si="184"/>
        <v>0</v>
      </c>
      <c r="AO46" s="65">
        <f t="shared" si="184"/>
        <v>0</v>
      </c>
      <c r="AP46" s="65">
        <f t="shared" si="184"/>
        <v>0</v>
      </c>
      <c r="AQ46" s="65">
        <f t="shared" si="184"/>
        <v>0</v>
      </c>
      <c r="AR46" s="65">
        <f t="shared" ref="AR46:BW46" si="185">IFERROR($J46/12*AR$20*(1+$G46)^(ROUNDUP(AR$5/12,0)-1),0)</f>
        <v>0</v>
      </c>
      <c r="AS46" s="65">
        <f t="shared" si="185"/>
        <v>0</v>
      </c>
      <c r="AT46" s="65">
        <f t="shared" si="185"/>
        <v>0</v>
      </c>
      <c r="AU46" s="65">
        <f t="shared" si="185"/>
        <v>0</v>
      </c>
      <c r="AV46" s="65">
        <f t="shared" si="185"/>
        <v>0</v>
      </c>
      <c r="AW46" s="65">
        <f t="shared" si="185"/>
        <v>0</v>
      </c>
      <c r="AX46" s="65">
        <f t="shared" si="185"/>
        <v>0</v>
      </c>
      <c r="AY46" s="65">
        <f t="shared" si="185"/>
        <v>0</v>
      </c>
      <c r="AZ46" s="65">
        <f t="shared" si="185"/>
        <v>0</v>
      </c>
      <c r="BA46" s="65">
        <f t="shared" si="185"/>
        <v>0</v>
      </c>
      <c r="BB46" s="65">
        <f t="shared" si="185"/>
        <v>0</v>
      </c>
      <c r="BC46" s="65">
        <f t="shared" si="185"/>
        <v>0</v>
      </c>
      <c r="BD46" s="65">
        <f t="shared" si="185"/>
        <v>0</v>
      </c>
      <c r="BE46" s="65">
        <f t="shared" si="185"/>
        <v>0</v>
      </c>
      <c r="BF46" s="65">
        <f t="shared" si="185"/>
        <v>0</v>
      </c>
      <c r="BG46" s="65">
        <f t="shared" si="185"/>
        <v>0</v>
      </c>
      <c r="BH46" s="65">
        <f t="shared" si="185"/>
        <v>0</v>
      </c>
      <c r="BI46" s="65">
        <f t="shared" si="185"/>
        <v>0</v>
      </c>
      <c r="BJ46" s="65">
        <f t="shared" si="185"/>
        <v>0</v>
      </c>
      <c r="BK46" s="65">
        <f t="shared" si="185"/>
        <v>0</v>
      </c>
      <c r="BL46" s="65">
        <f t="shared" si="185"/>
        <v>0</v>
      </c>
      <c r="BM46" s="65">
        <f t="shared" si="185"/>
        <v>0</v>
      </c>
      <c r="BN46" s="65">
        <f t="shared" si="185"/>
        <v>0</v>
      </c>
      <c r="BO46" s="65">
        <f t="shared" si="185"/>
        <v>0</v>
      </c>
      <c r="BP46" s="65">
        <f t="shared" si="185"/>
        <v>0</v>
      </c>
      <c r="BQ46" s="65">
        <f t="shared" si="185"/>
        <v>0</v>
      </c>
      <c r="BR46" s="65">
        <f t="shared" si="185"/>
        <v>0</v>
      </c>
      <c r="BS46" s="65">
        <f t="shared" si="185"/>
        <v>0</v>
      </c>
      <c r="BT46" s="65">
        <f t="shared" si="185"/>
        <v>0</v>
      </c>
      <c r="BU46" s="65">
        <f t="shared" si="185"/>
        <v>0</v>
      </c>
      <c r="BV46" s="65">
        <f t="shared" si="185"/>
        <v>0</v>
      </c>
      <c r="BW46" s="65">
        <f t="shared" si="185"/>
        <v>0</v>
      </c>
      <c r="BX46" s="65">
        <f t="shared" ref="BX46" si="186">IFERROR($J46/12*BX$20*(1+$G46)^(ROUNDUP(BX$5/12,0)-1),0)</f>
        <v>0</v>
      </c>
      <c r="BY46" s="65">
        <f t="shared" ref="BY46:EO46" si="187">IFERROR($J46/12*BY$20*(1+$G46)^(ROUNDUP(BY$5/12,0)-1),0)</f>
        <v>0</v>
      </c>
      <c r="BZ46" s="65">
        <f t="shared" si="187"/>
        <v>0</v>
      </c>
      <c r="CA46" s="65">
        <f t="shared" si="187"/>
        <v>0</v>
      </c>
      <c r="CB46" s="65">
        <f t="shared" si="187"/>
        <v>0</v>
      </c>
      <c r="CC46" s="65">
        <f t="shared" si="187"/>
        <v>0</v>
      </c>
      <c r="CD46" s="65">
        <f t="shared" si="187"/>
        <v>0</v>
      </c>
      <c r="CE46" s="65">
        <f t="shared" si="187"/>
        <v>0</v>
      </c>
      <c r="CF46" s="65">
        <f t="shared" si="187"/>
        <v>0</v>
      </c>
      <c r="CG46" s="65">
        <f t="shared" si="187"/>
        <v>0</v>
      </c>
      <c r="CH46" s="65">
        <f t="shared" si="187"/>
        <v>0</v>
      </c>
      <c r="CI46" s="65">
        <f t="shared" si="187"/>
        <v>0</v>
      </c>
      <c r="CJ46" s="65">
        <f t="shared" si="187"/>
        <v>0</v>
      </c>
      <c r="CK46" s="65">
        <f t="shared" si="187"/>
        <v>0</v>
      </c>
      <c r="CL46" s="65">
        <f t="shared" si="187"/>
        <v>0</v>
      </c>
      <c r="CM46" s="65">
        <f t="shared" si="187"/>
        <v>0</v>
      </c>
      <c r="CN46" s="65">
        <f t="shared" si="187"/>
        <v>0</v>
      </c>
      <c r="CO46" s="65">
        <f t="shared" si="187"/>
        <v>0</v>
      </c>
      <c r="CP46" s="65">
        <f t="shared" si="187"/>
        <v>0</v>
      </c>
      <c r="CQ46" s="65">
        <f t="shared" si="187"/>
        <v>0</v>
      </c>
      <c r="CR46" s="65">
        <f t="shared" si="187"/>
        <v>0</v>
      </c>
      <c r="CS46" s="65">
        <f t="shared" si="187"/>
        <v>0</v>
      </c>
      <c r="CT46" s="65">
        <f t="shared" si="187"/>
        <v>0</v>
      </c>
      <c r="CU46" s="65">
        <f t="shared" si="187"/>
        <v>0</v>
      </c>
      <c r="CV46" s="65">
        <f t="shared" si="187"/>
        <v>0</v>
      </c>
      <c r="CW46" s="65">
        <f t="shared" si="187"/>
        <v>0</v>
      </c>
      <c r="CX46" s="65">
        <f t="shared" si="187"/>
        <v>0</v>
      </c>
      <c r="CY46" s="65">
        <f t="shared" si="187"/>
        <v>0</v>
      </c>
      <c r="CZ46" s="65">
        <f t="shared" si="187"/>
        <v>0</v>
      </c>
      <c r="DA46" s="65">
        <f t="shared" si="187"/>
        <v>0</v>
      </c>
      <c r="DB46" s="65">
        <f t="shared" si="187"/>
        <v>0</v>
      </c>
      <c r="DC46" s="65">
        <f t="shared" si="187"/>
        <v>0</v>
      </c>
      <c r="DD46" s="65">
        <f t="shared" si="187"/>
        <v>0</v>
      </c>
      <c r="DE46" s="65">
        <f t="shared" si="187"/>
        <v>0</v>
      </c>
      <c r="DF46" s="65">
        <f t="shared" si="187"/>
        <v>0</v>
      </c>
      <c r="DG46" s="65">
        <f t="shared" si="187"/>
        <v>0</v>
      </c>
      <c r="DH46" s="65">
        <f t="shared" si="187"/>
        <v>0</v>
      </c>
      <c r="DI46" s="65">
        <f t="shared" si="187"/>
        <v>0</v>
      </c>
      <c r="DJ46" s="65">
        <f t="shared" si="187"/>
        <v>0</v>
      </c>
      <c r="DK46" s="65">
        <f t="shared" si="187"/>
        <v>0</v>
      </c>
      <c r="DL46" s="65">
        <f t="shared" si="187"/>
        <v>0</v>
      </c>
      <c r="DM46" s="65">
        <f t="shared" si="187"/>
        <v>0</v>
      </c>
      <c r="DN46" s="65">
        <f t="shared" si="187"/>
        <v>0</v>
      </c>
      <c r="DO46" s="65">
        <f t="shared" si="187"/>
        <v>0</v>
      </c>
      <c r="DP46" s="65">
        <f t="shared" si="187"/>
        <v>0</v>
      </c>
      <c r="DQ46" s="65">
        <f t="shared" si="187"/>
        <v>0</v>
      </c>
      <c r="DR46" s="65">
        <f t="shared" si="187"/>
        <v>0</v>
      </c>
      <c r="DS46" s="65">
        <f t="shared" si="187"/>
        <v>0</v>
      </c>
      <c r="DT46" s="65">
        <f t="shared" si="187"/>
        <v>0</v>
      </c>
      <c r="DU46" s="65">
        <f t="shared" si="187"/>
        <v>0</v>
      </c>
      <c r="DV46" s="65">
        <f t="shared" si="187"/>
        <v>0</v>
      </c>
      <c r="DW46" s="65">
        <f t="shared" si="187"/>
        <v>0</v>
      </c>
      <c r="DX46" s="65">
        <f t="shared" si="187"/>
        <v>0</v>
      </c>
      <c r="DY46" s="65">
        <f t="shared" si="187"/>
        <v>0</v>
      </c>
      <c r="DZ46" s="65">
        <f t="shared" si="187"/>
        <v>0</v>
      </c>
      <c r="EA46" s="65">
        <f t="shared" si="187"/>
        <v>0</v>
      </c>
      <c r="EB46" s="65">
        <f t="shared" si="187"/>
        <v>0</v>
      </c>
      <c r="EC46" s="65">
        <f t="shared" si="187"/>
        <v>0</v>
      </c>
      <c r="ED46" s="65">
        <f t="shared" si="187"/>
        <v>0</v>
      </c>
      <c r="EE46" s="65">
        <f t="shared" si="187"/>
        <v>0</v>
      </c>
      <c r="EF46" s="65">
        <f t="shared" si="187"/>
        <v>0</v>
      </c>
      <c r="EG46" s="65">
        <f t="shared" si="187"/>
        <v>0</v>
      </c>
      <c r="EH46" s="65">
        <f t="shared" si="187"/>
        <v>0</v>
      </c>
      <c r="EI46" s="65">
        <f t="shared" si="187"/>
        <v>0</v>
      </c>
      <c r="EJ46" s="65">
        <f t="shared" si="187"/>
        <v>0</v>
      </c>
      <c r="EK46" s="65">
        <f t="shared" si="187"/>
        <v>0</v>
      </c>
      <c r="EL46" s="65">
        <f t="shared" si="187"/>
        <v>0</v>
      </c>
      <c r="EM46" s="65">
        <f t="shared" si="187"/>
        <v>0</v>
      </c>
      <c r="EN46" s="65">
        <f t="shared" si="187"/>
        <v>0</v>
      </c>
      <c r="EO46" s="65">
        <f t="shared" si="187"/>
        <v>0</v>
      </c>
    </row>
    <row r="47" spans="2:145" x14ac:dyDescent="0.45">
      <c r="B47" s="71" t="s">
        <v>119</v>
      </c>
      <c r="C47" s="71"/>
      <c r="D47" s="71"/>
      <c r="E47" s="71"/>
      <c r="F47" s="71"/>
      <c r="G47" s="133"/>
      <c r="H47" s="102"/>
      <c r="I47" s="98">
        <f>IFERROR(J47/F19,0)</f>
        <v>0</v>
      </c>
      <c r="J47" s="72">
        <f>SUM(J43:J46)</f>
        <v>0</v>
      </c>
      <c r="L47" s="72">
        <f>SUM(L43:L46)</f>
        <v>0</v>
      </c>
      <c r="M47" s="72">
        <f t="shared" ref="M47:AF47" si="188">SUM(M43:M46)</f>
        <v>0</v>
      </c>
      <c r="N47" s="72">
        <f t="shared" si="188"/>
        <v>0</v>
      </c>
      <c r="O47" s="72">
        <f t="shared" si="188"/>
        <v>0</v>
      </c>
      <c r="P47" s="72">
        <f t="shared" si="188"/>
        <v>0</v>
      </c>
      <c r="Q47" s="72">
        <f t="shared" si="188"/>
        <v>0</v>
      </c>
      <c r="R47" s="72">
        <f t="shared" si="188"/>
        <v>0</v>
      </c>
      <c r="S47" s="72">
        <f t="shared" si="188"/>
        <v>0</v>
      </c>
      <c r="T47" s="72">
        <f t="shared" si="188"/>
        <v>0</v>
      </c>
      <c r="U47" s="72">
        <f t="shared" si="188"/>
        <v>0</v>
      </c>
      <c r="V47" s="72">
        <f t="shared" si="188"/>
        <v>0</v>
      </c>
      <c r="W47" s="72">
        <f t="shared" si="188"/>
        <v>0</v>
      </c>
      <c r="X47" s="72">
        <f t="shared" si="188"/>
        <v>0</v>
      </c>
      <c r="Y47" s="72">
        <f t="shared" si="188"/>
        <v>0</v>
      </c>
      <c r="Z47" s="72">
        <f t="shared" si="188"/>
        <v>0</v>
      </c>
      <c r="AA47" s="72">
        <f t="shared" si="188"/>
        <v>0</v>
      </c>
      <c r="AB47" s="72">
        <f t="shared" si="188"/>
        <v>0</v>
      </c>
      <c r="AC47" s="72">
        <f t="shared" si="188"/>
        <v>0</v>
      </c>
      <c r="AD47" s="72">
        <f t="shared" si="188"/>
        <v>0</v>
      </c>
      <c r="AE47" s="72">
        <f t="shared" si="188"/>
        <v>0</v>
      </c>
      <c r="AF47" s="72">
        <f t="shared" si="188"/>
        <v>0</v>
      </c>
      <c r="AG47" s="72">
        <f t="shared" ref="AG47" si="189">SUM(AG43:AG46)</f>
        <v>0</v>
      </c>
      <c r="AH47" s="72">
        <f t="shared" ref="AH47" si="190">SUM(AH43:AH46)</f>
        <v>0</v>
      </c>
      <c r="AI47" s="72">
        <f t="shared" ref="AI47" si="191">SUM(AI43:AI46)</f>
        <v>0</v>
      </c>
      <c r="AJ47" s="72">
        <f t="shared" ref="AJ47" si="192">SUM(AJ43:AJ46)</f>
        <v>0</v>
      </c>
      <c r="AK47" s="72">
        <f t="shared" ref="AK47" si="193">SUM(AK43:AK46)</f>
        <v>0</v>
      </c>
      <c r="AL47" s="72">
        <f t="shared" ref="AL47" si="194">SUM(AL43:AL46)</f>
        <v>0</v>
      </c>
      <c r="AM47" s="72">
        <f t="shared" ref="AM47" si="195">SUM(AM43:AM46)</f>
        <v>0</v>
      </c>
      <c r="AN47" s="72">
        <f t="shared" ref="AN47" si="196">SUM(AN43:AN46)</f>
        <v>0</v>
      </c>
      <c r="AO47" s="72">
        <f t="shared" ref="AO47" si="197">SUM(AO43:AO46)</f>
        <v>0</v>
      </c>
      <c r="AP47" s="72">
        <f t="shared" ref="AP47" si="198">SUM(AP43:AP46)</f>
        <v>0</v>
      </c>
      <c r="AQ47" s="72">
        <f t="shared" ref="AQ47" si="199">SUM(AQ43:AQ46)</f>
        <v>0</v>
      </c>
      <c r="AR47" s="72">
        <f t="shared" ref="AR47" si="200">SUM(AR43:AR46)</f>
        <v>0</v>
      </c>
      <c r="AS47" s="72">
        <f t="shared" ref="AS47" si="201">SUM(AS43:AS46)</f>
        <v>0</v>
      </c>
      <c r="AT47" s="72">
        <f t="shared" ref="AT47" si="202">SUM(AT43:AT46)</f>
        <v>0</v>
      </c>
      <c r="AU47" s="72">
        <f t="shared" ref="AU47" si="203">SUM(AU43:AU46)</f>
        <v>0</v>
      </c>
      <c r="AV47" s="72">
        <f t="shared" ref="AV47" si="204">SUM(AV43:AV46)</f>
        <v>0</v>
      </c>
      <c r="AW47" s="72">
        <f t="shared" ref="AW47" si="205">SUM(AW43:AW46)</f>
        <v>0</v>
      </c>
      <c r="AX47" s="72">
        <f t="shared" ref="AX47" si="206">SUM(AX43:AX46)</f>
        <v>0</v>
      </c>
      <c r="AY47" s="72">
        <f t="shared" ref="AY47" si="207">SUM(AY43:AY46)</f>
        <v>0</v>
      </c>
      <c r="AZ47" s="72">
        <f t="shared" ref="AZ47" si="208">SUM(AZ43:AZ46)</f>
        <v>0</v>
      </c>
      <c r="BA47" s="72">
        <f t="shared" ref="BA47" si="209">SUM(BA43:BA46)</f>
        <v>0</v>
      </c>
      <c r="BB47" s="72">
        <f t="shared" ref="BB47" si="210">SUM(BB43:BB46)</f>
        <v>0</v>
      </c>
      <c r="BC47" s="72">
        <f t="shared" ref="BC47" si="211">SUM(BC43:BC46)</f>
        <v>0</v>
      </c>
      <c r="BD47" s="72">
        <f t="shared" ref="BD47" si="212">SUM(BD43:BD46)</f>
        <v>0</v>
      </c>
      <c r="BE47" s="72">
        <f t="shared" ref="BE47" si="213">SUM(BE43:BE46)</f>
        <v>0</v>
      </c>
      <c r="BF47" s="72">
        <f t="shared" ref="BF47" si="214">SUM(BF43:BF46)</f>
        <v>0</v>
      </c>
      <c r="BG47" s="72">
        <f t="shared" ref="BG47" si="215">SUM(BG43:BG46)</f>
        <v>0</v>
      </c>
      <c r="BH47" s="72">
        <f t="shared" ref="BH47" si="216">SUM(BH43:BH46)</f>
        <v>0</v>
      </c>
      <c r="BI47" s="72">
        <f t="shared" ref="BI47" si="217">SUM(BI43:BI46)</f>
        <v>0</v>
      </c>
      <c r="BJ47" s="72">
        <f t="shared" ref="BJ47" si="218">SUM(BJ43:BJ46)</f>
        <v>0</v>
      </c>
      <c r="BK47" s="72">
        <f t="shared" ref="BK47" si="219">SUM(BK43:BK46)</f>
        <v>0</v>
      </c>
      <c r="BL47" s="72">
        <f t="shared" ref="BL47" si="220">SUM(BL43:BL46)</f>
        <v>0</v>
      </c>
      <c r="BM47" s="72">
        <f t="shared" ref="BM47" si="221">SUM(BM43:BM46)</f>
        <v>0</v>
      </c>
      <c r="BN47" s="72">
        <f t="shared" ref="BN47" si="222">SUM(BN43:BN46)</f>
        <v>0</v>
      </c>
      <c r="BO47" s="72">
        <f t="shared" ref="BO47" si="223">SUM(BO43:BO46)</f>
        <v>0</v>
      </c>
      <c r="BP47" s="72">
        <f t="shared" ref="BP47" si="224">SUM(BP43:BP46)</f>
        <v>0</v>
      </c>
      <c r="BQ47" s="72">
        <f t="shared" ref="BQ47" si="225">SUM(BQ43:BQ46)</f>
        <v>0</v>
      </c>
      <c r="BR47" s="72">
        <f t="shared" ref="BR47" si="226">SUM(BR43:BR46)</f>
        <v>0</v>
      </c>
      <c r="BS47" s="72">
        <f t="shared" ref="BS47" si="227">SUM(BS43:BS46)</f>
        <v>0</v>
      </c>
      <c r="BT47" s="72">
        <f t="shared" ref="BT47" si="228">SUM(BT43:BT46)</f>
        <v>0</v>
      </c>
      <c r="BU47" s="72">
        <f t="shared" ref="BU47" si="229">SUM(BU43:BU46)</f>
        <v>0</v>
      </c>
      <c r="BV47" s="72">
        <f t="shared" ref="BV47" si="230">SUM(BV43:BV46)</f>
        <v>0</v>
      </c>
      <c r="BW47" s="72">
        <f t="shared" ref="BW47" si="231">SUM(BW43:BW46)</f>
        <v>0</v>
      </c>
      <c r="BX47" s="72">
        <f t="shared" ref="BX47" si="232">SUM(BX43:BX46)</f>
        <v>0</v>
      </c>
      <c r="BY47" s="72">
        <f t="shared" ref="BY47" si="233">SUM(BY43:BY46)</f>
        <v>0</v>
      </c>
      <c r="BZ47" s="72">
        <f t="shared" ref="BZ47" si="234">SUM(BZ43:BZ46)</f>
        <v>0</v>
      </c>
      <c r="CA47" s="72">
        <f t="shared" ref="CA47" si="235">SUM(CA43:CA46)</f>
        <v>0</v>
      </c>
      <c r="CB47" s="72">
        <f t="shared" ref="CB47" si="236">SUM(CB43:CB46)</f>
        <v>0</v>
      </c>
      <c r="CC47" s="72">
        <f t="shared" ref="CC47" si="237">SUM(CC43:CC46)</f>
        <v>0</v>
      </c>
      <c r="CD47" s="72">
        <f t="shared" ref="CD47" si="238">SUM(CD43:CD46)</f>
        <v>0</v>
      </c>
      <c r="CE47" s="72">
        <f t="shared" ref="CE47" si="239">SUM(CE43:CE46)</f>
        <v>0</v>
      </c>
      <c r="CF47" s="72">
        <f t="shared" ref="CF47" si="240">SUM(CF43:CF46)</f>
        <v>0</v>
      </c>
      <c r="CG47" s="72">
        <f t="shared" ref="CG47" si="241">SUM(CG43:CG46)</f>
        <v>0</v>
      </c>
      <c r="CH47" s="72">
        <f t="shared" ref="CH47" si="242">SUM(CH43:CH46)</f>
        <v>0</v>
      </c>
      <c r="CI47" s="72">
        <f t="shared" ref="CI47" si="243">SUM(CI43:CI46)</f>
        <v>0</v>
      </c>
      <c r="CJ47" s="72">
        <f t="shared" ref="CJ47" si="244">SUM(CJ43:CJ46)</f>
        <v>0</v>
      </c>
      <c r="CK47" s="72">
        <f t="shared" ref="CK47" si="245">SUM(CK43:CK46)</f>
        <v>0</v>
      </c>
      <c r="CL47" s="72">
        <f t="shared" ref="CL47" si="246">SUM(CL43:CL46)</f>
        <v>0</v>
      </c>
      <c r="CM47" s="72">
        <f t="shared" ref="CM47" si="247">SUM(CM43:CM46)</f>
        <v>0</v>
      </c>
      <c r="CN47" s="72">
        <f t="shared" ref="CN47" si="248">SUM(CN43:CN46)</f>
        <v>0</v>
      </c>
      <c r="CO47" s="72">
        <f t="shared" ref="CO47" si="249">SUM(CO43:CO46)</f>
        <v>0</v>
      </c>
      <c r="CP47" s="72">
        <f t="shared" ref="CP47" si="250">SUM(CP43:CP46)</f>
        <v>0</v>
      </c>
      <c r="CQ47" s="72">
        <f t="shared" ref="CQ47:DD47" si="251">SUM(CQ43:CQ46)</f>
        <v>0</v>
      </c>
      <c r="CR47" s="72">
        <f t="shared" si="251"/>
        <v>0</v>
      </c>
      <c r="CS47" s="72">
        <f t="shared" si="251"/>
        <v>0</v>
      </c>
      <c r="CT47" s="72">
        <f t="shared" si="251"/>
        <v>0</v>
      </c>
      <c r="CU47" s="72">
        <f t="shared" si="251"/>
        <v>0</v>
      </c>
      <c r="CV47" s="72">
        <f t="shared" si="251"/>
        <v>0</v>
      </c>
      <c r="CW47" s="72">
        <f t="shared" si="251"/>
        <v>0</v>
      </c>
      <c r="CX47" s="72">
        <f t="shared" si="251"/>
        <v>0</v>
      </c>
      <c r="CY47" s="72">
        <f t="shared" si="251"/>
        <v>0</v>
      </c>
      <c r="CZ47" s="72">
        <f t="shared" si="251"/>
        <v>0</v>
      </c>
      <c r="DA47" s="72">
        <f t="shared" si="251"/>
        <v>0</v>
      </c>
      <c r="DB47" s="72">
        <f t="shared" si="251"/>
        <v>0</v>
      </c>
      <c r="DC47" s="72">
        <f t="shared" si="251"/>
        <v>0</v>
      </c>
      <c r="DD47" s="72">
        <f t="shared" si="251"/>
        <v>0</v>
      </c>
      <c r="DE47" s="72">
        <f t="shared" ref="DE47:EO47" si="252">SUM(DE43:DE46)</f>
        <v>0</v>
      </c>
      <c r="DF47" s="72">
        <f t="shared" si="252"/>
        <v>0</v>
      </c>
      <c r="DG47" s="72">
        <f t="shared" si="252"/>
        <v>0</v>
      </c>
      <c r="DH47" s="72">
        <f t="shared" si="252"/>
        <v>0</v>
      </c>
      <c r="DI47" s="72">
        <f t="shared" si="252"/>
        <v>0</v>
      </c>
      <c r="DJ47" s="72">
        <f t="shared" si="252"/>
        <v>0</v>
      </c>
      <c r="DK47" s="72">
        <f t="shared" si="252"/>
        <v>0</v>
      </c>
      <c r="DL47" s="72">
        <f t="shared" si="252"/>
        <v>0</v>
      </c>
      <c r="DM47" s="72">
        <f t="shared" si="252"/>
        <v>0</v>
      </c>
      <c r="DN47" s="72">
        <f t="shared" si="252"/>
        <v>0</v>
      </c>
      <c r="DO47" s="72">
        <f t="shared" si="252"/>
        <v>0</v>
      </c>
      <c r="DP47" s="72">
        <f t="shared" si="252"/>
        <v>0</v>
      </c>
      <c r="DQ47" s="72">
        <f t="shared" si="252"/>
        <v>0</v>
      </c>
      <c r="DR47" s="72">
        <f t="shared" si="252"/>
        <v>0</v>
      </c>
      <c r="DS47" s="72">
        <f t="shared" si="252"/>
        <v>0</v>
      </c>
      <c r="DT47" s="72">
        <f t="shared" si="252"/>
        <v>0</v>
      </c>
      <c r="DU47" s="72">
        <f t="shared" si="252"/>
        <v>0</v>
      </c>
      <c r="DV47" s="72">
        <f t="shared" si="252"/>
        <v>0</v>
      </c>
      <c r="DW47" s="72">
        <f t="shared" si="252"/>
        <v>0</v>
      </c>
      <c r="DX47" s="72">
        <f t="shared" si="252"/>
        <v>0</v>
      </c>
      <c r="DY47" s="72">
        <f t="shared" si="252"/>
        <v>0</v>
      </c>
      <c r="DZ47" s="72">
        <f t="shared" si="252"/>
        <v>0</v>
      </c>
      <c r="EA47" s="72">
        <f t="shared" si="252"/>
        <v>0</v>
      </c>
      <c r="EB47" s="72">
        <f t="shared" si="252"/>
        <v>0</v>
      </c>
      <c r="EC47" s="72">
        <f t="shared" si="252"/>
        <v>0</v>
      </c>
      <c r="ED47" s="72">
        <f t="shared" si="252"/>
        <v>0</v>
      </c>
      <c r="EE47" s="72">
        <f t="shared" si="252"/>
        <v>0</v>
      </c>
      <c r="EF47" s="72">
        <f t="shared" si="252"/>
        <v>0</v>
      </c>
      <c r="EG47" s="72">
        <f t="shared" si="252"/>
        <v>0</v>
      </c>
      <c r="EH47" s="72">
        <f t="shared" si="252"/>
        <v>0</v>
      </c>
      <c r="EI47" s="72">
        <f t="shared" si="252"/>
        <v>0</v>
      </c>
      <c r="EJ47" s="72">
        <f t="shared" si="252"/>
        <v>0</v>
      </c>
      <c r="EK47" s="72">
        <f t="shared" si="252"/>
        <v>0</v>
      </c>
      <c r="EL47" s="72">
        <f t="shared" si="252"/>
        <v>0</v>
      </c>
      <c r="EM47" s="72">
        <f t="shared" si="252"/>
        <v>0</v>
      </c>
      <c r="EN47" s="72">
        <f t="shared" si="252"/>
        <v>0</v>
      </c>
      <c r="EO47" s="72">
        <f t="shared" si="252"/>
        <v>0</v>
      </c>
    </row>
    <row r="48" spans="2:145" x14ac:dyDescent="0.45"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5"/>
      <c r="BG48" s="65"/>
      <c r="BH48" s="65"/>
      <c r="BI48" s="65"/>
      <c r="BJ48" s="65"/>
      <c r="BK48" s="65"/>
      <c r="BL48" s="65"/>
      <c r="BM48" s="65"/>
      <c r="BN48" s="65"/>
      <c r="BO48" s="65"/>
      <c r="BP48" s="65"/>
      <c r="BQ48" s="65"/>
      <c r="BR48" s="65"/>
      <c r="BS48" s="65"/>
      <c r="BT48" s="65"/>
      <c r="BU48" s="65"/>
      <c r="BV48" s="65"/>
      <c r="BW48" s="65"/>
      <c r="BX48" s="65"/>
      <c r="BY48" s="65"/>
      <c r="BZ48" s="65"/>
      <c r="CA48" s="65"/>
      <c r="CB48" s="65"/>
      <c r="CC48" s="65"/>
      <c r="CD48" s="65"/>
      <c r="CE48" s="65"/>
      <c r="CF48" s="65"/>
      <c r="CG48" s="65"/>
      <c r="CH48" s="65"/>
      <c r="CI48" s="65"/>
      <c r="CJ48" s="65"/>
      <c r="CK48" s="65"/>
      <c r="CL48" s="65"/>
      <c r="CM48" s="65"/>
      <c r="CN48" s="65"/>
      <c r="CO48" s="65"/>
      <c r="CP48" s="65"/>
      <c r="CQ48" s="65"/>
      <c r="CR48" s="65"/>
      <c r="CS48" s="65"/>
      <c r="CT48" s="65"/>
      <c r="CU48" s="65"/>
      <c r="CV48" s="65"/>
      <c r="CW48" s="65"/>
      <c r="CX48" s="65"/>
      <c r="CY48" s="65"/>
      <c r="CZ48" s="65"/>
      <c r="DA48" s="65"/>
      <c r="DB48" s="65"/>
      <c r="DC48" s="65"/>
      <c r="DD48" s="65"/>
      <c r="DE48" s="65"/>
      <c r="DF48" s="65"/>
      <c r="DG48" s="65"/>
      <c r="DH48" s="65"/>
      <c r="DI48" s="65"/>
      <c r="DJ48" s="65"/>
      <c r="DK48" s="65"/>
      <c r="DL48" s="65"/>
      <c r="DM48" s="65"/>
      <c r="DN48" s="65"/>
      <c r="DO48" s="65"/>
      <c r="DP48" s="65"/>
      <c r="DQ48" s="65"/>
      <c r="DR48" s="65"/>
      <c r="DS48" s="65"/>
      <c r="DT48" s="65"/>
      <c r="DU48" s="65"/>
      <c r="DV48" s="65"/>
      <c r="DW48" s="65"/>
      <c r="DX48" s="65"/>
      <c r="DY48" s="65"/>
      <c r="DZ48" s="65"/>
      <c r="EA48" s="65"/>
      <c r="EB48" s="65"/>
      <c r="EC48" s="65"/>
      <c r="ED48" s="65"/>
      <c r="EE48" s="65"/>
      <c r="EF48" s="65"/>
      <c r="EG48" s="65"/>
      <c r="EH48" s="65"/>
      <c r="EI48" s="65"/>
      <c r="EJ48" s="65"/>
      <c r="EK48" s="65"/>
      <c r="EL48" s="65"/>
      <c r="EM48" s="65"/>
      <c r="EN48" s="65"/>
      <c r="EO48" s="65"/>
    </row>
    <row r="49" spans="2:145" s="84" customFormat="1" x14ac:dyDescent="0.45">
      <c r="B49" s="123" t="s">
        <v>125</v>
      </c>
      <c r="C49" s="123"/>
      <c r="D49" s="123"/>
      <c r="E49" s="123"/>
      <c r="F49" s="123"/>
      <c r="G49" s="123"/>
      <c r="H49" s="123"/>
      <c r="I49" s="124">
        <f>IFERROR(J49/$F$19,0)</f>
        <v>0</v>
      </c>
      <c r="J49" s="125">
        <f>+SUM(J19,J36)-SUM(J39,J47)</f>
        <v>0</v>
      </c>
      <c r="L49" s="135">
        <f>+L40-L47</f>
        <v>0</v>
      </c>
      <c r="M49" s="135">
        <f t="shared" ref="M49:BX49" si="253">+M40-M47</f>
        <v>0</v>
      </c>
      <c r="N49" s="135">
        <f t="shared" si="253"/>
        <v>0</v>
      </c>
      <c r="O49" s="135">
        <f t="shared" si="253"/>
        <v>0</v>
      </c>
      <c r="P49" s="135">
        <f t="shared" si="253"/>
        <v>0</v>
      </c>
      <c r="Q49" s="135">
        <f t="shared" si="253"/>
        <v>0</v>
      </c>
      <c r="R49" s="135">
        <f t="shared" si="253"/>
        <v>0</v>
      </c>
      <c r="S49" s="135">
        <f t="shared" si="253"/>
        <v>0</v>
      </c>
      <c r="T49" s="135">
        <f t="shared" si="253"/>
        <v>0</v>
      </c>
      <c r="U49" s="135">
        <f t="shared" si="253"/>
        <v>0</v>
      </c>
      <c r="V49" s="135">
        <f t="shared" si="253"/>
        <v>0</v>
      </c>
      <c r="W49" s="135">
        <f t="shared" si="253"/>
        <v>0</v>
      </c>
      <c r="X49" s="135">
        <f t="shared" si="253"/>
        <v>0</v>
      </c>
      <c r="Y49" s="135">
        <f t="shared" si="253"/>
        <v>0</v>
      </c>
      <c r="Z49" s="135">
        <f t="shared" si="253"/>
        <v>0</v>
      </c>
      <c r="AA49" s="135">
        <f t="shared" si="253"/>
        <v>0</v>
      </c>
      <c r="AB49" s="135">
        <f t="shared" si="253"/>
        <v>0</v>
      </c>
      <c r="AC49" s="135">
        <f t="shared" si="253"/>
        <v>0</v>
      </c>
      <c r="AD49" s="135">
        <f t="shared" si="253"/>
        <v>0</v>
      </c>
      <c r="AE49" s="135">
        <f t="shared" si="253"/>
        <v>0</v>
      </c>
      <c r="AF49" s="135">
        <f t="shared" si="253"/>
        <v>0</v>
      </c>
      <c r="AG49" s="135">
        <f t="shared" si="253"/>
        <v>0</v>
      </c>
      <c r="AH49" s="135">
        <f t="shared" si="253"/>
        <v>0</v>
      </c>
      <c r="AI49" s="135">
        <f t="shared" si="253"/>
        <v>0</v>
      </c>
      <c r="AJ49" s="135">
        <f t="shared" si="253"/>
        <v>0</v>
      </c>
      <c r="AK49" s="135">
        <f t="shared" si="253"/>
        <v>0</v>
      </c>
      <c r="AL49" s="135">
        <f t="shared" si="253"/>
        <v>0</v>
      </c>
      <c r="AM49" s="135">
        <f t="shared" si="253"/>
        <v>0</v>
      </c>
      <c r="AN49" s="135">
        <f t="shared" si="253"/>
        <v>0</v>
      </c>
      <c r="AO49" s="135">
        <f t="shared" si="253"/>
        <v>0</v>
      </c>
      <c r="AP49" s="135">
        <f t="shared" si="253"/>
        <v>0</v>
      </c>
      <c r="AQ49" s="135">
        <f t="shared" si="253"/>
        <v>0</v>
      </c>
      <c r="AR49" s="135">
        <f t="shared" si="253"/>
        <v>0</v>
      </c>
      <c r="AS49" s="135">
        <f t="shared" si="253"/>
        <v>0</v>
      </c>
      <c r="AT49" s="135">
        <f t="shared" si="253"/>
        <v>0</v>
      </c>
      <c r="AU49" s="135">
        <f t="shared" si="253"/>
        <v>0</v>
      </c>
      <c r="AV49" s="135">
        <f t="shared" si="253"/>
        <v>0</v>
      </c>
      <c r="AW49" s="135">
        <f t="shared" si="253"/>
        <v>0</v>
      </c>
      <c r="AX49" s="135">
        <f t="shared" si="253"/>
        <v>0</v>
      </c>
      <c r="AY49" s="135">
        <f t="shared" si="253"/>
        <v>0</v>
      </c>
      <c r="AZ49" s="135">
        <f t="shared" si="253"/>
        <v>0</v>
      </c>
      <c r="BA49" s="135">
        <f t="shared" si="253"/>
        <v>0</v>
      </c>
      <c r="BB49" s="135">
        <f t="shared" si="253"/>
        <v>0</v>
      </c>
      <c r="BC49" s="135">
        <f t="shared" si="253"/>
        <v>0</v>
      </c>
      <c r="BD49" s="135">
        <f t="shared" si="253"/>
        <v>0</v>
      </c>
      <c r="BE49" s="135">
        <f t="shared" si="253"/>
        <v>0</v>
      </c>
      <c r="BF49" s="135">
        <f t="shared" si="253"/>
        <v>0</v>
      </c>
      <c r="BG49" s="135">
        <f t="shared" si="253"/>
        <v>0</v>
      </c>
      <c r="BH49" s="135">
        <f t="shared" si="253"/>
        <v>0</v>
      </c>
      <c r="BI49" s="135">
        <f t="shared" si="253"/>
        <v>0</v>
      </c>
      <c r="BJ49" s="135">
        <f t="shared" si="253"/>
        <v>0</v>
      </c>
      <c r="BK49" s="135">
        <f t="shared" si="253"/>
        <v>0</v>
      </c>
      <c r="BL49" s="135">
        <f t="shared" si="253"/>
        <v>0</v>
      </c>
      <c r="BM49" s="135">
        <f t="shared" si="253"/>
        <v>0</v>
      </c>
      <c r="BN49" s="135">
        <f t="shared" si="253"/>
        <v>0</v>
      </c>
      <c r="BO49" s="135">
        <f t="shared" si="253"/>
        <v>0</v>
      </c>
      <c r="BP49" s="135">
        <f t="shared" si="253"/>
        <v>0</v>
      </c>
      <c r="BQ49" s="135">
        <f t="shared" si="253"/>
        <v>0</v>
      </c>
      <c r="BR49" s="135">
        <f t="shared" si="253"/>
        <v>0</v>
      </c>
      <c r="BS49" s="135">
        <f t="shared" si="253"/>
        <v>0</v>
      </c>
      <c r="BT49" s="135">
        <f t="shared" si="253"/>
        <v>0</v>
      </c>
      <c r="BU49" s="135">
        <f t="shared" si="253"/>
        <v>0</v>
      </c>
      <c r="BV49" s="135">
        <f t="shared" si="253"/>
        <v>0</v>
      </c>
      <c r="BW49" s="135">
        <f t="shared" si="253"/>
        <v>0</v>
      </c>
      <c r="BX49" s="135">
        <f t="shared" si="253"/>
        <v>0</v>
      </c>
      <c r="BY49" s="135">
        <f t="shared" ref="BY49:CQ49" si="254">+BY40-BY47</f>
        <v>0</v>
      </c>
      <c r="BZ49" s="135">
        <f t="shared" si="254"/>
        <v>0</v>
      </c>
      <c r="CA49" s="135">
        <f t="shared" si="254"/>
        <v>0</v>
      </c>
      <c r="CB49" s="135">
        <f t="shared" si="254"/>
        <v>0</v>
      </c>
      <c r="CC49" s="135">
        <f t="shared" si="254"/>
        <v>0</v>
      </c>
      <c r="CD49" s="135">
        <f t="shared" si="254"/>
        <v>0</v>
      </c>
      <c r="CE49" s="135">
        <f t="shared" si="254"/>
        <v>0</v>
      </c>
      <c r="CF49" s="135">
        <f t="shared" si="254"/>
        <v>0</v>
      </c>
      <c r="CG49" s="135">
        <f t="shared" si="254"/>
        <v>0</v>
      </c>
      <c r="CH49" s="135">
        <f t="shared" si="254"/>
        <v>0</v>
      </c>
      <c r="CI49" s="135">
        <f t="shared" si="254"/>
        <v>0</v>
      </c>
      <c r="CJ49" s="135">
        <f t="shared" si="254"/>
        <v>0</v>
      </c>
      <c r="CK49" s="135">
        <f t="shared" si="254"/>
        <v>0</v>
      </c>
      <c r="CL49" s="135">
        <f t="shared" si="254"/>
        <v>0</v>
      </c>
      <c r="CM49" s="135">
        <f t="shared" si="254"/>
        <v>0</v>
      </c>
      <c r="CN49" s="135">
        <f t="shared" si="254"/>
        <v>0</v>
      </c>
      <c r="CO49" s="135">
        <f t="shared" si="254"/>
        <v>0</v>
      </c>
      <c r="CP49" s="135">
        <f t="shared" si="254"/>
        <v>0</v>
      </c>
      <c r="CQ49" s="135">
        <f t="shared" si="254"/>
        <v>0</v>
      </c>
      <c r="CR49" s="135">
        <f t="shared" ref="CR49:DD49" si="255">+CR40-CR47</f>
        <v>0</v>
      </c>
      <c r="CS49" s="135">
        <f t="shared" si="255"/>
        <v>0</v>
      </c>
      <c r="CT49" s="135">
        <f t="shared" si="255"/>
        <v>0</v>
      </c>
      <c r="CU49" s="135">
        <f t="shared" si="255"/>
        <v>0</v>
      </c>
      <c r="CV49" s="135">
        <f t="shared" si="255"/>
        <v>0</v>
      </c>
      <c r="CW49" s="135">
        <f t="shared" si="255"/>
        <v>0</v>
      </c>
      <c r="CX49" s="135">
        <f t="shared" si="255"/>
        <v>0</v>
      </c>
      <c r="CY49" s="135">
        <f t="shared" si="255"/>
        <v>0</v>
      </c>
      <c r="CZ49" s="135">
        <f t="shared" si="255"/>
        <v>0</v>
      </c>
      <c r="DA49" s="135">
        <f t="shared" si="255"/>
        <v>0</v>
      </c>
      <c r="DB49" s="135">
        <f t="shared" si="255"/>
        <v>0</v>
      </c>
      <c r="DC49" s="135">
        <f t="shared" si="255"/>
        <v>0</v>
      </c>
      <c r="DD49" s="135">
        <f t="shared" si="255"/>
        <v>0</v>
      </c>
      <c r="DE49" s="135">
        <f t="shared" ref="DE49:EO49" si="256">+DE40-DE47</f>
        <v>0</v>
      </c>
      <c r="DF49" s="135">
        <f t="shared" si="256"/>
        <v>0</v>
      </c>
      <c r="DG49" s="135">
        <f t="shared" si="256"/>
        <v>0</v>
      </c>
      <c r="DH49" s="135">
        <f t="shared" si="256"/>
        <v>0</v>
      </c>
      <c r="DI49" s="135">
        <f t="shared" si="256"/>
        <v>0</v>
      </c>
      <c r="DJ49" s="135">
        <f t="shared" si="256"/>
        <v>0</v>
      </c>
      <c r="DK49" s="135">
        <f t="shared" si="256"/>
        <v>0</v>
      </c>
      <c r="DL49" s="135">
        <f t="shared" si="256"/>
        <v>0</v>
      </c>
      <c r="DM49" s="135">
        <f t="shared" si="256"/>
        <v>0</v>
      </c>
      <c r="DN49" s="135">
        <f t="shared" si="256"/>
        <v>0</v>
      </c>
      <c r="DO49" s="135">
        <f t="shared" si="256"/>
        <v>0</v>
      </c>
      <c r="DP49" s="135">
        <f t="shared" si="256"/>
        <v>0</v>
      </c>
      <c r="DQ49" s="135">
        <f t="shared" si="256"/>
        <v>0</v>
      </c>
      <c r="DR49" s="135">
        <f t="shared" si="256"/>
        <v>0</v>
      </c>
      <c r="DS49" s="135">
        <f t="shared" si="256"/>
        <v>0</v>
      </c>
      <c r="DT49" s="135">
        <f t="shared" si="256"/>
        <v>0</v>
      </c>
      <c r="DU49" s="135">
        <f t="shared" si="256"/>
        <v>0</v>
      </c>
      <c r="DV49" s="135">
        <f t="shared" si="256"/>
        <v>0</v>
      </c>
      <c r="DW49" s="135">
        <f t="shared" si="256"/>
        <v>0</v>
      </c>
      <c r="DX49" s="135">
        <f t="shared" si="256"/>
        <v>0</v>
      </c>
      <c r="DY49" s="135">
        <f t="shared" si="256"/>
        <v>0</v>
      </c>
      <c r="DZ49" s="135">
        <f t="shared" si="256"/>
        <v>0</v>
      </c>
      <c r="EA49" s="135">
        <f t="shared" si="256"/>
        <v>0</v>
      </c>
      <c r="EB49" s="135">
        <f t="shared" si="256"/>
        <v>0</v>
      </c>
      <c r="EC49" s="135">
        <f t="shared" si="256"/>
        <v>0</v>
      </c>
      <c r="ED49" s="135">
        <f t="shared" si="256"/>
        <v>0</v>
      </c>
      <c r="EE49" s="135">
        <f t="shared" si="256"/>
        <v>0</v>
      </c>
      <c r="EF49" s="135">
        <f t="shared" si="256"/>
        <v>0</v>
      </c>
      <c r="EG49" s="135">
        <f t="shared" si="256"/>
        <v>0</v>
      </c>
      <c r="EH49" s="135">
        <f t="shared" si="256"/>
        <v>0</v>
      </c>
      <c r="EI49" s="135">
        <f t="shared" si="256"/>
        <v>0</v>
      </c>
      <c r="EJ49" s="135">
        <f t="shared" si="256"/>
        <v>0</v>
      </c>
      <c r="EK49" s="135">
        <f t="shared" si="256"/>
        <v>0</v>
      </c>
      <c r="EL49" s="135">
        <f t="shared" si="256"/>
        <v>0</v>
      </c>
      <c r="EM49" s="135">
        <f t="shared" si="256"/>
        <v>0</v>
      </c>
      <c r="EN49" s="135">
        <f t="shared" si="256"/>
        <v>0</v>
      </c>
      <c r="EO49" s="135">
        <f t="shared" si="256"/>
        <v>0</v>
      </c>
    </row>
    <row r="50" spans="2:145" x14ac:dyDescent="0.45"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5"/>
      <c r="BH50" s="65"/>
      <c r="BI50" s="65"/>
      <c r="BJ50" s="65"/>
      <c r="BK50" s="65"/>
      <c r="BL50" s="65"/>
      <c r="BM50" s="65"/>
      <c r="BN50" s="65"/>
      <c r="BO50" s="65"/>
      <c r="BP50" s="65"/>
      <c r="BQ50" s="65"/>
      <c r="BR50" s="65"/>
      <c r="BS50" s="65"/>
      <c r="BT50" s="65"/>
      <c r="BU50" s="65"/>
      <c r="BV50" s="65"/>
      <c r="BW50" s="65"/>
      <c r="BX50" s="65"/>
      <c r="BY50" s="65"/>
      <c r="BZ50" s="65"/>
      <c r="CA50" s="65"/>
      <c r="CB50" s="65"/>
      <c r="CC50" s="65"/>
      <c r="CD50" s="65"/>
      <c r="CE50" s="65"/>
      <c r="CF50" s="65"/>
      <c r="CG50" s="65"/>
      <c r="CH50" s="65"/>
      <c r="CI50" s="65"/>
      <c r="CJ50" s="65"/>
      <c r="CK50" s="65"/>
      <c r="CL50" s="65"/>
      <c r="CM50" s="65"/>
      <c r="CN50" s="65"/>
      <c r="CO50" s="65"/>
      <c r="CP50" s="65"/>
      <c r="CQ50" s="65"/>
      <c r="CR50" s="65"/>
      <c r="CS50" s="65"/>
      <c r="CT50" s="65"/>
      <c r="CU50" s="65"/>
      <c r="CV50" s="65"/>
      <c r="CW50" s="65"/>
      <c r="CX50" s="65"/>
      <c r="CY50" s="65"/>
      <c r="CZ50" s="65"/>
      <c r="DA50" s="65"/>
      <c r="DB50" s="65"/>
      <c r="DC50" s="65"/>
      <c r="DD50" s="65"/>
      <c r="DE50" s="65"/>
      <c r="DF50" s="65"/>
      <c r="DG50" s="65"/>
      <c r="DH50" s="65"/>
      <c r="DI50" s="65"/>
      <c r="DJ50" s="65"/>
      <c r="DK50" s="65"/>
      <c r="DL50" s="65"/>
      <c r="DM50" s="65"/>
      <c r="DN50" s="65"/>
      <c r="DO50" s="65"/>
      <c r="DP50" s="65"/>
      <c r="DQ50" s="65"/>
      <c r="DR50" s="65"/>
      <c r="DS50" s="65"/>
      <c r="DT50" s="65"/>
      <c r="DU50" s="65"/>
      <c r="DV50" s="65"/>
      <c r="DW50" s="65"/>
      <c r="DX50" s="65"/>
      <c r="DY50" s="65"/>
      <c r="DZ50" s="65"/>
      <c r="EA50" s="65"/>
      <c r="EB50" s="65"/>
      <c r="EC50" s="65"/>
      <c r="ED50" s="65"/>
      <c r="EE50" s="65"/>
      <c r="EF50" s="65"/>
      <c r="EG50" s="65"/>
      <c r="EH50" s="65"/>
      <c r="EI50" s="65"/>
      <c r="EJ50" s="65"/>
      <c r="EK50" s="65"/>
      <c r="EL50" s="65"/>
      <c r="EM50" s="65"/>
      <c r="EN50" s="65"/>
      <c r="EO50" s="65"/>
    </row>
    <row r="51" spans="2:145" x14ac:dyDescent="0.45">
      <c r="B51" s="60" t="s">
        <v>48</v>
      </c>
      <c r="C51" s="60"/>
      <c r="D51" s="60" t="s">
        <v>131</v>
      </c>
      <c r="E51" s="60" t="s">
        <v>132</v>
      </c>
      <c r="G51" s="60"/>
      <c r="H51" s="60"/>
      <c r="I51" s="91" t="s">
        <v>131</v>
      </c>
      <c r="J51" s="91" t="s">
        <v>132</v>
      </c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65"/>
      <c r="BJ51" s="65"/>
      <c r="BK51" s="65"/>
      <c r="BL51" s="65"/>
      <c r="BM51" s="65"/>
      <c r="BN51" s="65"/>
      <c r="BO51" s="65"/>
      <c r="BP51" s="65"/>
      <c r="BQ51" s="65"/>
      <c r="BR51" s="65"/>
      <c r="BS51" s="65"/>
      <c r="BT51" s="65"/>
      <c r="BU51" s="65"/>
      <c r="BV51" s="65"/>
      <c r="BW51" s="65"/>
      <c r="BX51" s="65"/>
      <c r="BY51" s="65"/>
      <c r="BZ51" s="65"/>
      <c r="CA51" s="65"/>
      <c r="CB51" s="65"/>
      <c r="CC51" s="65"/>
      <c r="CD51" s="65"/>
      <c r="CE51" s="65"/>
      <c r="CF51" s="65"/>
      <c r="CG51" s="65"/>
      <c r="CH51" s="65"/>
      <c r="CI51" s="65"/>
      <c r="CJ51" s="65"/>
      <c r="CK51" s="65"/>
      <c r="CL51" s="65"/>
      <c r="CM51" s="65"/>
      <c r="CN51" s="65"/>
      <c r="CO51" s="65"/>
      <c r="CP51" s="65"/>
      <c r="CQ51" s="65"/>
      <c r="CR51" s="65"/>
      <c r="CS51" s="65"/>
      <c r="CT51" s="65"/>
      <c r="CU51" s="65"/>
      <c r="CV51" s="65"/>
      <c r="CW51" s="65"/>
      <c r="CX51" s="65"/>
      <c r="CY51" s="65"/>
      <c r="CZ51" s="65"/>
      <c r="DA51" s="65"/>
      <c r="DB51" s="65"/>
      <c r="DC51" s="65"/>
      <c r="DD51" s="65"/>
      <c r="DE51" s="65"/>
      <c r="DF51" s="65"/>
      <c r="DG51" s="65"/>
      <c r="DH51" s="65"/>
      <c r="DI51" s="65"/>
      <c r="DJ51" s="65"/>
      <c r="DK51" s="65"/>
      <c r="DL51" s="65"/>
      <c r="DM51" s="65"/>
      <c r="DN51" s="65"/>
      <c r="DO51" s="65"/>
      <c r="DP51" s="65"/>
      <c r="DQ51" s="65"/>
      <c r="DR51" s="65"/>
      <c r="DS51" s="65"/>
      <c r="DT51" s="65"/>
      <c r="DU51" s="65"/>
      <c r="DV51" s="65"/>
      <c r="DW51" s="65"/>
      <c r="DX51" s="65"/>
      <c r="DY51" s="65"/>
      <c r="DZ51" s="65"/>
      <c r="EA51" s="65"/>
      <c r="EB51" s="65"/>
      <c r="EC51" s="65"/>
      <c r="ED51" s="65"/>
      <c r="EE51" s="65"/>
      <c r="EF51" s="65"/>
      <c r="EG51" s="65"/>
      <c r="EH51" s="65"/>
      <c r="EI51" s="65"/>
      <c r="EJ51" s="65"/>
      <c r="EK51" s="65"/>
      <c r="EL51" s="65"/>
      <c r="EM51" s="65"/>
      <c r="EN51" s="65"/>
      <c r="EO51" s="65"/>
    </row>
    <row r="52" spans="2:145" x14ac:dyDescent="0.45">
      <c r="B52" s="58" t="s">
        <v>129</v>
      </c>
      <c r="D52" s="115">
        <f>1-E52</f>
        <v>0.30000000000000004</v>
      </c>
      <c r="E52" s="110">
        <v>0.7</v>
      </c>
      <c r="G52" s="58" t="s">
        <v>126</v>
      </c>
      <c r="I52" s="108">
        <f>+$F$19*D52*D54</f>
        <v>0</v>
      </c>
      <c r="J52" s="108">
        <f>+$F$19*E52*E54</f>
        <v>0</v>
      </c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  <c r="BE52" s="65"/>
      <c r="BF52" s="65"/>
      <c r="BG52" s="65"/>
      <c r="BH52" s="65"/>
      <c r="BI52" s="65"/>
      <c r="BJ52" s="65"/>
      <c r="BK52" s="65"/>
      <c r="BL52" s="65"/>
      <c r="BM52" s="65"/>
      <c r="BN52" s="65"/>
      <c r="BO52" s="65"/>
      <c r="BP52" s="65"/>
      <c r="BQ52" s="65"/>
      <c r="BR52" s="65"/>
      <c r="BS52" s="65"/>
      <c r="BT52" s="65"/>
      <c r="BU52" s="65"/>
      <c r="BV52" s="65"/>
      <c r="BW52" s="65"/>
      <c r="BX52" s="65"/>
      <c r="BY52" s="65"/>
      <c r="BZ52" s="65"/>
      <c r="CA52" s="65"/>
      <c r="CB52" s="65"/>
      <c r="CC52" s="65"/>
      <c r="CD52" s="65"/>
      <c r="CE52" s="65"/>
      <c r="CF52" s="65"/>
      <c r="CG52" s="65"/>
      <c r="CH52" s="65"/>
      <c r="CI52" s="65"/>
      <c r="CJ52" s="65"/>
      <c r="CK52" s="65"/>
      <c r="CL52" s="65"/>
      <c r="CM52" s="65"/>
      <c r="CN52" s="65"/>
      <c r="CO52" s="65"/>
      <c r="CP52" s="65"/>
      <c r="CQ52" s="65"/>
      <c r="CR52" s="65"/>
      <c r="CS52" s="65"/>
      <c r="CT52" s="65"/>
      <c r="CU52" s="65"/>
      <c r="CV52" s="65"/>
      <c r="CW52" s="65"/>
      <c r="CX52" s="65"/>
      <c r="CY52" s="65"/>
      <c r="CZ52" s="65"/>
      <c r="DA52" s="65"/>
      <c r="DB52" s="65"/>
      <c r="DC52" s="65"/>
      <c r="DD52" s="65"/>
      <c r="DE52" s="65"/>
      <c r="DF52" s="65"/>
      <c r="DG52" s="65"/>
      <c r="DH52" s="65"/>
      <c r="DI52" s="65"/>
      <c r="DJ52" s="65"/>
      <c r="DK52" s="65"/>
      <c r="DL52" s="65"/>
      <c r="DM52" s="65"/>
      <c r="DN52" s="65"/>
      <c r="DO52" s="65"/>
      <c r="DP52" s="65"/>
      <c r="DQ52" s="65"/>
      <c r="DR52" s="65"/>
      <c r="DS52" s="65"/>
      <c r="DT52" s="65"/>
      <c r="DU52" s="65"/>
      <c r="DV52" s="65"/>
      <c r="DW52" s="65"/>
      <c r="DX52" s="65"/>
      <c r="DY52" s="65"/>
      <c r="DZ52" s="65"/>
      <c r="EA52" s="65"/>
      <c r="EB52" s="65"/>
      <c r="EC52" s="65"/>
      <c r="ED52" s="65"/>
      <c r="EE52" s="65"/>
      <c r="EF52" s="65"/>
      <c r="EG52" s="65"/>
      <c r="EH52" s="65"/>
      <c r="EI52" s="65"/>
      <c r="EJ52" s="65"/>
      <c r="EK52" s="65"/>
      <c r="EL52" s="65"/>
      <c r="EM52" s="65"/>
      <c r="EN52" s="65"/>
      <c r="EO52" s="65"/>
    </row>
    <row r="53" spans="2:145" x14ac:dyDescent="0.45">
      <c r="B53" s="58" t="s">
        <v>130</v>
      </c>
      <c r="D53" s="116">
        <v>25</v>
      </c>
      <c r="E53" s="116">
        <v>15</v>
      </c>
      <c r="G53" s="58" t="s">
        <v>134</v>
      </c>
      <c r="I53" s="108">
        <f>+D52*$F$19*D53*D56*D55</f>
        <v>0</v>
      </c>
      <c r="J53" s="108">
        <f>+E52*$F$19*E53*E56*E55</f>
        <v>0</v>
      </c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65"/>
      <c r="BJ53" s="65"/>
      <c r="BK53" s="65"/>
      <c r="BL53" s="65"/>
      <c r="BM53" s="65"/>
      <c r="BN53" s="65"/>
      <c r="BO53" s="65"/>
      <c r="BP53" s="65"/>
      <c r="BQ53" s="65"/>
      <c r="BR53" s="65"/>
      <c r="BS53" s="65"/>
      <c r="BT53" s="65"/>
      <c r="BU53" s="65"/>
      <c r="BV53" s="65"/>
      <c r="BW53" s="65"/>
      <c r="BX53" s="65"/>
      <c r="BY53" s="65"/>
      <c r="BZ53" s="65"/>
      <c r="CA53" s="65"/>
      <c r="CB53" s="65"/>
      <c r="CC53" s="65"/>
      <c r="CD53" s="65"/>
      <c r="CE53" s="65"/>
      <c r="CF53" s="65"/>
      <c r="CG53" s="65"/>
      <c r="CH53" s="65"/>
      <c r="CI53" s="65"/>
      <c r="CJ53" s="65"/>
      <c r="CK53" s="65"/>
      <c r="CL53" s="65"/>
      <c r="CM53" s="65"/>
      <c r="CN53" s="65"/>
      <c r="CO53" s="65"/>
      <c r="CP53" s="65"/>
      <c r="CQ53" s="65"/>
      <c r="CR53" s="65"/>
      <c r="CS53" s="65"/>
      <c r="CT53" s="65"/>
      <c r="CU53" s="65"/>
      <c r="CV53" s="65"/>
      <c r="CW53" s="65"/>
      <c r="CX53" s="65"/>
      <c r="CY53" s="65"/>
      <c r="CZ53" s="65"/>
      <c r="DA53" s="65"/>
      <c r="DB53" s="65"/>
      <c r="DC53" s="65"/>
      <c r="DD53" s="65"/>
      <c r="DE53" s="65"/>
      <c r="DF53" s="65"/>
      <c r="DG53" s="65"/>
      <c r="DH53" s="65"/>
      <c r="DI53" s="65"/>
      <c r="DJ53" s="65"/>
      <c r="DK53" s="65"/>
      <c r="DL53" s="65"/>
      <c r="DM53" s="65"/>
      <c r="DN53" s="65"/>
      <c r="DO53" s="65"/>
      <c r="DP53" s="65"/>
      <c r="DQ53" s="65"/>
      <c r="DR53" s="65"/>
      <c r="DS53" s="65"/>
      <c r="DT53" s="65"/>
      <c r="DU53" s="65"/>
      <c r="DV53" s="65"/>
      <c r="DW53" s="65"/>
      <c r="DX53" s="65"/>
      <c r="DY53" s="65"/>
      <c r="DZ53" s="65"/>
      <c r="EA53" s="65"/>
      <c r="EB53" s="65"/>
      <c r="EC53" s="65"/>
      <c r="ED53" s="65"/>
      <c r="EE53" s="65"/>
      <c r="EF53" s="65"/>
      <c r="EG53" s="65"/>
      <c r="EH53" s="65"/>
      <c r="EI53" s="65"/>
      <c r="EJ53" s="65"/>
      <c r="EK53" s="65"/>
      <c r="EL53" s="65"/>
      <c r="EM53" s="65"/>
      <c r="EN53" s="65"/>
      <c r="EO53" s="65"/>
    </row>
    <row r="54" spans="2:145" x14ac:dyDescent="0.45">
      <c r="B54" s="58" t="s">
        <v>133</v>
      </c>
      <c r="D54" s="116">
        <v>20</v>
      </c>
      <c r="E54" s="116">
        <v>5</v>
      </c>
      <c r="G54" s="94" t="s">
        <v>136</v>
      </c>
      <c r="H54" s="94"/>
      <c r="I54" s="117">
        <f>SUM(I52:I53)</f>
        <v>0</v>
      </c>
      <c r="J54" s="117">
        <f>SUM(J52:J53)</f>
        <v>0</v>
      </c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  <c r="BO54" s="65"/>
      <c r="BP54" s="65"/>
      <c r="BQ54" s="65"/>
      <c r="BR54" s="65"/>
      <c r="BS54" s="65"/>
      <c r="BT54" s="65"/>
      <c r="BU54" s="65"/>
      <c r="BV54" s="65"/>
      <c r="BW54" s="65"/>
      <c r="BX54" s="65"/>
      <c r="BY54" s="65"/>
      <c r="BZ54" s="65"/>
      <c r="CA54" s="65"/>
      <c r="CB54" s="65"/>
      <c r="CC54" s="65"/>
      <c r="CD54" s="65"/>
      <c r="CE54" s="65"/>
      <c r="CF54" s="65"/>
      <c r="CG54" s="65"/>
      <c r="CH54" s="65"/>
      <c r="CI54" s="65"/>
      <c r="CJ54" s="65"/>
      <c r="CK54" s="65"/>
      <c r="CL54" s="65"/>
      <c r="CM54" s="65"/>
      <c r="CN54" s="65"/>
      <c r="CO54" s="65"/>
      <c r="CP54" s="65"/>
      <c r="CQ54" s="65"/>
      <c r="CR54" s="65"/>
      <c r="CS54" s="65"/>
      <c r="CT54" s="65"/>
      <c r="CU54" s="65"/>
      <c r="CV54" s="65"/>
      <c r="CW54" s="65"/>
      <c r="CX54" s="65"/>
      <c r="CY54" s="65"/>
      <c r="CZ54" s="65"/>
      <c r="DA54" s="65"/>
      <c r="DB54" s="65"/>
      <c r="DC54" s="65"/>
      <c r="DD54" s="65"/>
      <c r="DE54" s="65"/>
      <c r="DF54" s="65"/>
      <c r="DG54" s="65"/>
      <c r="DH54" s="65"/>
      <c r="DI54" s="65"/>
      <c r="DJ54" s="65"/>
      <c r="DK54" s="65"/>
      <c r="DL54" s="65"/>
      <c r="DM54" s="65"/>
      <c r="DN54" s="65"/>
      <c r="DO54" s="65"/>
      <c r="DP54" s="65"/>
      <c r="DQ54" s="65"/>
      <c r="DR54" s="65"/>
      <c r="DS54" s="65"/>
      <c r="DT54" s="65"/>
      <c r="DU54" s="65"/>
      <c r="DV54" s="65"/>
      <c r="DW54" s="65"/>
      <c r="DX54" s="65"/>
      <c r="DY54" s="65"/>
      <c r="DZ54" s="65"/>
      <c r="EA54" s="65"/>
      <c r="EB54" s="65"/>
      <c r="EC54" s="65"/>
      <c r="ED54" s="65"/>
      <c r="EE54" s="65"/>
      <c r="EF54" s="65"/>
      <c r="EG54" s="65"/>
      <c r="EH54" s="65"/>
      <c r="EI54" s="65"/>
      <c r="EJ54" s="65"/>
      <c r="EK54" s="65"/>
      <c r="EL54" s="65"/>
      <c r="EM54" s="65"/>
      <c r="EN54" s="65"/>
      <c r="EO54" s="65"/>
    </row>
    <row r="55" spans="2:145" x14ac:dyDescent="0.45">
      <c r="B55" s="58" t="s">
        <v>134</v>
      </c>
      <c r="D55" s="110">
        <v>7.0000000000000007E-2</v>
      </c>
      <c r="E55" s="110">
        <v>0.04</v>
      </c>
      <c r="G55" s="58" t="s">
        <v>137</v>
      </c>
      <c r="I55" s="108">
        <f>+I54/D56</f>
        <v>0</v>
      </c>
      <c r="J55" s="108">
        <f>+J54/E56</f>
        <v>0</v>
      </c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/>
      <c r="BJ55" s="65"/>
      <c r="BK55" s="65"/>
      <c r="BL55" s="65"/>
      <c r="BM55" s="65"/>
      <c r="BN55" s="65"/>
      <c r="BO55" s="65"/>
      <c r="BP55" s="65"/>
      <c r="BQ55" s="65"/>
      <c r="BR55" s="65"/>
      <c r="BS55" s="65"/>
      <c r="BT55" s="65"/>
      <c r="BU55" s="65"/>
      <c r="BV55" s="65"/>
      <c r="BW55" s="65"/>
      <c r="BX55" s="65"/>
      <c r="BY55" s="65"/>
      <c r="BZ55" s="65"/>
      <c r="CA55" s="65"/>
      <c r="CB55" s="65"/>
      <c r="CC55" s="65"/>
      <c r="CD55" s="65"/>
      <c r="CE55" s="65"/>
      <c r="CF55" s="65"/>
      <c r="CG55" s="65"/>
      <c r="CH55" s="65"/>
      <c r="CI55" s="65"/>
      <c r="CJ55" s="65"/>
      <c r="CK55" s="65"/>
      <c r="CL55" s="65"/>
      <c r="CM55" s="65"/>
      <c r="CN55" s="65"/>
      <c r="CO55" s="65"/>
      <c r="CP55" s="65"/>
      <c r="CQ55" s="65"/>
      <c r="CR55" s="65"/>
      <c r="CS55" s="65"/>
      <c r="CT55" s="65"/>
      <c r="CU55" s="65"/>
      <c r="CV55" s="65"/>
      <c r="CW55" s="65"/>
      <c r="CX55" s="65"/>
      <c r="CY55" s="65"/>
      <c r="CZ55" s="65"/>
      <c r="DA55" s="65"/>
      <c r="DB55" s="65"/>
      <c r="DC55" s="65"/>
      <c r="DD55" s="65"/>
      <c r="DE55" s="65"/>
      <c r="DF55" s="65"/>
      <c r="DG55" s="65"/>
      <c r="DH55" s="65"/>
      <c r="DI55" s="65"/>
      <c r="DJ55" s="65"/>
      <c r="DK55" s="65"/>
      <c r="DL55" s="65"/>
      <c r="DM55" s="65"/>
      <c r="DN55" s="65"/>
      <c r="DO55" s="65"/>
      <c r="DP55" s="65"/>
      <c r="DQ55" s="65"/>
      <c r="DR55" s="65"/>
      <c r="DS55" s="65"/>
      <c r="DT55" s="65"/>
      <c r="DU55" s="65"/>
      <c r="DV55" s="65"/>
      <c r="DW55" s="65"/>
      <c r="DX55" s="65"/>
      <c r="DY55" s="65"/>
      <c r="DZ55" s="65"/>
      <c r="EA55" s="65"/>
      <c r="EB55" s="65"/>
      <c r="EC55" s="65"/>
      <c r="ED55" s="65"/>
      <c r="EE55" s="65"/>
      <c r="EF55" s="65"/>
      <c r="EG55" s="65"/>
      <c r="EH55" s="65"/>
      <c r="EI55" s="65"/>
      <c r="EJ55" s="65"/>
      <c r="EK55" s="65"/>
      <c r="EL55" s="65"/>
      <c r="EM55" s="65"/>
      <c r="EN55" s="65"/>
      <c r="EO55" s="65"/>
    </row>
    <row r="56" spans="2:145" x14ac:dyDescent="0.45">
      <c r="B56" s="60" t="s">
        <v>135</v>
      </c>
      <c r="C56" s="60"/>
      <c r="D56" s="119">
        <v>7</v>
      </c>
      <c r="E56" s="119">
        <v>5</v>
      </c>
      <c r="I56" s="108"/>
      <c r="J56" s="108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65"/>
      <c r="BH56" s="65"/>
      <c r="BI56" s="65"/>
      <c r="BJ56" s="65"/>
      <c r="BK56" s="65"/>
      <c r="BL56" s="65"/>
      <c r="BM56" s="65"/>
      <c r="BN56" s="65"/>
      <c r="BO56" s="65"/>
      <c r="BP56" s="65"/>
      <c r="BQ56" s="65"/>
      <c r="BR56" s="65"/>
      <c r="BS56" s="65"/>
      <c r="BT56" s="65"/>
      <c r="BU56" s="65"/>
      <c r="BV56" s="65"/>
      <c r="BW56" s="65"/>
      <c r="BX56" s="65"/>
      <c r="BY56" s="65"/>
      <c r="BZ56" s="65"/>
      <c r="CA56" s="65"/>
      <c r="CB56" s="65"/>
      <c r="CC56" s="65"/>
      <c r="CD56" s="65"/>
      <c r="CE56" s="65"/>
      <c r="CF56" s="65"/>
      <c r="CG56" s="65"/>
      <c r="CH56" s="65"/>
      <c r="CI56" s="65"/>
      <c r="CJ56" s="65"/>
      <c r="CK56" s="65"/>
      <c r="CL56" s="65"/>
      <c r="CM56" s="65"/>
      <c r="CN56" s="65"/>
      <c r="CO56" s="65"/>
      <c r="CP56" s="65"/>
      <c r="CQ56" s="65"/>
      <c r="CR56" s="65"/>
      <c r="CS56" s="65"/>
      <c r="CT56" s="65"/>
      <c r="CU56" s="65"/>
      <c r="CV56" s="65"/>
      <c r="CW56" s="65"/>
      <c r="CX56" s="65"/>
      <c r="CY56" s="65"/>
      <c r="CZ56" s="65"/>
      <c r="DA56" s="65"/>
      <c r="DB56" s="65"/>
      <c r="DC56" s="65"/>
      <c r="DD56" s="65"/>
      <c r="DE56" s="65"/>
      <c r="DF56" s="65"/>
      <c r="DG56" s="65"/>
      <c r="DH56" s="65"/>
      <c r="DI56" s="65"/>
      <c r="DJ56" s="65"/>
      <c r="DK56" s="65"/>
      <c r="DL56" s="65"/>
      <c r="DM56" s="65"/>
      <c r="DN56" s="65"/>
      <c r="DO56" s="65"/>
      <c r="DP56" s="65"/>
      <c r="DQ56" s="65"/>
      <c r="DR56" s="65"/>
      <c r="DS56" s="65"/>
      <c r="DT56" s="65"/>
      <c r="DU56" s="65"/>
      <c r="DV56" s="65"/>
      <c r="DW56" s="65"/>
      <c r="DX56" s="65"/>
      <c r="DY56" s="65"/>
      <c r="DZ56" s="65"/>
      <c r="EA56" s="65"/>
      <c r="EB56" s="65"/>
      <c r="EC56" s="65"/>
      <c r="ED56" s="65"/>
      <c r="EE56" s="65"/>
      <c r="EF56" s="65"/>
      <c r="EG56" s="65"/>
      <c r="EH56" s="65"/>
      <c r="EI56" s="65"/>
      <c r="EJ56" s="65"/>
      <c r="EK56" s="65"/>
      <c r="EL56" s="65"/>
      <c r="EM56" s="65"/>
      <c r="EN56" s="65"/>
      <c r="EO56" s="65"/>
    </row>
    <row r="57" spans="2:145" x14ac:dyDescent="0.45">
      <c r="G57" s="84" t="s">
        <v>138</v>
      </c>
      <c r="H57" s="84"/>
      <c r="I57" s="120">
        <f>IFERROR(J57/F19,0)</f>
        <v>0</v>
      </c>
      <c r="J57" s="118">
        <f>+J55+I55</f>
        <v>0</v>
      </c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65"/>
      <c r="BH57" s="65"/>
      <c r="BI57" s="65"/>
      <c r="BJ57" s="65"/>
      <c r="BK57" s="65"/>
      <c r="BL57" s="65"/>
      <c r="BM57" s="65"/>
      <c r="BN57" s="65"/>
      <c r="BO57" s="65"/>
      <c r="BP57" s="65"/>
      <c r="BQ57" s="65"/>
      <c r="BR57" s="65"/>
      <c r="BS57" s="65"/>
      <c r="BT57" s="65"/>
      <c r="BU57" s="65"/>
      <c r="BV57" s="65"/>
      <c r="BW57" s="65"/>
      <c r="BX57" s="65"/>
      <c r="BY57" s="65"/>
      <c r="BZ57" s="65"/>
      <c r="CA57" s="65"/>
      <c r="CB57" s="65"/>
      <c r="CC57" s="65"/>
      <c r="CD57" s="65"/>
      <c r="CE57" s="65"/>
      <c r="CF57" s="65"/>
      <c r="CG57" s="65"/>
      <c r="CH57" s="65"/>
      <c r="CI57" s="65"/>
      <c r="CJ57" s="65"/>
      <c r="CK57" s="65"/>
      <c r="CL57" s="65"/>
      <c r="CM57" s="65"/>
      <c r="CN57" s="65"/>
      <c r="CO57" s="65"/>
      <c r="CP57" s="65"/>
      <c r="CQ57" s="65"/>
      <c r="CR57" s="65"/>
      <c r="CS57" s="65"/>
      <c r="CT57" s="65"/>
      <c r="CU57" s="65"/>
      <c r="CV57" s="65"/>
      <c r="CW57" s="65"/>
      <c r="CX57" s="65"/>
      <c r="CY57" s="65"/>
      <c r="CZ57" s="65"/>
      <c r="DA57" s="65"/>
      <c r="DB57" s="65"/>
      <c r="DC57" s="65"/>
      <c r="DD57" s="65"/>
      <c r="DE57" s="65"/>
      <c r="DF57" s="65"/>
      <c r="DG57" s="65"/>
      <c r="DH57" s="65"/>
      <c r="DI57" s="65"/>
      <c r="DJ57" s="65"/>
      <c r="DK57" s="65"/>
      <c r="DL57" s="65"/>
      <c r="DM57" s="65"/>
      <c r="DN57" s="65"/>
      <c r="DO57" s="65"/>
      <c r="DP57" s="65"/>
      <c r="DQ57" s="65"/>
      <c r="DR57" s="65"/>
      <c r="DS57" s="65"/>
      <c r="DT57" s="65"/>
      <c r="DU57" s="65"/>
      <c r="DV57" s="65"/>
      <c r="DW57" s="65"/>
      <c r="DX57" s="65"/>
      <c r="DY57" s="65"/>
      <c r="DZ57" s="65"/>
      <c r="EA57" s="65"/>
      <c r="EB57" s="65"/>
      <c r="EC57" s="65"/>
      <c r="ED57" s="65"/>
      <c r="EE57" s="65"/>
      <c r="EF57" s="65"/>
      <c r="EG57" s="65"/>
      <c r="EH57" s="65"/>
      <c r="EI57" s="65"/>
      <c r="EJ57" s="65"/>
      <c r="EK57" s="65"/>
      <c r="EL57" s="65"/>
      <c r="EM57" s="65"/>
      <c r="EN57" s="65"/>
      <c r="EO57" s="65"/>
    </row>
    <row r="58" spans="2:145" x14ac:dyDescent="0.45">
      <c r="I58" s="108"/>
      <c r="J58" s="108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65"/>
      <c r="BL58" s="65"/>
      <c r="BM58" s="65"/>
      <c r="BN58" s="65"/>
      <c r="BO58" s="65"/>
      <c r="BP58" s="65"/>
      <c r="BQ58" s="65"/>
      <c r="BR58" s="65"/>
      <c r="BS58" s="65"/>
      <c r="BT58" s="65"/>
      <c r="BU58" s="65"/>
      <c r="BV58" s="65"/>
      <c r="BW58" s="65"/>
      <c r="BX58" s="65"/>
      <c r="BY58" s="65"/>
      <c r="BZ58" s="65"/>
      <c r="CA58" s="65"/>
      <c r="CB58" s="65"/>
      <c r="CC58" s="65"/>
      <c r="CD58" s="65"/>
      <c r="CE58" s="65"/>
      <c r="CF58" s="65"/>
      <c r="CG58" s="65"/>
      <c r="CH58" s="65"/>
      <c r="CI58" s="65"/>
      <c r="CJ58" s="65"/>
      <c r="CK58" s="65"/>
      <c r="CL58" s="65"/>
      <c r="CM58" s="65"/>
      <c r="CN58" s="65"/>
      <c r="CO58" s="65"/>
      <c r="CP58" s="65"/>
      <c r="CQ58" s="65"/>
      <c r="CR58" s="65"/>
      <c r="CS58" s="65"/>
      <c r="CT58" s="65"/>
      <c r="CU58" s="65"/>
      <c r="CV58" s="65"/>
      <c r="CW58" s="65"/>
      <c r="CX58" s="65"/>
      <c r="CY58" s="65"/>
      <c r="CZ58" s="65"/>
      <c r="DA58" s="65"/>
      <c r="DB58" s="65"/>
      <c r="DC58" s="65"/>
      <c r="DD58" s="65"/>
      <c r="DE58" s="65"/>
      <c r="DF58" s="65"/>
      <c r="DG58" s="65"/>
      <c r="DH58" s="65"/>
      <c r="DI58" s="65"/>
      <c r="DJ58" s="65"/>
      <c r="DK58" s="65"/>
      <c r="DL58" s="65"/>
      <c r="DM58" s="65"/>
      <c r="DN58" s="65"/>
      <c r="DO58" s="65"/>
      <c r="DP58" s="65"/>
      <c r="DQ58" s="65"/>
      <c r="DR58" s="65"/>
      <c r="DS58" s="65"/>
      <c r="DT58" s="65"/>
      <c r="DU58" s="65"/>
      <c r="DV58" s="65"/>
      <c r="DW58" s="65"/>
      <c r="DX58" s="65"/>
      <c r="DY58" s="65"/>
      <c r="DZ58" s="65"/>
      <c r="EA58" s="65"/>
      <c r="EB58" s="65"/>
      <c r="EC58" s="65"/>
      <c r="ED58" s="65"/>
      <c r="EE58" s="65"/>
      <c r="EF58" s="65"/>
      <c r="EG58" s="65"/>
      <c r="EH58" s="65"/>
      <c r="EI58" s="65"/>
      <c r="EJ58" s="65"/>
      <c r="EK58" s="65"/>
      <c r="EL58" s="65"/>
      <c r="EM58" s="65"/>
      <c r="EN58" s="65"/>
      <c r="EO58" s="65"/>
    </row>
    <row r="59" spans="2:145" x14ac:dyDescent="0.45"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5"/>
      <c r="BN59" s="65"/>
      <c r="BO59" s="65"/>
      <c r="BP59" s="65"/>
      <c r="BQ59" s="65"/>
      <c r="BR59" s="65"/>
      <c r="BS59" s="65"/>
      <c r="BT59" s="65"/>
      <c r="BU59" s="65"/>
      <c r="BV59" s="65"/>
      <c r="BW59" s="65"/>
      <c r="BX59" s="65"/>
      <c r="BY59" s="65"/>
      <c r="BZ59" s="65"/>
      <c r="CA59" s="65"/>
      <c r="CB59" s="65"/>
      <c r="CC59" s="65"/>
      <c r="CD59" s="65"/>
      <c r="CE59" s="65"/>
      <c r="CF59" s="65"/>
      <c r="CG59" s="65"/>
      <c r="CH59" s="65"/>
      <c r="CI59" s="65"/>
      <c r="CJ59" s="65"/>
      <c r="CK59" s="65"/>
      <c r="CL59" s="65"/>
      <c r="CM59" s="65"/>
      <c r="CN59" s="65"/>
      <c r="CO59" s="65"/>
      <c r="CP59" s="65"/>
      <c r="CQ59" s="65"/>
      <c r="CR59" s="65"/>
      <c r="CS59" s="65"/>
      <c r="CT59" s="65"/>
      <c r="CU59" s="65"/>
      <c r="CV59" s="65"/>
      <c r="CW59" s="65"/>
      <c r="CX59" s="65"/>
      <c r="CY59" s="65"/>
      <c r="CZ59" s="65"/>
      <c r="DA59" s="65"/>
      <c r="DB59" s="65"/>
      <c r="DC59" s="65"/>
      <c r="DD59" s="65"/>
      <c r="DE59" s="65"/>
      <c r="DF59" s="65"/>
      <c r="DG59" s="65"/>
      <c r="DH59" s="65"/>
      <c r="DI59" s="65"/>
      <c r="DJ59" s="65"/>
      <c r="DK59" s="65"/>
      <c r="DL59" s="65"/>
      <c r="DM59" s="65"/>
      <c r="DN59" s="65"/>
      <c r="DO59" s="65"/>
      <c r="DP59" s="65"/>
      <c r="DQ59" s="65"/>
      <c r="DR59" s="65"/>
      <c r="DS59" s="65"/>
      <c r="DT59" s="65"/>
      <c r="DU59" s="65"/>
      <c r="DV59" s="65"/>
      <c r="DW59" s="65"/>
      <c r="DX59" s="65"/>
      <c r="DY59" s="65"/>
      <c r="DZ59" s="65"/>
      <c r="EA59" s="65"/>
      <c r="EB59" s="65"/>
      <c r="EC59" s="65"/>
      <c r="ED59" s="65"/>
      <c r="EE59" s="65"/>
      <c r="EF59" s="65"/>
      <c r="EG59" s="65"/>
      <c r="EH59" s="65"/>
      <c r="EI59" s="65"/>
      <c r="EJ59" s="65"/>
      <c r="EK59" s="65"/>
      <c r="EL59" s="65"/>
      <c r="EM59" s="65"/>
      <c r="EN59" s="65"/>
      <c r="EO59" s="65"/>
    </row>
    <row r="60" spans="2:145" x14ac:dyDescent="0.45"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/>
      <c r="BM60" s="65"/>
      <c r="BN60" s="65"/>
      <c r="BO60" s="65"/>
      <c r="BP60" s="65"/>
      <c r="BQ60" s="65"/>
      <c r="BR60" s="65"/>
      <c r="BS60" s="65"/>
      <c r="BT60" s="65"/>
      <c r="BU60" s="65"/>
      <c r="BV60" s="65"/>
      <c r="BW60" s="65"/>
      <c r="BX60" s="65"/>
      <c r="BY60" s="65"/>
      <c r="BZ60" s="65"/>
      <c r="CA60" s="65"/>
      <c r="CB60" s="65"/>
      <c r="CC60" s="65"/>
      <c r="CD60" s="65"/>
      <c r="CE60" s="65"/>
      <c r="CF60" s="65"/>
      <c r="CG60" s="65"/>
      <c r="CH60" s="65"/>
      <c r="CI60" s="65"/>
      <c r="CJ60" s="65"/>
      <c r="CK60" s="65"/>
      <c r="CL60" s="65"/>
      <c r="CM60" s="65"/>
      <c r="CN60" s="65"/>
      <c r="CO60" s="65"/>
      <c r="CP60" s="65"/>
      <c r="CQ60" s="65"/>
      <c r="CR60" s="65"/>
      <c r="CS60" s="65"/>
      <c r="CT60" s="65"/>
      <c r="CU60" s="65"/>
      <c r="CV60" s="65"/>
      <c r="CW60" s="65"/>
      <c r="CX60" s="65"/>
      <c r="CY60" s="65"/>
      <c r="CZ60" s="65"/>
      <c r="DA60" s="65"/>
      <c r="DB60" s="65"/>
      <c r="DC60" s="65"/>
      <c r="DD60" s="65"/>
      <c r="DE60" s="65"/>
      <c r="DF60" s="65"/>
      <c r="DG60" s="65"/>
      <c r="DH60" s="65"/>
      <c r="DI60" s="65"/>
      <c r="DJ60" s="65"/>
      <c r="DK60" s="65"/>
      <c r="DL60" s="65"/>
      <c r="DM60" s="65"/>
      <c r="DN60" s="65"/>
      <c r="DO60" s="65"/>
      <c r="DP60" s="65"/>
      <c r="DQ60" s="65"/>
      <c r="DR60" s="65"/>
      <c r="DS60" s="65"/>
      <c r="DT60" s="65"/>
      <c r="DU60" s="65"/>
      <c r="DV60" s="65"/>
      <c r="DW60" s="65"/>
      <c r="DX60" s="65"/>
      <c r="DY60" s="65"/>
      <c r="DZ60" s="65"/>
      <c r="EA60" s="65"/>
      <c r="EB60" s="65"/>
      <c r="EC60" s="65"/>
      <c r="ED60" s="65"/>
      <c r="EE60" s="65"/>
      <c r="EF60" s="65"/>
      <c r="EG60" s="65"/>
      <c r="EH60" s="65"/>
      <c r="EI60" s="65"/>
      <c r="EJ60" s="65"/>
      <c r="EK60" s="65"/>
      <c r="EL60" s="65"/>
      <c r="EM60" s="65"/>
      <c r="EN60" s="65"/>
      <c r="EO60" s="65"/>
    </row>
    <row r="61" spans="2:145" x14ac:dyDescent="0.45"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  <c r="BE61" s="65"/>
      <c r="BF61" s="65"/>
      <c r="BG61" s="65"/>
      <c r="BH61" s="65"/>
      <c r="BI61" s="65"/>
      <c r="BJ61" s="65"/>
      <c r="BK61" s="65"/>
      <c r="BL61" s="65"/>
      <c r="BM61" s="65"/>
      <c r="BN61" s="65"/>
      <c r="BO61" s="65"/>
      <c r="BP61" s="65"/>
      <c r="BQ61" s="65"/>
      <c r="BR61" s="65"/>
      <c r="BS61" s="65"/>
      <c r="BT61" s="65"/>
      <c r="BU61" s="65"/>
      <c r="BV61" s="65"/>
      <c r="BW61" s="65"/>
      <c r="BX61" s="65"/>
      <c r="BY61" s="65"/>
      <c r="BZ61" s="65"/>
      <c r="CA61" s="65"/>
      <c r="CB61" s="65"/>
      <c r="CC61" s="65"/>
      <c r="CD61" s="65"/>
      <c r="CE61" s="65"/>
      <c r="CF61" s="65"/>
      <c r="CG61" s="65"/>
      <c r="CH61" s="65"/>
      <c r="CI61" s="65"/>
      <c r="CJ61" s="65"/>
      <c r="CK61" s="65"/>
      <c r="CL61" s="65"/>
      <c r="CM61" s="65"/>
      <c r="CN61" s="65"/>
      <c r="CO61" s="65"/>
      <c r="CP61" s="65"/>
      <c r="CQ61" s="65"/>
      <c r="CR61" s="65"/>
      <c r="CS61" s="65"/>
      <c r="CT61" s="65"/>
      <c r="CU61" s="65"/>
      <c r="CV61" s="65"/>
      <c r="CW61" s="65"/>
      <c r="CX61" s="65"/>
      <c r="CY61" s="65"/>
      <c r="CZ61" s="65"/>
      <c r="DA61" s="65"/>
      <c r="DB61" s="65"/>
      <c r="DC61" s="65"/>
      <c r="DD61" s="65"/>
      <c r="DE61" s="65"/>
      <c r="DF61" s="65"/>
      <c r="DG61" s="65"/>
      <c r="DH61" s="65"/>
      <c r="DI61" s="65"/>
      <c r="DJ61" s="65"/>
      <c r="DK61" s="65"/>
      <c r="DL61" s="65"/>
      <c r="DM61" s="65"/>
      <c r="DN61" s="65"/>
      <c r="DO61" s="65"/>
      <c r="DP61" s="65"/>
      <c r="DQ61" s="65"/>
      <c r="DR61" s="65"/>
      <c r="DS61" s="65"/>
      <c r="DT61" s="65"/>
      <c r="DU61" s="65"/>
      <c r="DV61" s="65"/>
      <c r="DW61" s="65"/>
      <c r="DX61" s="65"/>
      <c r="DY61" s="65"/>
      <c r="DZ61" s="65"/>
      <c r="EA61" s="65"/>
      <c r="EB61" s="65"/>
      <c r="EC61" s="65"/>
      <c r="ED61" s="65"/>
      <c r="EE61" s="65"/>
      <c r="EF61" s="65"/>
      <c r="EG61" s="65"/>
      <c r="EH61" s="65"/>
      <c r="EI61" s="65"/>
      <c r="EJ61" s="65"/>
      <c r="EK61" s="65"/>
      <c r="EL61" s="65"/>
      <c r="EM61" s="65"/>
      <c r="EN61" s="65"/>
      <c r="EO61" s="65"/>
    </row>
    <row r="62" spans="2:145" x14ac:dyDescent="0.45"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65"/>
      <c r="BJ62" s="65"/>
      <c r="BK62" s="65"/>
      <c r="BL62" s="65"/>
      <c r="BM62" s="65"/>
      <c r="BN62" s="65"/>
      <c r="BO62" s="65"/>
      <c r="BP62" s="65"/>
      <c r="BQ62" s="65"/>
      <c r="BR62" s="65"/>
      <c r="BS62" s="65"/>
      <c r="BT62" s="65"/>
      <c r="BU62" s="65"/>
      <c r="BV62" s="65"/>
      <c r="BW62" s="65"/>
      <c r="BX62" s="65"/>
      <c r="BY62" s="65"/>
      <c r="BZ62" s="65"/>
      <c r="CA62" s="65"/>
      <c r="CB62" s="65"/>
      <c r="CC62" s="65"/>
      <c r="CD62" s="65"/>
      <c r="CE62" s="65"/>
      <c r="CF62" s="65"/>
      <c r="CG62" s="65"/>
      <c r="CH62" s="65"/>
      <c r="CI62" s="65"/>
      <c r="CJ62" s="65"/>
      <c r="CK62" s="65"/>
      <c r="CL62" s="65"/>
      <c r="CM62" s="65"/>
      <c r="CN62" s="65"/>
      <c r="CO62" s="65"/>
      <c r="CP62" s="65"/>
      <c r="CQ62" s="65"/>
      <c r="CR62" s="65"/>
      <c r="CS62" s="65"/>
      <c r="CT62" s="65"/>
      <c r="CU62" s="65"/>
      <c r="CV62" s="65"/>
      <c r="CW62" s="65"/>
      <c r="CX62" s="65"/>
      <c r="CY62" s="65"/>
      <c r="CZ62" s="65"/>
      <c r="DA62" s="65"/>
      <c r="DB62" s="65"/>
      <c r="DC62" s="65"/>
      <c r="DD62" s="65"/>
      <c r="DE62" s="65"/>
      <c r="DF62" s="65"/>
      <c r="DG62" s="65"/>
      <c r="DH62" s="65"/>
      <c r="DI62" s="65"/>
      <c r="DJ62" s="65"/>
      <c r="DK62" s="65"/>
      <c r="DL62" s="65"/>
      <c r="DM62" s="65"/>
      <c r="DN62" s="65"/>
      <c r="DO62" s="65"/>
      <c r="DP62" s="65"/>
      <c r="DQ62" s="65"/>
      <c r="DR62" s="65"/>
      <c r="DS62" s="65"/>
      <c r="DT62" s="65"/>
      <c r="DU62" s="65"/>
      <c r="DV62" s="65"/>
      <c r="DW62" s="65"/>
      <c r="DX62" s="65"/>
      <c r="DY62" s="65"/>
      <c r="DZ62" s="65"/>
      <c r="EA62" s="65"/>
      <c r="EB62" s="65"/>
      <c r="EC62" s="65"/>
      <c r="ED62" s="65"/>
      <c r="EE62" s="65"/>
      <c r="EF62" s="65"/>
      <c r="EG62" s="65"/>
      <c r="EH62" s="65"/>
      <c r="EI62" s="65"/>
      <c r="EJ62" s="65"/>
      <c r="EK62" s="65"/>
      <c r="EL62" s="65"/>
      <c r="EM62" s="65"/>
      <c r="EN62" s="65"/>
      <c r="EO62" s="65"/>
    </row>
    <row r="63" spans="2:145" x14ac:dyDescent="0.45"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65"/>
      <c r="BJ63" s="65"/>
      <c r="BK63" s="65"/>
      <c r="BL63" s="65"/>
      <c r="BM63" s="65"/>
      <c r="BN63" s="65"/>
      <c r="BO63" s="65"/>
      <c r="BP63" s="65"/>
      <c r="BQ63" s="65"/>
      <c r="BR63" s="65"/>
      <c r="BS63" s="65"/>
      <c r="BT63" s="65"/>
      <c r="BU63" s="65"/>
      <c r="BV63" s="65"/>
      <c r="BW63" s="65"/>
      <c r="BX63" s="65"/>
      <c r="BY63" s="65"/>
      <c r="BZ63" s="65"/>
      <c r="CA63" s="65"/>
      <c r="CB63" s="65"/>
      <c r="CC63" s="65"/>
      <c r="CD63" s="65"/>
      <c r="CE63" s="65"/>
      <c r="CF63" s="65"/>
      <c r="CG63" s="65"/>
      <c r="CH63" s="65"/>
      <c r="CI63" s="65"/>
      <c r="CJ63" s="65"/>
      <c r="CK63" s="65"/>
      <c r="CL63" s="65"/>
      <c r="CM63" s="65"/>
      <c r="CN63" s="65"/>
      <c r="CO63" s="65"/>
      <c r="CP63" s="65"/>
      <c r="CQ63" s="65"/>
      <c r="CR63" s="65"/>
      <c r="CS63" s="65"/>
      <c r="CT63" s="65"/>
      <c r="CU63" s="65"/>
      <c r="CV63" s="65"/>
      <c r="CW63" s="65"/>
      <c r="CX63" s="65"/>
      <c r="CY63" s="65"/>
      <c r="CZ63" s="65"/>
      <c r="DA63" s="65"/>
      <c r="DB63" s="65"/>
      <c r="DC63" s="65"/>
      <c r="DD63" s="65"/>
      <c r="DE63" s="65"/>
      <c r="DF63" s="65"/>
      <c r="DG63" s="65"/>
      <c r="DH63" s="65"/>
      <c r="DI63" s="65"/>
      <c r="DJ63" s="65"/>
      <c r="DK63" s="65"/>
      <c r="DL63" s="65"/>
      <c r="DM63" s="65"/>
      <c r="DN63" s="65"/>
      <c r="DO63" s="65"/>
      <c r="DP63" s="65"/>
      <c r="DQ63" s="65"/>
      <c r="DR63" s="65"/>
      <c r="DS63" s="65"/>
      <c r="DT63" s="65"/>
      <c r="DU63" s="65"/>
      <c r="DV63" s="65"/>
      <c r="DW63" s="65"/>
      <c r="DX63" s="65"/>
      <c r="DY63" s="65"/>
      <c r="DZ63" s="65"/>
      <c r="EA63" s="65"/>
      <c r="EB63" s="65"/>
      <c r="EC63" s="65"/>
      <c r="ED63" s="65"/>
      <c r="EE63" s="65"/>
      <c r="EF63" s="65"/>
      <c r="EG63" s="65"/>
      <c r="EH63" s="65"/>
      <c r="EI63" s="65"/>
      <c r="EJ63" s="65"/>
      <c r="EK63" s="65"/>
      <c r="EL63" s="65"/>
      <c r="EM63" s="65"/>
      <c r="EN63" s="65"/>
      <c r="EO63" s="65"/>
    </row>
    <row r="64" spans="2:145" x14ac:dyDescent="0.45"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  <c r="BE64" s="65"/>
      <c r="BF64" s="65"/>
      <c r="BG64" s="65"/>
      <c r="BH64" s="65"/>
      <c r="BI64" s="65"/>
      <c r="BJ64" s="65"/>
      <c r="BK64" s="65"/>
      <c r="BL64" s="65"/>
      <c r="BM64" s="65"/>
      <c r="BN64" s="65"/>
      <c r="BO64" s="65"/>
      <c r="BP64" s="65"/>
      <c r="BQ64" s="65"/>
      <c r="BR64" s="65"/>
      <c r="BS64" s="65"/>
      <c r="BT64" s="65"/>
      <c r="BU64" s="65"/>
      <c r="BV64" s="65"/>
      <c r="BW64" s="65"/>
      <c r="BX64" s="65"/>
      <c r="BY64" s="65"/>
      <c r="BZ64" s="65"/>
      <c r="CA64" s="65"/>
      <c r="CB64" s="65"/>
      <c r="CC64" s="65"/>
      <c r="CD64" s="65"/>
      <c r="CE64" s="65"/>
      <c r="CF64" s="65"/>
      <c r="CG64" s="65"/>
      <c r="CH64" s="65"/>
      <c r="CI64" s="65"/>
      <c r="CJ64" s="65"/>
      <c r="CK64" s="65"/>
      <c r="CL64" s="65"/>
      <c r="CM64" s="65"/>
      <c r="CN64" s="65"/>
      <c r="CO64" s="65"/>
      <c r="CP64" s="65"/>
      <c r="CQ64" s="65"/>
      <c r="CR64" s="65"/>
      <c r="CS64" s="65"/>
      <c r="CT64" s="65"/>
      <c r="CU64" s="65"/>
      <c r="CV64" s="65"/>
      <c r="CW64" s="65"/>
      <c r="CX64" s="65"/>
      <c r="CY64" s="65"/>
      <c r="CZ64" s="65"/>
      <c r="DA64" s="65"/>
      <c r="DB64" s="65"/>
      <c r="DC64" s="65"/>
      <c r="DD64" s="65"/>
      <c r="DE64" s="65"/>
      <c r="DF64" s="65"/>
      <c r="DG64" s="65"/>
      <c r="DH64" s="65"/>
      <c r="DI64" s="65"/>
      <c r="DJ64" s="65"/>
      <c r="DK64" s="65"/>
      <c r="DL64" s="65"/>
      <c r="DM64" s="65"/>
      <c r="DN64" s="65"/>
      <c r="DO64" s="65"/>
      <c r="DP64" s="65"/>
      <c r="DQ64" s="65"/>
      <c r="DR64" s="65"/>
      <c r="DS64" s="65"/>
      <c r="DT64" s="65"/>
      <c r="DU64" s="65"/>
      <c r="DV64" s="65"/>
      <c r="DW64" s="65"/>
      <c r="DX64" s="65"/>
      <c r="DY64" s="65"/>
      <c r="DZ64" s="65"/>
      <c r="EA64" s="65"/>
      <c r="EB64" s="65"/>
      <c r="EC64" s="65"/>
      <c r="ED64" s="65"/>
      <c r="EE64" s="65"/>
      <c r="EF64" s="65"/>
      <c r="EG64" s="65"/>
      <c r="EH64" s="65"/>
      <c r="EI64" s="65"/>
      <c r="EJ64" s="65"/>
      <c r="EK64" s="65"/>
      <c r="EL64" s="65"/>
      <c r="EM64" s="65"/>
      <c r="EN64" s="65"/>
      <c r="EO64" s="65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40EB6-AE63-40DF-A9E2-D16A9CD88FB0}">
  <sheetPr>
    <tabColor theme="1" tint="0.499984740745262"/>
  </sheetPr>
  <dimension ref="B4:EL37"/>
  <sheetViews>
    <sheetView showGridLines="0" zoomScale="115" zoomScaleNormal="115" workbookViewId="0">
      <selection activeCell="E6" sqref="E6"/>
    </sheetView>
  </sheetViews>
  <sheetFormatPr defaultColWidth="9.1328125" defaultRowHeight="12.75" x14ac:dyDescent="0.45"/>
  <cols>
    <col min="1" max="1" width="9.1328125" style="1"/>
    <col min="2" max="2" width="18.73046875" style="1" customWidth="1"/>
    <col min="3" max="4" width="9.1328125" style="1"/>
    <col min="5" max="5" width="10.3984375" style="6" bestFit="1" customWidth="1"/>
    <col min="6" max="6" width="3.73046875" style="6" customWidth="1"/>
    <col min="7" max="8" width="9.1328125" style="12"/>
    <col min="9" max="9" width="3.73046875" style="1" customWidth="1"/>
    <col min="10" max="10" width="11" style="1" bestFit="1" customWidth="1"/>
    <col min="11" max="14" width="9.1328125" style="1"/>
    <col min="15" max="15" width="9.86328125" style="1" bestFit="1" customWidth="1"/>
    <col min="16" max="109" width="9.1328125" style="1"/>
    <col min="110" max="110" width="9.59765625" style="1" bestFit="1" customWidth="1"/>
    <col min="111" max="142" width="9.59765625" style="1" customWidth="1"/>
    <col min="143" max="16384" width="9.1328125" style="1"/>
  </cols>
  <sheetData>
    <row r="4" spans="2:142" x14ac:dyDescent="0.45">
      <c r="B4" s="8" t="s">
        <v>21</v>
      </c>
      <c r="G4" s="12" t="s">
        <v>7</v>
      </c>
      <c r="H4" s="12" t="s">
        <v>8</v>
      </c>
      <c r="I4" s="20"/>
      <c r="J4" s="20">
        <f>+Model!G4</f>
        <v>0</v>
      </c>
      <c r="K4" s="20">
        <f>+Model!H4</f>
        <v>1</v>
      </c>
      <c r="L4" s="20">
        <f>+Model!I4</f>
        <v>2</v>
      </c>
      <c r="M4" s="20">
        <f>+Model!J4</f>
        <v>3</v>
      </c>
      <c r="N4" s="20">
        <f>+Model!K4</f>
        <v>4</v>
      </c>
      <c r="O4" s="20">
        <f>+Model!L4</f>
        <v>5</v>
      </c>
      <c r="P4" s="20">
        <f>+Model!M4</f>
        <v>6</v>
      </c>
      <c r="Q4" s="20">
        <f>+Model!N4</f>
        <v>7</v>
      </c>
      <c r="R4" s="20">
        <f>+Model!O4</f>
        <v>8</v>
      </c>
      <c r="S4" s="20">
        <f>+Model!P4</f>
        <v>9</v>
      </c>
      <c r="T4" s="20">
        <f>+Model!Q4</f>
        <v>10</v>
      </c>
      <c r="U4" s="20">
        <f>+Model!R4</f>
        <v>11</v>
      </c>
      <c r="V4" s="20">
        <f>+Model!S4</f>
        <v>12</v>
      </c>
      <c r="W4" s="20">
        <f>+Model!T4</f>
        <v>13</v>
      </c>
      <c r="X4" s="20">
        <f>+Model!U4</f>
        <v>14</v>
      </c>
      <c r="Y4" s="20">
        <f>+Model!V4</f>
        <v>15</v>
      </c>
      <c r="Z4" s="20">
        <f>+Model!W4</f>
        <v>16</v>
      </c>
      <c r="AA4" s="20">
        <f>+Model!X4</f>
        <v>17</v>
      </c>
      <c r="AB4" s="20">
        <f>+Model!Y4</f>
        <v>18</v>
      </c>
      <c r="AC4" s="20">
        <f>+Model!Z4</f>
        <v>19</v>
      </c>
      <c r="AD4" s="20">
        <f>+Model!AA4</f>
        <v>20</v>
      </c>
      <c r="AE4" s="20">
        <f>+Model!AB4</f>
        <v>21</v>
      </c>
      <c r="AF4" s="20">
        <f>+Model!AC4</f>
        <v>22</v>
      </c>
      <c r="AG4" s="20">
        <f>+Model!AD4</f>
        <v>23</v>
      </c>
      <c r="AH4" s="20">
        <f>+Model!AE4</f>
        <v>24</v>
      </c>
      <c r="AI4" s="20">
        <f>+Model!AF4</f>
        <v>25</v>
      </c>
      <c r="AJ4" s="20">
        <f>+Model!AG4</f>
        <v>26</v>
      </c>
      <c r="AK4" s="20">
        <f>+Model!AH4</f>
        <v>27</v>
      </c>
      <c r="AL4" s="20">
        <f>+Model!AI4</f>
        <v>28</v>
      </c>
      <c r="AM4" s="20">
        <f>+Model!AJ4</f>
        <v>29</v>
      </c>
      <c r="AN4" s="20">
        <f>+Model!AK4</f>
        <v>30</v>
      </c>
      <c r="AO4" s="20">
        <f>+Model!AL4</f>
        <v>31</v>
      </c>
      <c r="AP4" s="20">
        <f>+Model!AM4</f>
        <v>32</v>
      </c>
      <c r="AQ4" s="20">
        <f>+Model!AN4</f>
        <v>33</v>
      </c>
      <c r="AR4" s="20">
        <f>+Model!AO4</f>
        <v>34</v>
      </c>
      <c r="AS4" s="20">
        <f>+Model!AP4</f>
        <v>35</v>
      </c>
      <c r="AT4" s="20">
        <f>+Model!AQ4</f>
        <v>36</v>
      </c>
      <c r="AU4" s="20">
        <f>+Model!AR4</f>
        <v>37</v>
      </c>
      <c r="AV4" s="20">
        <f>+Model!AS4</f>
        <v>38</v>
      </c>
      <c r="AW4" s="20">
        <f>+Model!AT4</f>
        <v>39</v>
      </c>
      <c r="AX4" s="20">
        <f>+Model!AU4</f>
        <v>40</v>
      </c>
      <c r="AY4" s="20">
        <f>+Model!AV4</f>
        <v>41</v>
      </c>
      <c r="AZ4" s="20">
        <f>+Model!AW4</f>
        <v>42</v>
      </c>
      <c r="BA4" s="20">
        <f>+Model!AX4</f>
        <v>43</v>
      </c>
      <c r="BB4" s="20">
        <f>+Model!AY4</f>
        <v>44</v>
      </c>
      <c r="BC4" s="20">
        <f>+Model!AZ4</f>
        <v>45</v>
      </c>
      <c r="BD4" s="20">
        <f>+Model!BA4</f>
        <v>46</v>
      </c>
      <c r="BE4" s="20">
        <f>+Model!BB4</f>
        <v>47</v>
      </c>
      <c r="BF4" s="20">
        <f>+Model!BC4</f>
        <v>48</v>
      </c>
      <c r="BG4" s="20">
        <f>+Model!BD4</f>
        <v>49</v>
      </c>
      <c r="BH4" s="20">
        <f>+Model!BE4</f>
        <v>50</v>
      </c>
      <c r="BI4" s="20">
        <f>+Model!BF4</f>
        <v>51</v>
      </c>
      <c r="BJ4" s="20">
        <f>+Model!BG4</f>
        <v>52</v>
      </c>
      <c r="BK4" s="20">
        <f>+Model!BH4</f>
        <v>53</v>
      </c>
      <c r="BL4" s="20">
        <f>+Model!BI4</f>
        <v>54</v>
      </c>
      <c r="BM4" s="20">
        <f>+Model!BJ4</f>
        <v>55</v>
      </c>
      <c r="BN4" s="20">
        <f>+Model!BK4</f>
        <v>56</v>
      </c>
      <c r="BO4" s="20">
        <f>+Model!BL4</f>
        <v>57</v>
      </c>
      <c r="BP4" s="20">
        <f>+Model!BM4</f>
        <v>58</v>
      </c>
      <c r="BQ4" s="20">
        <f>+Model!BN4</f>
        <v>59</v>
      </c>
      <c r="BR4" s="20">
        <f>+Model!BO4</f>
        <v>60</v>
      </c>
      <c r="BS4" s="20">
        <f>+Model!BP4</f>
        <v>61</v>
      </c>
      <c r="BT4" s="20">
        <f>+Model!BQ4</f>
        <v>62</v>
      </c>
      <c r="BU4" s="20">
        <f>+Model!BR4</f>
        <v>63</v>
      </c>
      <c r="BV4" s="20">
        <f>+Model!BS4</f>
        <v>64</v>
      </c>
      <c r="BW4" s="20">
        <f>+Model!BT4</f>
        <v>65</v>
      </c>
      <c r="BX4" s="20">
        <f>+Model!BU4</f>
        <v>66</v>
      </c>
      <c r="BY4" s="20">
        <f>+Model!BV4</f>
        <v>67</v>
      </c>
      <c r="BZ4" s="20">
        <f>+Model!BW4</f>
        <v>68</v>
      </c>
      <c r="CA4" s="20">
        <f>+Model!BX4</f>
        <v>69</v>
      </c>
      <c r="CB4" s="20">
        <f>+Model!BY4</f>
        <v>70</v>
      </c>
      <c r="CC4" s="20">
        <f>+Model!BZ4</f>
        <v>71</v>
      </c>
      <c r="CD4" s="20">
        <f>+Model!CA4</f>
        <v>72</v>
      </c>
      <c r="CE4" s="20">
        <f>+Model!CB4</f>
        <v>73</v>
      </c>
      <c r="CF4" s="20">
        <f>+Model!CC4</f>
        <v>74</v>
      </c>
      <c r="CG4" s="20">
        <f>+Model!CD4</f>
        <v>75</v>
      </c>
      <c r="CH4" s="20">
        <f>+Model!CE4</f>
        <v>76</v>
      </c>
      <c r="CI4" s="20">
        <f>+Model!CF4</f>
        <v>77</v>
      </c>
      <c r="CJ4" s="20">
        <f>+Model!CG4</f>
        <v>78</v>
      </c>
      <c r="CK4" s="20">
        <f>+Model!CH4</f>
        <v>79</v>
      </c>
      <c r="CL4" s="20">
        <f>+Model!CI4</f>
        <v>80</v>
      </c>
      <c r="CM4" s="20">
        <f>+Model!CJ4</f>
        <v>81</v>
      </c>
      <c r="CN4" s="20">
        <f>+Model!CK4</f>
        <v>82</v>
      </c>
      <c r="CO4" s="20">
        <f>+Model!CL4</f>
        <v>83</v>
      </c>
      <c r="CP4" s="20">
        <f>+Model!CM4</f>
        <v>84</v>
      </c>
      <c r="CQ4" s="20">
        <f>+Model!CN4</f>
        <v>85</v>
      </c>
      <c r="CR4" s="20">
        <f>+Model!CO4</f>
        <v>86</v>
      </c>
      <c r="CS4" s="20">
        <f>+Model!CP4</f>
        <v>87</v>
      </c>
      <c r="CT4" s="20">
        <f>+Model!CQ4</f>
        <v>88</v>
      </c>
      <c r="CU4" s="20">
        <f>+Model!CR4</f>
        <v>89</v>
      </c>
      <c r="CV4" s="20">
        <f>+Model!CS4</f>
        <v>90</v>
      </c>
      <c r="CW4" s="20">
        <f>+Model!CT4</f>
        <v>91</v>
      </c>
      <c r="CX4" s="20">
        <f>+Model!CU4</f>
        <v>92</v>
      </c>
      <c r="CY4" s="20">
        <f>+Model!CV4</f>
        <v>93</v>
      </c>
      <c r="CZ4" s="20">
        <f>+Model!CW4</f>
        <v>94</v>
      </c>
      <c r="DA4" s="20">
        <f>+Model!CX4</f>
        <v>95</v>
      </c>
      <c r="DB4" s="20">
        <f>+Model!CY4</f>
        <v>96</v>
      </c>
      <c r="DC4" s="20">
        <f>+Model!CZ4</f>
        <v>97</v>
      </c>
      <c r="DD4" s="20">
        <f>+Model!DA4</f>
        <v>98</v>
      </c>
      <c r="DE4" s="20">
        <f>+Model!DB4</f>
        <v>99</v>
      </c>
      <c r="DF4" s="20">
        <f>+Model!DC4</f>
        <v>100</v>
      </c>
      <c r="DG4" s="20">
        <f>+Model!DD4</f>
        <v>101</v>
      </c>
      <c r="DH4" s="20">
        <f>+Model!DE4</f>
        <v>102</v>
      </c>
      <c r="DI4" s="20">
        <f>+Model!DF4</f>
        <v>103</v>
      </c>
      <c r="DJ4" s="20">
        <f>+Model!DG4</f>
        <v>104</v>
      </c>
      <c r="DK4" s="20">
        <f>+Model!DH4</f>
        <v>105</v>
      </c>
      <c r="DL4" s="20">
        <f>+Model!DI4</f>
        <v>106</v>
      </c>
      <c r="DM4" s="20">
        <f>+Model!DJ4</f>
        <v>107</v>
      </c>
      <c r="DN4" s="20">
        <f>+Model!DK4</f>
        <v>108</v>
      </c>
      <c r="DO4" s="20">
        <f>+Model!DL4</f>
        <v>109</v>
      </c>
      <c r="DP4" s="20">
        <f>+Model!DM4</f>
        <v>110</v>
      </c>
      <c r="DQ4" s="20">
        <f>+Model!DN4</f>
        <v>111</v>
      </c>
      <c r="DR4" s="20">
        <f>+Model!DO4</f>
        <v>112</v>
      </c>
      <c r="DS4" s="20">
        <f>+Model!DP4</f>
        <v>113</v>
      </c>
      <c r="DT4" s="20">
        <f>+Model!DQ4</f>
        <v>114</v>
      </c>
      <c r="DU4" s="20">
        <f>+Model!DR4</f>
        <v>115</v>
      </c>
      <c r="DV4" s="20">
        <f>+Model!DS4</f>
        <v>116</v>
      </c>
      <c r="DW4" s="20">
        <f>+Model!DT4</f>
        <v>117</v>
      </c>
      <c r="DX4" s="20">
        <f>+Model!DU4</f>
        <v>118</v>
      </c>
      <c r="DY4" s="20">
        <f>+Model!DV4</f>
        <v>119</v>
      </c>
      <c r="DZ4" s="20">
        <f>+Model!DW4</f>
        <v>120</v>
      </c>
      <c r="EA4" s="20">
        <f>+Model!DX4</f>
        <v>121</v>
      </c>
      <c r="EB4" s="20">
        <f>+Model!DY4</f>
        <v>122</v>
      </c>
      <c r="EC4" s="20">
        <f>+Model!DZ4</f>
        <v>123</v>
      </c>
      <c r="ED4" s="20">
        <f>+Model!EA4</f>
        <v>124</v>
      </c>
      <c r="EE4" s="20">
        <f>+Model!EB4</f>
        <v>125</v>
      </c>
      <c r="EF4" s="20">
        <f>+Model!EC4</f>
        <v>126</v>
      </c>
      <c r="EG4" s="20">
        <f>+Model!ED4</f>
        <v>127</v>
      </c>
      <c r="EH4" s="20">
        <f>+Model!EE4</f>
        <v>128</v>
      </c>
      <c r="EI4" s="20">
        <f>+Model!EF4</f>
        <v>129</v>
      </c>
      <c r="EJ4" s="20">
        <f>+Model!EG4</f>
        <v>130</v>
      </c>
      <c r="EK4" s="20">
        <f>+Model!EH4</f>
        <v>131</v>
      </c>
      <c r="EL4" s="20">
        <f>+Model!EI4</f>
        <v>132</v>
      </c>
    </row>
    <row r="5" spans="2:142" x14ac:dyDescent="0.45">
      <c r="B5" s="1" t="s">
        <v>157</v>
      </c>
      <c r="D5" s="171">
        <v>0.02</v>
      </c>
      <c r="E5" s="19">
        <f>+Assumptions!$G$23*D5</f>
        <v>300000</v>
      </c>
      <c r="F5" s="9"/>
      <c r="G5" s="13">
        <v>0</v>
      </c>
      <c r="H5" s="13">
        <v>0</v>
      </c>
      <c r="I5" s="21"/>
      <c r="J5" s="21">
        <f t="shared" ref="J5:J10" si="0">IF(AND($G5=J$4,$H5=J$4),$E5,IF($G5&gt;J$4,0,IF($H5&lt;J$4,0,$E5/($H5-$G5+1))))</f>
        <v>300000</v>
      </c>
      <c r="K5" s="21">
        <f t="shared" ref="K5:Z18" si="1">IF(AND($G5=K$4,$H5=K$4),$E5,IF($G5&gt;K$4,0,IF($H5&lt;K$4,0,$E5/($H5-$G5+1))))</f>
        <v>0</v>
      </c>
      <c r="L5" s="21">
        <f t="shared" si="1"/>
        <v>0</v>
      </c>
      <c r="M5" s="21">
        <f t="shared" si="1"/>
        <v>0</v>
      </c>
      <c r="N5" s="21">
        <f t="shared" si="1"/>
        <v>0</v>
      </c>
      <c r="O5" s="21">
        <f t="shared" si="1"/>
        <v>0</v>
      </c>
      <c r="P5" s="21">
        <f t="shared" si="1"/>
        <v>0</v>
      </c>
      <c r="Q5" s="21">
        <f t="shared" si="1"/>
        <v>0</v>
      </c>
      <c r="R5" s="21">
        <f t="shared" si="1"/>
        <v>0</v>
      </c>
      <c r="S5" s="21">
        <f t="shared" si="1"/>
        <v>0</v>
      </c>
      <c r="T5" s="21">
        <f t="shared" si="1"/>
        <v>0</v>
      </c>
      <c r="U5" s="21">
        <f t="shared" si="1"/>
        <v>0</v>
      </c>
      <c r="V5" s="21">
        <f t="shared" si="1"/>
        <v>0</v>
      </c>
      <c r="W5" s="21">
        <f t="shared" si="1"/>
        <v>0</v>
      </c>
      <c r="X5" s="21">
        <f t="shared" si="1"/>
        <v>0</v>
      </c>
      <c r="Y5" s="21">
        <f t="shared" si="1"/>
        <v>0</v>
      </c>
      <c r="Z5" s="21">
        <f t="shared" si="1"/>
        <v>0</v>
      </c>
      <c r="AA5" s="21">
        <f t="shared" ref="AA5:AZ18" si="2">IF(AND($G5=AA$4,$H5=AA$4),$E5,IF($G5&gt;AA$4,0,IF($H5&lt;AA$4,0,$E5/($H5-$G5+1))))</f>
        <v>0</v>
      </c>
      <c r="AB5" s="21">
        <f t="shared" si="2"/>
        <v>0</v>
      </c>
      <c r="AC5" s="21">
        <f t="shared" si="2"/>
        <v>0</v>
      </c>
      <c r="AD5" s="21">
        <f t="shared" si="2"/>
        <v>0</v>
      </c>
      <c r="AE5" s="21">
        <f t="shared" si="2"/>
        <v>0</v>
      </c>
      <c r="AF5" s="21">
        <f t="shared" si="2"/>
        <v>0</v>
      </c>
      <c r="AG5" s="21">
        <f t="shared" si="2"/>
        <v>0</v>
      </c>
      <c r="AH5" s="21">
        <f t="shared" si="2"/>
        <v>0</v>
      </c>
      <c r="AI5" s="21">
        <f t="shared" si="2"/>
        <v>0</v>
      </c>
      <c r="AJ5" s="21">
        <f t="shared" si="2"/>
        <v>0</v>
      </c>
      <c r="AK5" s="21">
        <f t="shared" si="2"/>
        <v>0</v>
      </c>
      <c r="AL5" s="21">
        <f t="shared" si="2"/>
        <v>0</v>
      </c>
      <c r="AM5" s="21">
        <f t="shared" si="2"/>
        <v>0</v>
      </c>
      <c r="AN5" s="21">
        <f t="shared" si="2"/>
        <v>0</v>
      </c>
      <c r="AO5" s="21">
        <f t="shared" si="2"/>
        <v>0</v>
      </c>
      <c r="AP5" s="21">
        <f t="shared" si="2"/>
        <v>0</v>
      </c>
      <c r="AQ5" s="21">
        <f t="shared" si="2"/>
        <v>0</v>
      </c>
      <c r="AR5" s="21">
        <f t="shared" si="2"/>
        <v>0</v>
      </c>
      <c r="AS5" s="21">
        <f t="shared" si="2"/>
        <v>0</v>
      </c>
      <c r="AT5" s="21">
        <f t="shared" si="2"/>
        <v>0</v>
      </c>
      <c r="AU5" s="21">
        <f t="shared" si="2"/>
        <v>0</v>
      </c>
      <c r="AV5" s="21">
        <f t="shared" si="2"/>
        <v>0</v>
      </c>
      <c r="AW5" s="21">
        <f t="shared" si="2"/>
        <v>0</v>
      </c>
      <c r="AX5" s="21">
        <f t="shared" si="2"/>
        <v>0</v>
      </c>
      <c r="AY5" s="21">
        <f t="shared" si="2"/>
        <v>0</v>
      </c>
      <c r="AZ5" s="21">
        <f t="shared" si="2"/>
        <v>0</v>
      </c>
      <c r="BA5" s="21">
        <f t="shared" ref="BA5:CP18" si="3">IF(AND($G5=BA$4,$H5=BA$4),$E5,IF($G5&gt;BA$4,0,IF($H5&lt;BA$4,0,$E5/($H5-$G5+1))))</f>
        <v>0</v>
      </c>
      <c r="BB5" s="21">
        <f t="shared" si="3"/>
        <v>0</v>
      </c>
      <c r="BC5" s="21">
        <f t="shared" si="3"/>
        <v>0</v>
      </c>
      <c r="BD5" s="21">
        <f t="shared" si="3"/>
        <v>0</v>
      </c>
      <c r="BE5" s="21">
        <f t="shared" si="3"/>
        <v>0</v>
      </c>
      <c r="BF5" s="21">
        <f t="shared" si="3"/>
        <v>0</v>
      </c>
      <c r="BG5" s="21">
        <f t="shared" si="3"/>
        <v>0</v>
      </c>
      <c r="BH5" s="21">
        <f t="shared" si="3"/>
        <v>0</v>
      </c>
      <c r="BI5" s="21">
        <f t="shared" si="3"/>
        <v>0</v>
      </c>
      <c r="BJ5" s="21">
        <f t="shared" si="3"/>
        <v>0</v>
      </c>
      <c r="BK5" s="21">
        <f t="shared" si="3"/>
        <v>0</v>
      </c>
      <c r="BL5" s="21">
        <f t="shared" si="3"/>
        <v>0</v>
      </c>
      <c r="BM5" s="21">
        <f t="shared" si="3"/>
        <v>0</v>
      </c>
      <c r="BN5" s="21">
        <f t="shared" si="3"/>
        <v>0</v>
      </c>
      <c r="BO5" s="21">
        <f t="shared" si="3"/>
        <v>0</v>
      </c>
      <c r="BP5" s="21">
        <f t="shared" si="3"/>
        <v>0</v>
      </c>
      <c r="BQ5" s="21">
        <f t="shared" si="3"/>
        <v>0</v>
      </c>
      <c r="BR5" s="21">
        <f t="shared" si="3"/>
        <v>0</v>
      </c>
      <c r="BS5" s="21">
        <f t="shared" si="3"/>
        <v>0</v>
      </c>
      <c r="BT5" s="21">
        <f t="shared" si="3"/>
        <v>0</v>
      </c>
      <c r="BU5" s="21">
        <f t="shared" si="3"/>
        <v>0</v>
      </c>
      <c r="BV5" s="21">
        <f t="shared" si="3"/>
        <v>0</v>
      </c>
      <c r="BW5" s="21">
        <f t="shared" si="3"/>
        <v>0</v>
      </c>
      <c r="BX5" s="21">
        <f t="shared" si="3"/>
        <v>0</v>
      </c>
      <c r="BY5" s="21">
        <f t="shared" si="3"/>
        <v>0</v>
      </c>
      <c r="BZ5" s="21">
        <f t="shared" si="3"/>
        <v>0</v>
      </c>
      <c r="CA5" s="21">
        <f t="shared" si="3"/>
        <v>0</v>
      </c>
      <c r="CB5" s="21">
        <f t="shared" si="3"/>
        <v>0</v>
      </c>
      <c r="CC5" s="21">
        <f t="shared" si="3"/>
        <v>0</v>
      </c>
      <c r="CD5" s="21">
        <f t="shared" si="3"/>
        <v>0</v>
      </c>
      <c r="CE5" s="21">
        <f t="shared" si="3"/>
        <v>0</v>
      </c>
      <c r="CF5" s="21">
        <f t="shared" si="3"/>
        <v>0</v>
      </c>
      <c r="CG5" s="21">
        <f t="shared" si="3"/>
        <v>0</v>
      </c>
      <c r="CH5" s="21">
        <f t="shared" si="3"/>
        <v>0</v>
      </c>
      <c r="CI5" s="21">
        <f t="shared" si="3"/>
        <v>0</v>
      </c>
      <c r="CJ5" s="21">
        <f t="shared" si="3"/>
        <v>0</v>
      </c>
      <c r="CK5" s="21">
        <f t="shared" si="3"/>
        <v>0</v>
      </c>
      <c r="CL5" s="21">
        <f t="shared" si="3"/>
        <v>0</v>
      </c>
      <c r="CM5" s="21">
        <f t="shared" si="3"/>
        <v>0</v>
      </c>
      <c r="CN5" s="21">
        <f t="shared" si="3"/>
        <v>0</v>
      </c>
      <c r="CO5" s="21">
        <f t="shared" si="3"/>
        <v>0</v>
      </c>
      <c r="CP5" s="21">
        <f t="shared" si="3"/>
        <v>0</v>
      </c>
      <c r="CQ5" s="21">
        <f t="shared" ref="CD5:DG12" si="4">IF(AND($G5=CQ$4,$H5=CQ$4),$E5,IF($G5&gt;CQ$4,0,IF($H5&lt;CQ$4,0,$E5/($H5-$G5+1))))</f>
        <v>0</v>
      </c>
      <c r="CR5" s="21">
        <f t="shared" si="4"/>
        <v>0</v>
      </c>
      <c r="CS5" s="21">
        <f t="shared" si="4"/>
        <v>0</v>
      </c>
      <c r="CT5" s="21">
        <f t="shared" si="4"/>
        <v>0</v>
      </c>
      <c r="CU5" s="21">
        <f t="shared" si="4"/>
        <v>0</v>
      </c>
      <c r="CV5" s="21">
        <f t="shared" si="4"/>
        <v>0</v>
      </c>
      <c r="CW5" s="21">
        <f t="shared" si="4"/>
        <v>0</v>
      </c>
      <c r="CX5" s="21">
        <f t="shared" si="4"/>
        <v>0</v>
      </c>
      <c r="CY5" s="21">
        <f t="shared" si="4"/>
        <v>0</v>
      </c>
      <c r="CZ5" s="21">
        <f t="shared" si="4"/>
        <v>0</v>
      </c>
      <c r="DA5" s="21">
        <f t="shared" si="4"/>
        <v>0</v>
      </c>
      <c r="DB5" s="21">
        <f t="shared" si="4"/>
        <v>0</v>
      </c>
      <c r="DC5" s="21">
        <f t="shared" si="4"/>
        <v>0</v>
      </c>
      <c r="DD5" s="21">
        <f t="shared" si="4"/>
        <v>0</v>
      </c>
      <c r="DE5" s="21">
        <f t="shared" si="4"/>
        <v>0</v>
      </c>
      <c r="DF5" s="21">
        <f t="shared" si="4"/>
        <v>0</v>
      </c>
      <c r="DG5" s="21">
        <f t="shared" si="4"/>
        <v>0</v>
      </c>
      <c r="DH5" s="21">
        <f t="shared" ref="DG5:EL15" si="5">IF(AND($G5=DH$4,$H5=DH$4),$E5,IF($G5&gt;DH$4,0,IF($H5&lt;DH$4,0,$E5/($H5-$G5+1))))</f>
        <v>0</v>
      </c>
      <c r="DI5" s="21">
        <f t="shared" si="5"/>
        <v>0</v>
      </c>
      <c r="DJ5" s="21">
        <f t="shared" si="5"/>
        <v>0</v>
      </c>
      <c r="DK5" s="21">
        <f t="shared" si="5"/>
        <v>0</v>
      </c>
      <c r="DL5" s="21">
        <f t="shared" si="5"/>
        <v>0</v>
      </c>
      <c r="DM5" s="21">
        <f t="shared" si="5"/>
        <v>0</v>
      </c>
      <c r="DN5" s="21">
        <f t="shared" si="5"/>
        <v>0</v>
      </c>
      <c r="DO5" s="21">
        <f t="shared" si="5"/>
        <v>0</v>
      </c>
      <c r="DP5" s="21">
        <f t="shared" si="5"/>
        <v>0</v>
      </c>
      <c r="DQ5" s="21">
        <f t="shared" si="5"/>
        <v>0</v>
      </c>
      <c r="DR5" s="21">
        <f t="shared" si="5"/>
        <v>0</v>
      </c>
      <c r="DS5" s="21">
        <f t="shared" si="5"/>
        <v>0</v>
      </c>
      <c r="DT5" s="21">
        <f t="shared" si="5"/>
        <v>0</v>
      </c>
      <c r="DU5" s="21">
        <f t="shared" si="5"/>
        <v>0</v>
      </c>
      <c r="DV5" s="21">
        <f t="shared" si="5"/>
        <v>0</v>
      </c>
      <c r="DW5" s="21">
        <f t="shared" si="5"/>
        <v>0</v>
      </c>
      <c r="DX5" s="21">
        <f t="shared" si="5"/>
        <v>0</v>
      </c>
      <c r="DY5" s="21">
        <f t="shared" si="5"/>
        <v>0</v>
      </c>
      <c r="DZ5" s="21">
        <f t="shared" si="5"/>
        <v>0</v>
      </c>
      <c r="EA5" s="21">
        <f t="shared" si="5"/>
        <v>0</v>
      </c>
      <c r="EB5" s="21">
        <f t="shared" si="5"/>
        <v>0</v>
      </c>
      <c r="EC5" s="21">
        <f t="shared" si="5"/>
        <v>0</v>
      </c>
      <c r="ED5" s="21">
        <f t="shared" si="5"/>
        <v>0</v>
      </c>
      <c r="EE5" s="21">
        <f t="shared" si="5"/>
        <v>0</v>
      </c>
      <c r="EF5" s="21">
        <f t="shared" si="5"/>
        <v>0</v>
      </c>
      <c r="EG5" s="21">
        <f t="shared" si="5"/>
        <v>0</v>
      </c>
      <c r="EH5" s="21">
        <f t="shared" si="5"/>
        <v>0</v>
      </c>
      <c r="EI5" s="21">
        <f t="shared" si="5"/>
        <v>0</v>
      </c>
      <c r="EJ5" s="21">
        <f t="shared" si="5"/>
        <v>0</v>
      </c>
      <c r="EK5" s="21">
        <f t="shared" si="5"/>
        <v>0</v>
      </c>
      <c r="EL5" s="21">
        <f t="shared" si="5"/>
        <v>0</v>
      </c>
    </row>
    <row r="6" spans="2:142" x14ac:dyDescent="0.45">
      <c r="B6" s="1" t="s">
        <v>311</v>
      </c>
      <c r="D6" s="172">
        <f>+Assumptions!L28</f>
        <v>0.02</v>
      </c>
      <c r="E6" s="19">
        <f>+D6*Assumptions!G31</f>
        <v>225000</v>
      </c>
      <c r="G6" s="22">
        <f>+Assumptions!$G$28</f>
        <v>0</v>
      </c>
      <c r="H6" s="22">
        <f>+Assumptions!$G$28</f>
        <v>0</v>
      </c>
      <c r="I6" s="21"/>
      <c r="J6" s="21">
        <f t="shared" si="0"/>
        <v>225000</v>
      </c>
      <c r="K6" s="21">
        <f t="shared" ref="K6:AP6" si="6">IF(AND($G6=K$4,$H6=K$4),$E6,IF($G6&gt;K$4,0,IF($H6&lt;K$4,0,$E6/($H6-$G6+1))))</f>
        <v>0</v>
      </c>
      <c r="L6" s="21">
        <f t="shared" si="6"/>
        <v>0</v>
      </c>
      <c r="M6" s="21">
        <f t="shared" si="6"/>
        <v>0</v>
      </c>
      <c r="N6" s="21">
        <f t="shared" si="6"/>
        <v>0</v>
      </c>
      <c r="O6" s="21">
        <f t="shared" si="6"/>
        <v>0</v>
      </c>
      <c r="P6" s="21">
        <f t="shared" si="6"/>
        <v>0</v>
      </c>
      <c r="Q6" s="21">
        <f t="shared" si="6"/>
        <v>0</v>
      </c>
      <c r="R6" s="21">
        <f t="shared" si="6"/>
        <v>0</v>
      </c>
      <c r="S6" s="21">
        <f t="shared" si="6"/>
        <v>0</v>
      </c>
      <c r="T6" s="21">
        <f t="shared" si="6"/>
        <v>0</v>
      </c>
      <c r="U6" s="21">
        <f t="shared" si="6"/>
        <v>0</v>
      </c>
      <c r="V6" s="21">
        <f t="shared" si="6"/>
        <v>0</v>
      </c>
      <c r="W6" s="21">
        <f t="shared" si="6"/>
        <v>0</v>
      </c>
      <c r="X6" s="21">
        <f t="shared" si="6"/>
        <v>0</v>
      </c>
      <c r="Y6" s="21">
        <f t="shared" si="6"/>
        <v>0</v>
      </c>
      <c r="Z6" s="21">
        <f t="shared" si="6"/>
        <v>0</v>
      </c>
      <c r="AA6" s="21">
        <f t="shared" si="6"/>
        <v>0</v>
      </c>
      <c r="AB6" s="21">
        <f t="shared" si="6"/>
        <v>0</v>
      </c>
      <c r="AC6" s="21">
        <f t="shared" si="6"/>
        <v>0</v>
      </c>
      <c r="AD6" s="21">
        <f t="shared" si="6"/>
        <v>0</v>
      </c>
      <c r="AE6" s="21">
        <f t="shared" si="6"/>
        <v>0</v>
      </c>
      <c r="AF6" s="21">
        <f t="shared" si="6"/>
        <v>0</v>
      </c>
      <c r="AG6" s="21">
        <f t="shared" si="6"/>
        <v>0</v>
      </c>
      <c r="AH6" s="21">
        <f t="shared" si="6"/>
        <v>0</v>
      </c>
      <c r="AI6" s="21">
        <f t="shared" si="6"/>
        <v>0</v>
      </c>
      <c r="AJ6" s="21">
        <f t="shared" si="6"/>
        <v>0</v>
      </c>
      <c r="AK6" s="21">
        <f t="shared" si="6"/>
        <v>0</v>
      </c>
      <c r="AL6" s="21">
        <f t="shared" si="6"/>
        <v>0</v>
      </c>
      <c r="AM6" s="21">
        <f t="shared" si="6"/>
        <v>0</v>
      </c>
      <c r="AN6" s="21">
        <f t="shared" si="6"/>
        <v>0</v>
      </c>
      <c r="AO6" s="21">
        <f t="shared" si="6"/>
        <v>0</v>
      </c>
      <c r="AP6" s="21">
        <f t="shared" si="6"/>
        <v>0</v>
      </c>
      <c r="AQ6" s="21">
        <f t="shared" si="2"/>
        <v>0</v>
      </c>
      <c r="AR6" s="21">
        <f t="shared" si="2"/>
        <v>0</v>
      </c>
      <c r="AS6" s="21">
        <f t="shared" si="2"/>
        <v>0</v>
      </c>
      <c r="AT6" s="21">
        <f t="shared" si="2"/>
        <v>0</v>
      </c>
      <c r="AU6" s="21">
        <f t="shared" si="2"/>
        <v>0</v>
      </c>
      <c r="AV6" s="21">
        <f t="shared" si="2"/>
        <v>0</v>
      </c>
      <c r="AW6" s="21">
        <f t="shared" si="2"/>
        <v>0</v>
      </c>
      <c r="AX6" s="21">
        <f t="shared" si="2"/>
        <v>0</v>
      </c>
      <c r="AY6" s="21">
        <f t="shared" si="2"/>
        <v>0</v>
      </c>
      <c r="AZ6" s="21">
        <f t="shared" si="2"/>
        <v>0</v>
      </c>
      <c r="BA6" s="21">
        <f t="shared" si="3"/>
        <v>0</v>
      </c>
      <c r="BB6" s="21">
        <f t="shared" si="3"/>
        <v>0</v>
      </c>
      <c r="BC6" s="21">
        <f t="shared" si="3"/>
        <v>0</v>
      </c>
      <c r="BD6" s="21">
        <f t="shared" si="3"/>
        <v>0</v>
      </c>
      <c r="BE6" s="21">
        <f t="shared" si="3"/>
        <v>0</v>
      </c>
      <c r="BF6" s="21">
        <f t="shared" si="3"/>
        <v>0</v>
      </c>
      <c r="BG6" s="21">
        <f t="shared" si="3"/>
        <v>0</v>
      </c>
      <c r="BH6" s="21">
        <f t="shared" si="3"/>
        <v>0</v>
      </c>
      <c r="BI6" s="21">
        <f t="shared" si="3"/>
        <v>0</v>
      </c>
      <c r="BJ6" s="21">
        <f t="shared" si="3"/>
        <v>0</v>
      </c>
      <c r="BK6" s="21">
        <f t="shared" si="3"/>
        <v>0</v>
      </c>
      <c r="BL6" s="21">
        <f t="shared" si="3"/>
        <v>0</v>
      </c>
      <c r="BM6" s="21">
        <f t="shared" si="3"/>
        <v>0</v>
      </c>
      <c r="BN6" s="21">
        <f t="shared" si="3"/>
        <v>0</v>
      </c>
      <c r="BO6" s="21">
        <f t="shared" si="3"/>
        <v>0</v>
      </c>
      <c r="BP6" s="21">
        <f t="shared" si="3"/>
        <v>0</v>
      </c>
      <c r="BQ6" s="21">
        <f t="shared" si="3"/>
        <v>0</v>
      </c>
      <c r="BR6" s="21">
        <f t="shared" si="3"/>
        <v>0</v>
      </c>
      <c r="BS6" s="21">
        <f t="shared" si="3"/>
        <v>0</v>
      </c>
      <c r="BT6" s="21">
        <f t="shared" si="3"/>
        <v>0</v>
      </c>
      <c r="BU6" s="21">
        <f t="shared" si="3"/>
        <v>0</v>
      </c>
      <c r="BV6" s="21">
        <f t="shared" si="3"/>
        <v>0</v>
      </c>
      <c r="BW6" s="21">
        <f t="shared" si="3"/>
        <v>0</v>
      </c>
      <c r="BX6" s="21">
        <f t="shared" si="3"/>
        <v>0</v>
      </c>
      <c r="BY6" s="21">
        <f t="shared" si="3"/>
        <v>0</v>
      </c>
      <c r="BZ6" s="21">
        <f t="shared" si="3"/>
        <v>0</v>
      </c>
      <c r="CA6" s="21">
        <f t="shared" si="3"/>
        <v>0</v>
      </c>
      <c r="CB6" s="21">
        <f t="shared" si="3"/>
        <v>0</v>
      </c>
      <c r="CC6" s="21">
        <f t="shared" si="3"/>
        <v>0</v>
      </c>
      <c r="CD6" s="21">
        <f t="shared" si="3"/>
        <v>0</v>
      </c>
      <c r="CE6" s="21">
        <f t="shared" si="3"/>
        <v>0</v>
      </c>
      <c r="CF6" s="21">
        <f t="shared" si="3"/>
        <v>0</v>
      </c>
      <c r="CG6" s="21">
        <f t="shared" si="3"/>
        <v>0</v>
      </c>
      <c r="CH6" s="21">
        <f t="shared" si="3"/>
        <v>0</v>
      </c>
      <c r="CI6" s="21">
        <f t="shared" si="3"/>
        <v>0</v>
      </c>
      <c r="CJ6" s="21">
        <f t="shared" si="3"/>
        <v>0</v>
      </c>
      <c r="CK6" s="21">
        <f t="shared" si="3"/>
        <v>0</v>
      </c>
      <c r="CL6" s="21">
        <f t="shared" si="3"/>
        <v>0</v>
      </c>
      <c r="CM6" s="21">
        <f t="shared" si="3"/>
        <v>0</v>
      </c>
      <c r="CN6" s="21">
        <f t="shared" si="3"/>
        <v>0</v>
      </c>
      <c r="CO6" s="21">
        <f t="shared" si="3"/>
        <v>0</v>
      </c>
      <c r="CP6" s="21">
        <f t="shared" si="3"/>
        <v>0</v>
      </c>
      <c r="CQ6" s="21">
        <f t="shared" si="4"/>
        <v>0</v>
      </c>
      <c r="CR6" s="21">
        <f t="shared" si="4"/>
        <v>0</v>
      </c>
      <c r="CS6" s="21">
        <f t="shared" si="4"/>
        <v>0</v>
      </c>
      <c r="CT6" s="21">
        <f t="shared" si="4"/>
        <v>0</v>
      </c>
      <c r="CU6" s="21">
        <f t="shared" si="4"/>
        <v>0</v>
      </c>
      <c r="CV6" s="21">
        <f t="shared" si="4"/>
        <v>0</v>
      </c>
      <c r="CW6" s="21">
        <f t="shared" si="4"/>
        <v>0</v>
      </c>
      <c r="CX6" s="21">
        <f t="shared" si="4"/>
        <v>0</v>
      </c>
      <c r="CY6" s="21">
        <f t="shared" si="4"/>
        <v>0</v>
      </c>
      <c r="CZ6" s="21">
        <f t="shared" si="4"/>
        <v>0</v>
      </c>
      <c r="DA6" s="21">
        <f t="shared" si="4"/>
        <v>0</v>
      </c>
      <c r="DB6" s="21">
        <f t="shared" si="4"/>
        <v>0</v>
      </c>
      <c r="DC6" s="21">
        <f t="shared" si="4"/>
        <v>0</v>
      </c>
      <c r="DD6" s="21">
        <f t="shared" si="4"/>
        <v>0</v>
      </c>
      <c r="DE6" s="21">
        <f t="shared" si="4"/>
        <v>0</v>
      </c>
      <c r="DF6" s="21">
        <f t="shared" si="4"/>
        <v>0</v>
      </c>
      <c r="DG6" s="21">
        <f t="shared" si="4"/>
        <v>0</v>
      </c>
      <c r="DH6" s="21">
        <f t="shared" si="5"/>
        <v>0</v>
      </c>
      <c r="DI6" s="21">
        <f t="shared" si="5"/>
        <v>0</v>
      </c>
      <c r="DJ6" s="21">
        <f t="shared" si="5"/>
        <v>0</v>
      </c>
      <c r="DK6" s="21">
        <f t="shared" si="5"/>
        <v>0</v>
      </c>
      <c r="DL6" s="21">
        <f t="shared" si="5"/>
        <v>0</v>
      </c>
      <c r="DM6" s="21">
        <f t="shared" si="5"/>
        <v>0</v>
      </c>
      <c r="DN6" s="21">
        <f t="shared" si="5"/>
        <v>0</v>
      </c>
      <c r="DO6" s="21">
        <f t="shared" si="5"/>
        <v>0</v>
      </c>
      <c r="DP6" s="21">
        <f t="shared" si="5"/>
        <v>0</v>
      </c>
      <c r="DQ6" s="21">
        <f t="shared" si="5"/>
        <v>0</v>
      </c>
      <c r="DR6" s="21">
        <f t="shared" si="5"/>
        <v>0</v>
      </c>
      <c r="DS6" s="21">
        <f t="shared" si="5"/>
        <v>0</v>
      </c>
      <c r="DT6" s="21">
        <f t="shared" si="5"/>
        <v>0</v>
      </c>
      <c r="DU6" s="21">
        <f t="shared" si="5"/>
        <v>0</v>
      </c>
      <c r="DV6" s="21">
        <f t="shared" si="5"/>
        <v>0</v>
      </c>
      <c r="DW6" s="21">
        <f t="shared" si="5"/>
        <v>0</v>
      </c>
      <c r="DX6" s="21">
        <f t="shared" si="5"/>
        <v>0</v>
      </c>
      <c r="DY6" s="21">
        <f t="shared" si="5"/>
        <v>0</v>
      </c>
      <c r="DZ6" s="21">
        <f t="shared" si="5"/>
        <v>0</v>
      </c>
      <c r="EA6" s="21">
        <f t="shared" si="5"/>
        <v>0</v>
      </c>
      <c r="EB6" s="21">
        <f t="shared" si="5"/>
        <v>0</v>
      </c>
      <c r="EC6" s="21">
        <f t="shared" si="5"/>
        <v>0</v>
      </c>
      <c r="ED6" s="21">
        <f t="shared" si="5"/>
        <v>0</v>
      </c>
      <c r="EE6" s="21">
        <f t="shared" si="5"/>
        <v>0</v>
      </c>
      <c r="EF6" s="21">
        <f t="shared" si="5"/>
        <v>0</v>
      </c>
      <c r="EG6" s="21">
        <f t="shared" si="5"/>
        <v>0</v>
      </c>
      <c r="EH6" s="21">
        <f t="shared" si="5"/>
        <v>0</v>
      </c>
      <c r="EI6" s="21">
        <f t="shared" si="5"/>
        <v>0</v>
      </c>
      <c r="EJ6" s="21">
        <f t="shared" si="5"/>
        <v>0</v>
      </c>
      <c r="EK6" s="21">
        <f t="shared" si="5"/>
        <v>0</v>
      </c>
      <c r="EL6" s="21">
        <f t="shared" si="5"/>
        <v>0</v>
      </c>
    </row>
    <row r="7" spans="2:142" x14ac:dyDescent="0.45">
      <c r="B7" s="1" t="s">
        <v>232</v>
      </c>
      <c r="D7" s="171">
        <v>3.5000000000000001E-3</v>
      </c>
      <c r="E7" s="19">
        <f>+Assumptions!$G$23*D7</f>
        <v>52500</v>
      </c>
      <c r="F7" s="9"/>
      <c r="G7" s="13">
        <v>0</v>
      </c>
      <c r="H7" s="13">
        <v>0</v>
      </c>
      <c r="I7" s="21"/>
      <c r="J7" s="21">
        <f t="shared" si="0"/>
        <v>52500</v>
      </c>
      <c r="K7" s="21">
        <f t="shared" si="1"/>
        <v>0</v>
      </c>
      <c r="L7" s="21">
        <f t="shared" si="1"/>
        <v>0</v>
      </c>
      <c r="M7" s="21">
        <f t="shared" si="1"/>
        <v>0</v>
      </c>
      <c r="N7" s="21">
        <f t="shared" si="1"/>
        <v>0</v>
      </c>
      <c r="O7" s="21">
        <f t="shared" si="1"/>
        <v>0</v>
      </c>
      <c r="P7" s="21">
        <f t="shared" si="1"/>
        <v>0</v>
      </c>
      <c r="Q7" s="21">
        <f t="shared" si="1"/>
        <v>0</v>
      </c>
      <c r="R7" s="21">
        <f t="shared" si="1"/>
        <v>0</v>
      </c>
      <c r="S7" s="21">
        <f t="shared" si="1"/>
        <v>0</v>
      </c>
      <c r="T7" s="21">
        <f t="shared" si="1"/>
        <v>0</v>
      </c>
      <c r="U7" s="21">
        <f t="shared" si="1"/>
        <v>0</v>
      </c>
      <c r="V7" s="21">
        <f t="shared" si="1"/>
        <v>0</v>
      </c>
      <c r="W7" s="21">
        <f t="shared" si="1"/>
        <v>0</v>
      </c>
      <c r="X7" s="21">
        <f t="shared" si="1"/>
        <v>0</v>
      </c>
      <c r="Y7" s="21">
        <f t="shared" si="1"/>
        <v>0</v>
      </c>
      <c r="Z7" s="21">
        <f t="shared" si="1"/>
        <v>0</v>
      </c>
      <c r="AA7" s="21">
        <f t="shared" ref="AA7:AZ8" si="7">IF(AND($G7=AA$4,$H7=AA$4),$E7,IF($G7&gt;AA$4,0,IF($H7&lt;AA$4,0,$E7/($H7-$G7+1))))</f>
        <v>0</v>
      </c>
      <c r="AB7" s="21">
        <f t="shared" si="7"/>
        <v>0</v>
      </c>
      <c r="AC7" s="21">
        <f t="shared" si="7"/>
        <v>0</v>
      </c>
      <c r="AD7" s="21">
        <f t="shared" si="7"/>
        <v>0</v>
      </c>
      <c r="AE7" s="21">
        <f t="shared" si="7"/>
        <v>0</v>
      </c>
      <c r="AF7" s="21">
        <f t="shared" si="7"/>
        <v>0</v>
      </c>
      <c r="AG7" s="21">
        <f t="shared" si="7"/>
        <v>0</v>
      </c>
      <c r="AH7" s="21">
        <f t="shared" si="7"/>
        <v>0</v>
      </c>
      <c r="AI7" s="21">
        <f t="shared" si="7"/>
        <v>0</v>
      </c>
      <c r="AJ7" s="21">
        <f t="shared" si="7"/>
        <v>0</v>
      </c>
      <c r="AK7" s="21">
        <f t="shared" si="7"/>
        <v>0</v>
      </c>
      <c r="AL7" s="21">
        <f t="shared" si="7"/>
        <v>0</v>
      </c>
      <c r="AM7" s="21">
        <f t="shared" si="7"/>
        <v>0</v>
      </c>
      <c r="AN7" s="21">
        <f t="shared" si="7"/>
        <v>0</v>
      </c>
      <c r="AO7" s="21">
        <f t="shared" si="7"/>
        <v>0</v>
      </c>
      <c r="AP7" s="21">
        <f t="shared" si="7"/>
        <v>0</v>
      </c>
      <c r="AQ7" s="21">
        <f t="shared" si="7"/>
        <v>0</v>
      </c>
      <c r="AR7" s="21">
        <f t="shared" si="7"/>
        <v>0</v>
      </c>
      <c r="AS7" s="21">
        <f t="shared" si="7"/>
        <v>0</v>
      </c>
      <c r="AT7" s="21">
        <f t="shared" si="7"/>
        <v>0</v>
      </c>
      <c r="AU7" s="21">
        <f t="shared" si="7"/>
        <v>0</v>
      </c>
      <c r="AV7" s="21">
        <f t="shared" si="7"/>
        <v>0</v>
      </c>
      <c r="AW7" s="21">
        <f t="shared" si="7"/>
        <v>0</v>
      </c>
      <c r="AX7" s="21">
        <f t="shared" si="7"/>
        <v>0</v>
      </c>
      <c r="AY7" s="21">
        <f t="shared" si="7"/>
        <v>0</v>
      </c>
      <c r="AZ7" s="21">
        <f t="shared" si="7"/>
        <v>0</v>
      </c>
      <c r="BA7" s="21">
        <f t="shared" si="3"/>
        <v>0</v>
      </c>
      <c r="BB7" s="21">
        <f t="shared" si="3"/>
        <v>0</v>
      </c>
      <c r="BC7" s="21">
        <f t="shared" si="3"/>
        <v>0</v>
      </c>
      <c r="BD7" s="21">
        <f t="shared" si="3"/>
        <v>0</v>
      </c>
      <c r="BE7" s="21">
        <f t="shared" si="3"/>
        <v>0</v>
      </c>
      <c r="BF7" s="21">
        <f t="shared" ref="BF7:CP8" si="8">IF(AND($G7=BF$4,$H7=BF$4),$E7,IF($G7&gt;BF$4,0,IF($H7&lt;BF$4,0,$E7/($H7-$G7+1))))</f>
        <v>0</v>
      </c>
      <c r="BG7" s="21">
        <f t="shared" si="8"/>
        <v>0</v>
      </c>
      <c r="BH7" s="21">
        <f t="shared" si="8"/>
        <v>0</v>
      </c>
      <c r="BI7" s="21">
        <f t="shared" si="8"/>
        <v>0</v>
      </c>
      <c r="BJ7" s="21">
        <f t="shared" si="8"/>
        <v>0</v>
      </c>
      <c r="BK7" s="21">
        <f t="shared" si="8"/>
        <v>0</v>
      </c>
      <c r="BL7" s="21">
        <f t="shared" si="8"/>
        <v>0</v>
      </c>
      <c r="BM7" s="21">
        <f t="shared" si="8"/>
        <v>0</v>
      </c>
      <c r="BN7" s="21">
        <f t="shared" si="8"/>
        <v>0</v>
      </c>
      <c r="BO7" s="21">
        <f t="shared" si="8"/>
        <v>0</v>
      </c>
      <c r="BP7" s="21">
        <f t="shared" si="8"/>
        <v>0</v>
      </c>
      <c r="BQ7" s="21">
        <f t="shared" si="8"/>
        <v>0</v>
      </c>
      <c r="BR7" s="21">
        <f t="shared" si="8"/>
        <v>0</v>
      </c>
      <c r="BS7" s="21">
        <f t="shared" si="8"/>
        <v>0</v>
      </c>
      <c r="BT7" s="21">
        <f t="shared" si="8"/>
        <v>0</v>
      </c>
      <c r="BU7" s="21">
        <f t="shared" si="8"/>
        <v>0</v>
      </c>
      <c r="BV7" s="21">
        <f t="shared" si="8"/>
        <v>0</v>
      </c>
      <c r="BW7" s="21">
        <f t="shared" si="8"/>
        <v>0</v>
      </c>
      <c r="BX7" s="21">
        <f t="shared" si="8"/>
        <v>0</v>
      </c>
      <c r="BY7" s="21">
        <f t="shared" si="8"/>
        <v>0</v>
      </c>
      <c r="BZ7" s="21">
        <f t="shared" si="8"/>
        <v>0</v>
      </c>
      <c r="CA7" s="21">
        <f t="shared" si="8"/>
        <v>0</v>
      </c>
      <c r="CB7" s="21">
        <f t="shared" si="8"/>
        <v>0</v>
      </c>
      <c r="CC7" s="21">
        <f t="shared" si="8"/>
        <v>0</v>
      </c>
      <c r="CD7" s="21">
        <f t="shared" si="8"/>
        <v>0</v>
      </c>
      <c r="CE7" s="21">
        <f t="shared" si="8"/>
        <v>0</v>
      </c>
      <c r="CF7" s="21">
        <f t="shared" si="8"/>
        <v>0</v>
      </c>
      <c r="CG7" s="21">
        <f t="shared" si="8"/>
        <v>0</v>
      </c>
      <c r="CH7" s="21">
        <f t="shared" si="8"/>
        <v>0</v>
      </c>
      <c r="CI7" s="21">
        <f t="shared" si="8"/>
        <v>0</v>
      </c>
      <c r="CJ7" s="21">
        <f t="shared" si="8"/>
        <v>0</v>
      </c>
      <c r="CK7" s="21">
        <f t="shared" si="8"/>
        <v>0</v>
      </c>
      <c r="CL7" s="21">
        <f t="shared" si="8"/>
        <v>0</v>
      </c>
      <c r="CM7" s="21">
        <f t="shared" si="8"/>
        <v>0</v>
      </c>
      <c r="CN7" s="21">
        <f t="shared" si="8"/>
        <v>0</v>
      </c>
      <c r="CO7" s="21">
        <f t="shared" si="8"/>
        <v>0</v>
      </c>
      <c r="CP7" s="21">
        <f t="shared" si="8"/>
        <v>0</v>
      </c>
      <c r="CQ7" s="21">
        <f t="shared" si="4"/>
        <v>0</v>
      </c>
      <c r="CR7" s="21">
        <f t="shared" si="4"/>
        <v>0</v>
      </c>
      <c r="CS7" s="21">
        <f t="shared" si="4"/>
        <v>0</v>
      </c>
      <c r="CT7" s="21">
        <f t="shared" si="4"/>
        <v>0</v>
      </c>
      <c r="CU7" s="21">
        <f t="shared" si="4"/>
        <v>0</v>
      </c>
      <c r="CV7" s="21">
        <f t="shared" si="4"/>
        <v>0</v>
      </c>
      <c r="CW7" s="21">
        <f t="shared" si="4"/>
        <v>0</v>
      </c>
      <c r="CX7" s="21">
        <f t="shared" si="4"/>
        <v>0</v>
      </c>
      <c r="CY7" s="21">
        <f t="shared" si="4"/>
        <v>0</v>
      </c>
      <c r="CZ7" s="21">
        <f t="shared" si="4"/>
        <v>0</v>
      </c>
      <c r="DA7" s="21">
        <f t="shared" si="4"/>
        <v>0</v>
      </c>
      <c r="DB7" s="21">
        <f t="shared" si="4"/>
        <v>0</v>
      </c>
      <c r="DC7" s="21">
        <f t="shared" si="4"/>
        <v>0</v>
      </c>
      <c r="DD7" s="21">
        <f t="shared" si="4"/>
        <v>0</v>
      </c>
      <c r="DE7" s="21">
        <f t="shared" si="4"/>
        <v>0</v>
      </c>
      <c r="DF7" s="21">
        <f t="shared" si="4"/>
        <v>0</v>
      </c>
      <c r="DG7" s="21">
        <f t="shared" si="4"/>
        <v>0</v>
      </c>
      <c r="DH7" s="21">
        <f t="shared" si="5"/>
        <v>0</v>
      </c>
      <c r="DI7" s="21">
        <f t="shared" si="5"/>
        <v>0</v>
      </c>
      <c r="DJ7" s="21">
        <f t="shared" si="5"/>
        <v>0</v>
      </c>
      <c r="DK7" s="21">
        <f t="shared" si="5"/>
        <v>0</v>
      </c>
      <c r="DL7" s="21">
        <f t="shared" si="5"/>
        <v>0</v>
      </c>
      <c r="DM7" s="21">
        <f t="shared" si="5"/>
        <v>0</v>
      </c>
      <c r="DN7" s="21">
        <f t="shared" si="5"/>
        <v>0</v>
      </c>
      <c r="DO7" s="21">
        <f t="shared" si="5"/>
        <v>0</v>
      </c>
      <c r="DP7" s="21">
        <f t="shared" si="5"/>
        <v>0</v>
      </c>
      <c r="DQ7" s="21">
        <f t="shared" si="5"/>
        <v>0</v>
      </c>
      <c r="DR7" s="21">
        <f t="shared" si="5"/>
        <v>0</v>
      </c>
      <c r="DS7" s="21">
        <f t="shared" si="5"/>
        <v>0</v>
      </c>
      <c r="DT7" s="21">
        <f t="shared" si="5"/>
        <v>0</v>
      </c>
      <c r="DU7" s="21">
        <f t="shared" si="5"/>
        <v>0</v>
      </c>
      <c r="DV7" s="21">
        <f t="shared" si="5"/>
        <v>0</v>
      </c>
      <c r="DW7" s="21">
        <f t="shared" si="5"/>
        <v>0</v>
      </c>
      <c r="DX7" s="21">
        <f t="shared" si="5"/>
        <v>0</v>
      </c>
      <c r="DY7" s="21">
        <f t="shared" si="5"/>
        <v>0</v>
      </c>
      <c r="DZ7" s="21">
        <f t="shared" si="5"/>
        <v>0</v>
      </c>
      <c r="EA7" s="21">
        <f t="shared" si="5"/>
        <v>0</v>
      </c>
      <c r="EB7" s="21">
        <f t="shared" si="5"/>
        <v>0</v>
      </c>
      <c r="EC7" s="21">
        <f t="shared" si="5"/>
        <v>0</v>
      </c>
      <c r="ED7" s="21">
        <f t="shared" si="5"/>
        <v>0</v>
      </c>
      <c r="EE7" s="21">
        <f t="shared" si="5"/>
        <v>0</v>
      </c>
      <c r="EF7" s="21">
        <f t="shared" si="5"/>
        <v>0</v>
      </c>
      <c r="EG7" s="21">
        <f t="shared" si="5"/>
        <v>0</v>
      </c>
      <c r="EH7" s="21">
        <f t="shared" si="5"/>
        <v>0</v>
      </c>
      <c r="EI7" s="21">
        <f t="shared" si="5"/>
        <v>0</v>
      </c>
      <c r="EJ7" s="21">
        <f t="shared" si="5"/>
        <v>0</v>
      </c>
      <c r="EK7" s="21">
        <f t="shared" si="5"/>
        <v>0</v>
      </c>
      <c r="EL7" s="21">
        <f t="shared" si="5"/>
        <v>0</v>
      </c>
    </row>
    <row r="8" spans="2:142" x14ac:dyDescent="0.45">
      <c r="B8" s="1" t="s">
        <v>437</v>
      </c>
      <c r="D8" s="171">
        <v>1.4999999999999999E-2</v>
      </c>
      <c r="E8" s="19">
        <f>6000000*D8+10000</f>
        <v>100000</v>
      </c>
      <c r="F8" s="9"/>
      <c r="G8" s="13">
        <v>0</v>
      </c>
      <c r="H8" s="13">
        <v>0</v>
      </c>
      <c r="I8" s="21"/>
      <c r="J8" s="21">
        <f t="shared" si="0"/>
        <v>100000</v>
      </c>
      <c r="K8" s="21">
        <f t="shared" si="1"/>
        <v>0</v>
      </c>
      <c r="L8" s="21">
        <f t="shared" si="1"/>
        <v>0</v>
      </c>
      <c r="M8" s="21">
        <f t="shared" si="1"/>
        <v>0</v>
      </c>
      <c r="N8" s="21">
        <f t="shared" si="1"/>
        <v>0</v>
      </c>
      <c r="O8" s="21">
        <f t="shared" si="1"/>
        <v>0</v>
      </c>
      <c r="P8" s="21">
        <f t="shared" si="1"/>
        <v>0</v>
      </c>
      <c r="Q8" s="21">
        <f t="shared" si="1"/>
        <v>0</v>
      </c>
      <c r="R8" s="21">
        <f t="shared" si="1"/>
        <v>0</v>
      </c>
      <c r="S8" s="21">
        <f t="shared" si="1"/>
        <v>0</v>
      </c>
      <c r="T8" s="21">
        <f t="shared" si="1"/>
        <v>0</v>
      </c>
      <c r="U8" s="21">
        <f t="shared" si="1"/>
        <v>0</v>
      </c>
      <c r="V8" s="21">
        <f t="shared" si="1"/>
        <v>0</v>
      </c>
      <c r="W8" s="21">
        <f t="shared" si="1"/>
        <v>0</v>
      </c>
      <c r="X8" s="21">
        <f t="shared" si="1"/>
        <v>0</v>
      </c>
      <c r="Y8" s="21">
        <f t="shared" si="1"/>
        <v>0</v>
      </c>
      <c r="Z8" s="21">
        <f t="shared" si="1"/>
        <v>0</v>
      </c>
      <c r="AA8" s="21">
        <f t="shared" si="7"/>
        <v>0</v>
      </c>
      <c r="AB8" s="21">
        <f t="shared" si="7"/>
        <v>0</v>
      </c>
      <c r="AC8" s="21">
        <f t="shared" si="7"/>
        <v>0</v>
      </c>
      <c r="AD8" s="21">
        <f t="shared" si="7"/>
        <v>0</v>
      </c>
      <c r="AE8" s="21">
        <f t="shared" si="7"/>
        <v>0</v>
      </c>
      <c r="AF8" s="21">
        <f t="shared" si="7"/>
        <v>0</v>
      </c>
      <c r="AG8" s="21">
        <f t="shared" si="7"/>
        <v>0</v>
      </c>
      <c r="AH8" s="21">
        <f t="shared" si="7"/>
        <v>0</v>
      </c>
      <c r="AI8" s="21">
        <f t="shared" si="7"/>
        <v>0</v>
      </c>
      <c r="AJ8" s="21">
        <f t="shared" si="7"/>
        <v>0</v>
      </c>
      <c r="AK8" s="21">
        <f t="shared" si="7"/>
        <v>0</v>
      </c>
      <c r="AL8" s="21">
        <f t="shared" si="7"/>
        <v>0</v>
      </c>
      <c r="AM8" s="21">
        <f t="shared" si="7"/>
        <v>0</v>
      </c>
      <c r="AN8" s="21">
        <f t="shared" si="7"/>
        <v>0</v>
      </c>
      <c r="AO8" s="21">
        <f t="shared" si="7"/>
        <v>0</v>
      </c>
      <c r="AP8" s="21">
        <f t="shared" si="7"/>
        <v>0</v>
      </c>
      <c r="AQ8" s="21">
        <f t="shared" si="7"/>
        <v>0</v>
      </c>
      <c r="AR8" s="21">
        <f t="shared" si="7"/>
        <v>0</v>
      </c>
      <c r="AS8" s="21">
        <f t="shared" si="7"/>
        <v>0</v>
      </c>
      <c r="AT8" s="21">
        <f t="shared" si="7"/>
        <v>0</v>
      </c>
      <c r="AU8" s="21">
        <f t="shared" si="7"/>
        <v>0</v>
      </c>
      <c r="AV8" s="21">
        <f t="shared" si="7"/>
        <v>0</v>
      </c>
      <c r="AW8" s="21">
        <f t="shared" si="7"/>
        <v>0</v>
      </c>
      <c r="AX8" s="21">
        <f t="shared" si="7"/>
        <v>0</v>
      </c>
      <c r="AY8" s="21">
        <f t="shared" si="7"/>
        <v>0</v>
      </c>
      <c r="AZ8" s="21">
        <f t="shared" si="7"/>
        <v>0</v>
      </c>
      <c r="BA8" s="21">
        <f t="shared" si="3"/>
        <v>0</v>
      </c>
      <c r="BB8" s="21">
        <f t="shared" si="3"/>
        <v>0</v>
      </c>
      <c r="BC8" s="21">
        <f t="shared" si="3"/>
        <v>0</v>
      </c>
      <c r="BD8" s="21">
        <f t="shared" si="3"/>
        <v>0</v>
      </c>
      <c r="BE8" s="21">
        <f t="shared" si="3"/>
        <v>0</v>
      </c>
      <c r="BF8" s="21">
        <f t="shared" si="8"/>
        <v>0</v>
      </c>
      <c r="BG8" s="21">
        <f t="shared" si="8"/>
        <v>0</v>
      </c>
      <c r="BH8" s="21">
        <f t="shared" si="8"/>
        <v>0</v>
      </c>
      <c r="BI8" s="21">
        <f t="shared" si="8"/>
        <v>0</v>
      </c>
      <c r="BJ8" s="21">
        <f t="shared" si="8"/>
        <v>0</v>
      </c>
      <c r="BK8" s="21">
        <f t="shared" si="8"/>
        <v>0</v>
      </c>
      <c r="BL8" s="21">
        <f t="shared" si="8"/>
        <v>0</v>
      </c>
      <c r="BM8" s="21">
        <f t="shared" si="8"/>
        <v>0</v>
      </c>
      <c r="BN8" s="21">
        <f t="shared" si="8"/>
        <v>0</v>
      </c>
      <c r="BO8" s="21">
        <f t="shared" si="8"/>
        <v>0</v>
      </c>
      <c r="BP8" s="21">
        <f t="shared" si="8"/>
        <v>0</v>
      </c>
      <c r="BQ8" s="21">
        <f t="shared" si="8"/>
        <v>0</v>
      </c>
      <c r="BR8" s="21">
        <f t="shared" si="8"/>
        <v>0</v>
      </c>
      <c r="BS8" s="21">
        <f t="shared" si="8"/>
        <v>0</v>
      </c>
      <c r="BT8" s="21">
        <f t="shared" si="8"/>
        <v>0</v>
      </c>
      <c r="BU8" s="21">
        <f t="shared" si="8"/>
        <v>0</v>
      </c>
      <c r="BV8" s="21">
        <f t="shared" si="8"/>
        <v>0</v>
      </c>
      <c r="BW8" s="21">
        <f t="shared" si="8"/>
        <v>0</v>
      </c>
      <c r="BX8" s="21">
        <f t="shared" si="8"/>
        <v>0</v>
      </c>
      <c r="BY8" s="21">
        <f t="shared" si="8"/>
        <v>0</v>
      </c>
      <c r="BZ8" s="21">
        <f t="shared" si="8"/>
        <v>0</v>
      </c>
      <c r="CA8" s="21">
        <f t="shared" si="8"/>
        <v>0</v>
      </c>
      <c r="CB8" s="21">
        <f t="shared" si="8"/>
        <v>0</v>
      </c>
      <c r="CC8" s="21">
        <f t="shared" si="8"/>
        <v>0</v>
      </c>
      <c r="CD8" s="21">
        <f t="shared" si="8"/>
        <v>0</v>
      </c>
      <c r="CE8" s="21">
        <f t="shared" si="8"/>
        <v>0</v>
      </c>
      <c r="CF8" s="21">
        <f t="shared" si="8"/>
        <v>0</v>
      </c>
      <c r="CG8" s="21">
        <f t="shared" si="8"/>
        <v>0</v>
      </c>
      <c r="CH8" s="21">
        <f t="shared" si="8"/>
        <v>0</v>
      </c>
      <c r="CI8" s="21">
        <f t="shared" si="8"/>
        <v>0</v>
      </c>
      <c r="CJ8" s="21">
        <f t="shared" si="8"/>
        <v>0</v>
      </c>
      <c r="CK8" s="21">
        <f t="shared" si="8"/>
        <v>0</v>
      </c>
      <c r="CL8" s="21">
        <f t="shared" si="8"/>
        <v>0</v>
      </c>
      <c r="CM8" s="21">
        <f t="shared" si="8"/>
        <v>0</v>
      </c>
      <c r="CN8" s="21">
        <f t="shared" si="8"/>
        <v>0</v>
      </c>
      <c r="CO8" s="21">
        <f t="shared" si="8"/>
        <v>0</v>
      </c>
      <c r="CP8" s="21">
        <f t="shared" si="8"/>
        <v>0</v>
      </c>
      <c r="CQ8" s="21">
        <f t="shared" si="4"/>
        <v>0</v>
      </c>
      <c r="CR8" s="21">
        <f t="shared" si="4"/>
        <v>0</v>
      </c>
      <c r="CS8" s="21">
        <f t="shared" si="4"/>
        <v>0</v>
      </c>
      <c r="CT8" s="21">
        <f t="shared" si="4"/>
        <v>0</v>
      </c>
      <c r="CU8" s="21">
        <f t="shared" si="4"/>
        <v>0</v>
      </c>
      <c r="CV8" s="21">
        <f t="shared" si="4"/>
        <v>0</v>
      </c>
      <c r="CW8" s="21">
        <f t="shared" si="4"/>
        <v>0</v>
      </c>
      <c r="CX8" s="21">
        <f t="shared" si="4"/>
        <v>0</v>
      </c>
      <c r="CY8" s="21">
        <f t="shared" si="4"/>
        <v>0</v>
      </c>
      <c r="CZ8" s="21">
        <f t="shared" si="4"/>
        <v>0</v>
      </c>
      <c r="DA8" s="21">
        <f t="shared" si="4"/>
        <v>0</v>
      </c>
      <c r="DB8" s="21">
        <f t="shared" si="4"/>
        <v>0</v>
      </c>
      <c r="DC8" s="21">
        <f t="shared" si="4"/>
        <v>0</v>
      </c>
      <c r="DD8" s="21">
        <f t="shared" si="4"/>
        <v>0</v>
      </c>
      <c r="DE8" s="21">
        <f t="shared" si="4"/>
        <v>0</v>
      </c>
      <c r="DF8" s="21">
        <f t="shared" si="4"/>
        <v>0</v>
      </c>
      <c r="DG8" s="21">
        <f t="shared" si="4"/>
        <v>0</v>
      </c>
      <c r="DH8" s="21">
        <f t="shared" si="5"/>
        <v>0</v>
      </c>
      <c r="DI8" s="21">
        <f t="shared" si="5"/>
        <v>0</v>
      </c>
      <c r="DJ8" s="21">
        <f t="shared" si="5"/>
        <v>0</v>
      </c>
      <c r="DK8" s="21">
        <f t="shared" si="5"/>
        <v>0</v>
      </c>
      <c r="DL8" s="21">
        <f t="shared" si="5"/>
        <v>0</v>
      </c>
      <c r="DM8" s="21">
        <f t="shared" si="5"/>
        <v>0</v>
      </c>
      <c r="DN8" s="21">
        <f t="shared" si="5"/>
        <v>0</v>
      </c>
      <c r="DO8" s="21">
        <f t="shared" ref="DO8:EL8" si="9">IF(AND($G8=DO$4,$H8=DO$4),$E8,IF($G8&gt;DO$4,0,IF($H8&lt;DO$4,0,$E8/($H8-$G8+1))))</f>
        <v>0</v>
      </c>
      <c r="DP8" s="21">
        <f t="shared" si="9"/>
        <v>0</v>
      </c>
      <c r="DQ8" s="21">
        <f t="shared" si="9"/>
        <v>0</v>
      </c>
      <c r="DR8" s="21">
        <f t="shared" si="9"/>
        <v>0</v>
      </c>
      <c r="DS8" s="21">
        <f t="shared" si="9"/>
        <v>0</v>
      </c>
      <c r="DT8" s="21">
        <f t="shared" si="9"/>
        <v>0</v>
      </c>
      <c r="DU8" s="21">
        <f t="shared" si="9"/>
        <v>0</v>
      </c>
      <c r="DV8" s="21">
        <f t="shared" si="9"/>
        <v>0</v>
      </c>
      <c r="DW8" s="21">
        <f t="shared" si="9"/>
        <v>0</v>
      </c>
      <c r="DX8" s="21">
        <f t="shared" si="9"/>
        <v>0</v>
      </c>
      <c r="DY8" s="21">
        <f t="shared" si="9"/>
        <v>0</v>
      </c>
      <c r="DZ8" s="21">
        <f t="shared" si="9"/>
        <v>0</v>
      </c>
      <c r="EA8" s="21">
        <f t="shared" si="9"/>
        <v>0</v>
      </c>
      <c r="EB8" s="21">
        <f t="shared" si="9"/>
        <v>0</v>
      </c>
      <c r="EC8" s="21">
        <f t="shared" si="9"/>
        <v>0</v>
      </c>
      <c r="ED8" s="21">
        <f t="shared" si="9"/>
        <v>0</v>
      </c>
      <c r="EE8" s="21">
        <f t="shared" si="9"/>
        <v>0</v>
      </c>
      <c r="EF8" s="21">
        <f t="shared" si="9"/>
        <v>0</v>
      </c>
      <c r="EG8" s="21">
        <f t="shared" si="9"/>
        <v>0</v>
      </c>
      <c r="EH8" s="21">
        <f t="shared" si="9"/>
        <v>0</v>
      </c>
      <c r="EI8" s="21">
        <f t="shared" si="9"/>
        <v>0</v>
      </c>
      <c r="EJ8" s="21">
        <f t="shared" si="9"/>
        <v>0</v>
      </c>
      <c r="EK8" s="21">
        <f t="shared" si="9"/>
        <v>0</v>
      </c>
      <c r="EL8" s="21">
        <f t="shared" si="9"/>
        <v>0</v>
      </c>
    </row>
    <row r="9" spans="2:142" x14ac:dyDescent="0.45">
      <c r="B9" s="1" t="s">
        <v>158</v>
      </c>
      <c r="E9" s="9">
        <v>5000</v>
      </c>
      <c r="G9" s="13">
        <v>0</v>
      </c>
      <c r="H9" s="13">
        <v>0</v>
      </c>
      <c r="I9" s="21"/>
      <c r="J9" s="21">
        <f t="shared" si="0"/>
        <v>5000</v>
      </c>
      <c r="K9" s="21">
        <f t="shared" ref="K9:T10" si="10">IF(AND($G9=K$4,$H9=K$4),$E9,IF($G9&gt;K$4,0,IF($H9&lt;K$4,0,$E9/($H9-$G9+1))))</f>
        <v>0</v>
      </c>
      <c r="L9" s="21">
        <f t="shared" si="10"/>
        <v>0</v>
      </c>
      <c r="M9" s="21">
        <f t="shared" si="10"/>
        <v>0</v>
      </c>
      <c r="N9" s="21">
        <f t="shared" si="10"/>
        <v>0</v>
      </c>
      <c r="O9" s="21">
        <f t="shared" si="10"/>
        <v>0</v>
      </c>
      <c r="P9" s="21">
        <f t="shared" si="10"/>
        <v>0</v>
      </c>
      <c r="Q9" s="21">
        <f t="shared" si="10"/>
        <v>0</v>
      </c>
      <c r="R9" s="21">
        <f t="shared" si="10"/>
        <v>0</v>
      </c>
      <c r="S9" s="21">
        <f t="shared" si="10"/>
        <v>0</v>
      </c>
      <c r="T9" s="21">
        <f t="shared" si="10"/>
        <v>0</v>
      </c>
      <c r="U9" s="21">
        <f t="shared" si="1"/>
        <v>0</v>
      </c>
      <c r="V9" s="21">
        <f t="shared" si="1"/>
        <v>0</v>
      </c>
      <c r="W9" s="21">
        <f t="shared" si="1"/>
        <v>0</v>
      </c>
      <c r="X9" s="21">
        <f t="shared" si="1"/>
        <v>0</v>
      </c>
      <c r="Y9" s="21">
        <f t="shared" si="1"/>
        <v>0</v>
      </c>
      <c r="Z9" s="21">
        <f t="shared" si="1"/>
        <v>0</v>
      </c>
      <c r="AA9" s="21">
        <f t="shared" ref="AA9:AJ10" si="11">IF(AND($G9=AA$4,$H9=AA$4),$E9,IF($G9&gt;AA$4,0,IF($H9&lt;AA$4,0,$E9/($H9-$G9+1))))</f>
        <v>0</v>
      </c>
      <c r="AB9" s="21">
        <f t="shared" si="11"/>
        <v>0</v>
      </c>
      <c r="AC9" s="21">
        <f t="shared" si="11"/>
        <v>0</v>
      </c>
      <c r="AD9" s="21">
        <f t="shared" si="11"/>
        <v>0</v>
      </c>
      <c r="AE9" s="21">
        <f t="shared" si="11"/>
        <v>0</v>
      </c>
      <c r="AF9" s="21">
        <f t="shared" si="11"/>
        <v>0</v>
      </c>
      <c r="AG9" s="21">
        <f t="shared" si="11"/>
        <v>0</v>
      </c>
      <c r="AH9" s="21">
        <f t="shared" si="11"/>
        <v>0</v>
      </c>
      <c r="AI9" s="21">
        <f t="shared" si="11"/>
        <v>0</v>
      </c>
      <c r="AJ9" s="21">
        <f t="shared" si="11"/>
        <v>0</v>
      </c>
      <c r="AK9" s="21">
        <f t="shared" ref="AK9:AT10" si="12">IF(AND($G9=AK$4,$H9=AK$4),$E9,IF($G9&gt;AK$4,0,IF($H9&lt;AK$4,0,$E9/($H9-$G9+1))))</f>
        <v>0</v>
      </c>
      <c r="AL9" s="21">
        <f t="shared" si="12"/>
        <v>0</v>
      </c>
      <c r="AM9" s="21">
        <f t="shared" si="12"/>
        <v>0</v>
      </c>
      <c r="AN9" s="21">
        <f t="shared" si="12"/>
        <v>0</v>
      </c>
      <c r="AO9" s="21">
        <f t="shared" si="12"/>
        <v>0</v>
      </c>
      <c r="AP9" s="21">
        <f t="shared" si="12"/>
        <v>0</v>
      </c>
      <c r="AQ9" s="21">
        <f t="shared" si="12"/>
        <v>0</v>
      </c>
      <c r="AR9" s="21">
        <f t="shared" si="12"/>
        <v>0</v>
      </c>
      <c r="AS9" s="21">
        <f t="shared" si="12"/>
        <v>0</v>
      </c>
      <c r="AT9" s="21">
        <f t="shared" si="12"/>
        <v>0</v>
      </c>
      <c r="AU9" s="21">
        <f t="shared" ref="AU9:BD10" si="13">IF(AND($G9=AU$4,$H9=AU$4),$E9,IF($G9&gt;AU$4,0,IF($H9&lt;AU$4,0,$E9/($H9-$G9+1))))</f>
        <v>0</v>
      </c>
      <c r="AV9" s="21">
        <f t="shared" si="13"/>
        <v>0</v>
      </c>
      <c r="AW9" s="21">
        <f t="shared" si="13"/>
        <v>0</v>
      </c>
      <c r="AX9" s="21">
        <f t="shared" si="13"/>
        <v>0</v>
      </c>
      <c r="AY9" s="21">
        <f t="shared" si="13"/>
        <v>0</v>
      </c>
      <c r="AZ9" s="21">
        <f t="shared" si="13"/>
        <v>0</v>
      </c>
      <c r="BA9" s="21">
        <f t="shared" si="13"/>
        <v>0</v>
      </c>
      <c r="BB9" s="21">
        <f t="shared" si="13"/>
        <v>0</v>
      </c>
      <c r="BC9" s="21">
        <f t="shared" si="13"/>
        <v>0</v>
      </c>
      <c r="BD9" s="21">
        <f t="shared" si="13"/>
        <v>0</v>
      </c>
      <c r="BE9" s="21">
        <f t="shared" si="3"/>
        <v>0</v>
      </c>
      <c r="BF9" s="21">
        <f t="shared" si="3"/>
        <v>0</v>
      </c>
      <c r="BG9" s="21">
        <f t="shared" si="3"/>
        <v>0</v>
      </c>
      <c r="BH9" s="21">
        <f t="shared" si="3"/>
        <v>0</v>
      </c>
      <c r="BI9" s="21">
        <f t="shared" si="3"/>
        <v>0</v>
      </c>
      <c r="BJ9" s="21">
        <f t="shared" si="3"/>
        <v>0</v>
      </c>
      <c r="BK9" s="21">
        <f t="shared" si="3"/>
        <v>0</v>
      </c>
      <c r="BL9" s="21">
        <f t="shared" si="3"/>
        <v>0</v>
      </c>
      <c r="BM9" s="21">
        <f t="shared" si="3"/>
        <v>0</v>
      </c>
      <c r="BN9" s="21">
        <f t="shared" si="3"/>
        <v>0</v>
      </c>
      <c r="BO9" s="21">
        <f t="shared" si="3"/>
        <v>0</v>
      </c>
      <c r="BP9" s="21">
        <f t="shared" si="3"/>
        <v>0</v>
      </c>
      <c r="BQ9" s="21">
        <f t="shared" si="3"/>
        <v>0</v>
      </c>
      <c r="BR9" s="21">
        <f t="shared" si="3"/>
        <v>0</v>
      </c>
      <c r="BS9" s="21">
        <f t="shared" si="3"/>
        <v>0</v>
      </c>
      <c r="BT9" s="21">
        <f t="shared" si="3"/>
        <v>0</v>
      </c>
      <c r="BU9" s="21">
        <f t="shared" si="3"/>
        <v>0</v>
      </c>
      <c r="BV9" s="21">
        <f t="shared" si="3"/>
        <v>0</v>
      </c>
      <c r="BW9" s="21">
        <f t="shared" si="3"/>
        <v>0</v>
      </c>
      <c r="BX9" s="21">
        <f t="shared" si="3"/>
        <v>0</v>
      </c>
      <c r="BY9" s="21">
        <f t="shared" si="3"/>
        <v>0</v>
      </c>
      <c r="BZ9" s="21">
        <f t="shared" si="3"/>
        <v>0</v>
      </c>
      <c r="CA9" s="21">
        <f t="shared" si="3"/>
        <v>0</v>
      </c>
      <c r="CB9" s="21">
        <f t="shared" si="3"/>
        <v>0</v>
      </c>
      <c r="CC9" s="21">
        <f t="shared" si="3"/>
        <v>0</v>
      </c>
      <c r="CD9" s="21">
        <f t="shared" si="3"/>
        <v>0</v>
      </c>
      <c r="CE9" s="21">
        <f t="shared" si="3"/>
        <v>0</v>
      </c>
      <c r="CF9" s="21">
        <f t="shared" si="3"/>
        <v>0</v>
      </c>
      <c r="CG9" s="21">
        <f t="shared" si="3"/>
        <v>0</v>
      </c>
      <c r="CH9" s="21">
        <f t="shared" si="3"/>
        <v>0</v>
      </c>
      <c r="CI9" s="21">
        <f t="shared" si="3"/>
        <v>0</v>
      </c>
      <c r="CJ9" s="21">
        <f t="shared" si="3"/>
        <v>0</v>
      </c>
      <c r="CK9" s="21">
        <f t="shared" si="3"/>
        <v>0</v>
      </c>
      <c r="CL9" s="21">
        <f t="shared" si="3"/>
        <v>0</v>
      </c>
      <c r="CM9" s="21">
        <f t="shared" si="3"/>
        <v>0</v>
      </c>
      <c r="CN9" s="21">
        <f t="shared" si="3"/>
        <v>0</v>
      </c>
      <c r="CO9" s="21">
        <f t="shared" si="3"/>
        <v>0</v>
      </c>
      <c r="CP9" s="21">
        <f t="shared" si="3"/>
        <v>0</v>
      </c>
      <c r="CQ9" s="21">
        <f t="shared" si="4"/>
        <v>0</v>
      </c>
      <c r="CR9" s="21">
        <f t="shared" si="4"/>
        <v>0</v>
      </c>
      <c r="CS9" s="21">
        <f t="shared" si="4"/>
        <v>0</v>
      </c>
      <c r="CT9" s="21">
        <f t="shared" si="4"/>
        <v>0</v>
      </c>
      <c r="CU9" s="21">
        <f t="shared" si="4"/>
        <v>0</v>
      </c>
      <c r="CV9" s="21">
        <f t="shared" si="4"/>
        <v>0</v>
      </c>
      <c r="CW9" s="21">
        <f t="shared" si="4"/>
        <v>0</v>
      </c>
      <c r="CX9" s="21">
        <f t="shared" si="4"/>
        <v>0</v>
      </c>
      <c r="CY9" s="21">
        <f t="shared" si="4"/>
        <v>0</v>
      </c>
      <c r="CZ9" s="21">
        <f t="shared" si="4"/>
        <v>0</v>
      </c>
      <c r="DA9" s="21">
        <f t="shared" si="4"/>
        <v>0</v>
      </c>
      <c r="DB9" s="21">
        <f t="shared" si="4"/>
        <v>0</v>
      </c>
      <c r="DC9" s="21">
        <f t="shared" si="4"/>
        <v>0</v>
      </c>
      <c r="DD9" s="21">
        <f t="shared" si="4"/>
        <v>0</v>
      </c>
      <c r="DE9" s="21">
        <f t="shared" si="4"/>
        <v>0</v>
      </c>
      <c r="DF9" s="21">
        <f t="shared" si="4"/>
        <v>0</v>
      </c>
      <c r="DG9" s="21">
        <f t="shared" si="4"/>
        <v>0</v>
      </c>
      <c r="DH9" s="21">
        <f t="shared" si="5"/>
        <v>0</v>
      </c>
      <c r="DI9" s="21">
        <f t="shared" si="5"/>
        <v>0</v>
      </c>
      <c r="DJ9" s="21">
        <f t="shared" si="5"/>
        <v>0</v>
      </c>
      <c r="DK9" s="21">
        <f t="shared" si="5"/>
        <v>0</v>
      </c>
      <c r="DL9" s="21">
        <f t="shared" si="5"/>
        <v>0</v>
      </c>
      <c r="DM9" s="21">
        <f t="shared" si="5"/>
        <v>0</v>
      </c>
      <c r="DN9" s="21">
        <f t="shared" si="5"/>
        <v>0</v>
      </c>
      <c r="DO9" s="21">
        <f t="shared" si="5"/>
        <v>0</v>
      </c>
      <c r="DP9" s="21">
        <f t="shared" si="5"/>
        <v>0</v>
      </c>
      <c r="DQ9" s="21">
        <f t="shared" si="5"/>
        <v>0</v>
      </c>
      <c r="DR9" s="21">
        <f t="shared" si="5"/>
        <v>0</v>
      </c>
      <c r="DS9" s="21">
        <f t="shared" si="5"/>
        <v>0</v>
      </c>
      <c r="DT9" s="21">
        <f t="shared" si="5"/>
        <v>0</v>
      </c>
      <c r="DU9" s="21">
        <f t="shared" si="5"/>
        <v>0</v>
      </c>
      <c r="DV9" s="21">
        <f t="shared" si="5"/>
        <v>0</v>
      </c>
      <c r="DW9" s="21">
        <f t="shared" si="5"/>
        <v>0</v>
      </c>
      <c r="DX9" s="21">
        <f t="shared" si="5"/>
        <v>0</v>
      </c>
      <c r="DY9" s="21">
        <f t="shared" si="5"/>
        <v>0</v>
      </c>
      <c r="DZ9" s="21">
        <f t="shared" si="5"/>
        <v>0</v>
      </c>
      <c r="EA9" s="21">
        <f t="shared" si="5"/>
        <v>0</v>
      </c>
      <c r="EB9" s="21">
        <f t="shared" si="5"/>
        <v>0</v>
      </c>
      <c r="EC9" s="21">
        <f t="shared" si="5"/>
        <v>0</v>
      </c>
      <c r="ED9" s="21">
        <f t="shared" si="5"/>
        <v>0</v>
      </c>
      <c r="EE9" s="21">
        <f t="shared" si="5"/>
        <v>0</v>
      </c>
      <c r="EF9" s="21">
        <f t="shared" si="5"/>
        <v>0</v>
      </c>
      <c r="EG9" s="21">
        <f t="shared" si="5"/>
        <v>0</v>
      </c>
      <c r="EH9" s="21">
        <f t="shared" si="5"/>
        <v>0</v>
      </c>
      <c r="EI9" s="21">
        <f t="shared" si="5"/>
        <v>0</v>
      </c>
      <c r="EJ9" s="21">
        <f t="shared" si="5"/>
        <v>0</v>
      </c>
      <c r="EK9" s="21">
        <f t="shared" si="5"/>
        <v>0</v>
      </c>
      <c r="EL9" s="21">
        <f t="shared" si="5"/>
        <v>0</v>
      </c>
    </row>
    <row r="10" spans="2:142" x14ac:dyDescent="0.45">
      <c r="B10" s="1" t="s">
        <v>234</v>
      </c>
      <c r="E10" s="9">
        <v>3000</v>
      </c>
      <c r="G10" s="13">
        <v>0</v>
      </c>
      <c r="H10" s="13">
        <v>0</v>
      </c>
      <c r="I10" s="21"/>
      <c r="J10" s="21">
        <f t="shared" si="0"/>
        <v>3000</v>
      </c>
      <c r="K10" s="21">
        <f t="shared" si="10"/>
        <v>0</v>
      </c>
      <c r="L10" s="21">
        <f t="shared" si="10"/>
        <v>0</v>
      </c>
      <c r="M10" s="21">
        <f t="shared" si="10"/>
        <v>0</v>
      </c>
      <c r="N10" s="21">
        <f t="shared" si="10"/>
        <v>0</v>
      </c>
      <c r="O10" s="21">
        <f t="shared" si="10"/>
        <v>0</v>
      </c>
      <c r="P10" s="21">
        <f t="shared" si="10"/>
        <v>0</v>
      </c>
      <c r="Q10" s="21">
        <f t="shared" si="10"/>
        <v>0</v>
      </c>
      <c r="R10" s="21">
        <f t="shared" si="10"/>
        <v>0</v>
      </c>
      <c r="S10" s="21">
        <f t="shared" si="10"/>
        <v>0</v>
      </c>
      <c r="T10" s="21">
        <f t="shared" si="10"/>
        <v>0</v>
      </c>
      <c r="U10" s="21">
        <f t="shared" si="1"/>
        <v>0</v>
      </c>
      <c r="V10" s="21">
        <f t="shared" si="1"/>
        <v>0</v>
      </c>
      <c r="W10" s="21">
        <f t="shared" si="1"/>
        <v>0</v>
      </c>
      <c r="X10" s="21">
        <f t="shared" si="1"/>
        <v>0</v>
      </c>
      <c r="Y10" s="21">
        <f t="shared" si="1"/>
        <v>0</v>
      </c>
      <c r="Z10" s="21">
        <f t="shared" si="1"/>
        <v>0</v>
      </c>
      <c r="AA10" s="21">
        <f t="shared" si="11"/>
        <v>0</v>
      </c>
      <c r="AB10" s="21">
        <f t="shared" si="11"/>
        <v>0</v>
      </c>
      <c r="AC10" s="21">
        <f t="shared" si="11"/>
        <v>0</v>
      </c>
      <c r="AD10" s="21">
        <f t="shared" si="11"/>
        <v>0</v>
      </c>
      <c r="AE10" s="21">
        <f t="shared" si="11"/>
        <v>0</v>
      </c>
      <c r="AF10" s="21">
        <f t="shared" si="11"/>
        <v>0</v>
      </c>
      <c r="AG10" s="21">
        <f t="shared" si="11"/>
        <v>0</v>
      </c>
      <c r="AH10" s="21">
        <f t="shared" si="11"/>
        <v>0</v>
      </c>
      <c r="AI10" s="21">
        <f t="shared" si="11"/>
        <v>0</v>
      </c>
      <c r="AJ10" s="21">
        <f t="shared" si="11"/>
        <v>0</v>
      </c>
      <c r="AK10" s="21">
        <f t="shared" si="12"/>
        <v>0</v>
      </c>
      <c r="AL10" s="21">
        <f t="shared" si="12"/>
        <v>0</v>
      </c>
      <c r="AM10" s="21">
        <f t="shared" si="12"/>
        <v>0</v>
      </c>
      <c r="AN10" s="21">
        <f t="shared" si="12"/>
        <v>0</v>
      </c>
      <c r="AO10" s="21">
        <f t="shared" si="12"/>
        <v>0</v>
      </c>
      <c r="AP10" s="21">
        <f t="shared" si="12"/>
        <v>0</v>
      </c>
      <c r="AQ10" s="21">
        <f t="shared" si="12"/>
        <v>0</v>
      </c>
      <c r="AR10" s="21">
        <f t="shared" si="12"/>
        <v>0</v>
      </c>
      <c r="AS10" s="21">
        <f t="shared" si="12"/>
        <v>0</v>
      </c>
      <c r="AT10" s="21">
        <f t="shared" si="12"/>
        <v>0</v>
      </c>
      <c r="AU10" s="21">
        <f t="shared" si="13"/>
        <v>0</v>
      </c>
      <c r="AV10" s="21">
        <f t="shared" si="13"/>
        <v>0</v>
      </c>
      <c r="AW10" s="21">
        <f t="shared" si="13"/>
        <v>0</v>
      </c>
      <c r="AX10" s="21">
        <f t="shared" si="13"/>
        <v>0</v>
      </c>
      <c r="AY10" s="21">
        <f t="shared" si="13"/>
        <v>0</v>
      </c>
      <c r="AZ10" s="21">
        <f t="shared" si="13"/>
        <v>0</v>
      </c>
      <c r="BA10" s="21">
        <f t="shared" si="13"/>
        <v>0</v>
      </c>
      <c r="BB10" s="21">
        <f t="shared" si="13"/>
        <v>0</v>
      </c>
      <c r="BC10" s="21">
        <f t="shared" si="13"/>
        <v>0</v>
      </c>
      <c r="BD10" s="21">
        <f t="shared" si="13"/>
        <v>0</v>
      </c>
      <c r="BE10" s="21">
        <f t="shared" si="3"/>
        <v>0</v>
      </c>
      <c r="BF10" s="21">
        <f t="shared" si="3"/>
        <v>0</v>
      </c>
      <c r="BG10" s="21">
        <f t="shared" si="3"/>
        <v>0</v>
      </c>
      <c r="BH10" s="21">
        <f t="shared" si="3"/>
        <v>0</v>
      </c>
      <c r="BI10" s="21">
        <f t="shared" si="3"/>
        <v>0</v>
      </c>
      <c r="BJ10" s="21">
        <f t="shared" si="3"/>
        <v>0</v>
      </c>
      <c r="BK10" s="21">
        <f t="shared" si="3"/>
        <v>0</v>
      </c>
      <c r="BL10" s="21">
        <f t="shared" si="3"/>
        <v>0</v>
      </c>
      <c r="BM10" s="21">
        <f t="shared" si="3"/>
        <v>0</v>
      </c>
      <c r="BN10" s="21">
        <f t="shared" si="3"/>
        <v>0</v>
      </c>
      <c r="BO10" s="21">
        <f t="shared" si="3"/>
        <v>0</v>
      </c>
      <c r="BP10" s="21">
        <f t="shared" si="3"/>
        <v>0</v>
      </c>
      <c r="BQ10" s="21">
        <f t="shared" si="3"/>
        <v>0</v>
      </c>
      <c r="BR10" s="21">
        <f t="shared" si="3"/>
        <v>0</v>
      </c>
      <c r="BS10" s="21">
        <f t="shared" si="3"/>
        <v>0</v>
      </c>
      <c r="BT10" s="21">
        <f t="shared" si="3"/>
        <v>0</v>
      </c>
      <c r="BU10" s="21">
        <f t="shared" si="3"/>
        <v>0</v>
      </c>
      <c r="BV10" s="21">
        <f t="shared" si="3"/>
        <v>0</v>
      </c>
      <c r="BW10" s="21">
        <f t="shared" si="3"/>
        <v>0</v>
      </c>
      <c r="BX10" s="21">
        <f t="shared" si="3"/>
        <v>0</v>
      </c>
      <c r="BY10" s="21">
        <f t="shared" si="3"/>
        <v>0</v>
      </c>
      <c r="BZ10" s="21">
        <f t="shared" si="3"/>
        <v>0</v>
      </c>
      <c r="CA10" s="21">
        <f t="shared" si="3"/>
        <v>0</v>
      </c>
      <c r="CB10" s="21">
        <f t="shared" si="3"/>
        <v>0</v>
      </c>
      <c r="CC10" s="21">
        <f t="shared" si="3"/>
        <v>0</v>
      </c>
      <c r="CD10" s="21">
        <f t="shared" si="3"/>
        <v>0</v>
      </c>
      <c r="CE10" s="21">
        <f t="shared" si="3"/>
        <v>0</v>
      </c>
      <c r="CF10" s="21">
        <f t="shared" si="3"/>
        <v>0</v>
      </c>
      <c r="CG10" s="21">
        <f t="shared" si="3"/>
        <v>0</v>
      </c>
      <c r="CH10" s="21">
        <f t="shared" si="3"/>
        <v>0</v>
      </c>
      <c r="CI10" s="21">
        <f t="shared" si="3"/>
        <v>0</v>
      </c>
      <c r="CJ10" s="21">
        <f t="shared" si="3"/>
        <v>0</v>
      </c>
      <c r="CK10" s="21">
        <f t="shared" si="3"/>
        <v>0</v>
      </c>
      <c r="CL10" s="21">
        <f t="shared" si="3"/>
        <v>0</v>
      </c>
      <c r="CM10" s="21">
        <f t="shared" si="3"/>
        <v>0</v>
      </c>
      <c r="CN10" s="21">
        <f t="shared" si="3"/>
        <v>0</v>
      </c>
      <c r="CO10" s="21">
        <f t="shared" si="3"/>
        <v>0</v>
      </c>
      <c r="CP10" s="21">
        <f t="shared" si="3"/>
        <v>0</v>
      </c>
      <c r="CQ10" s="21">
        <f t="shared" si="4"/>
        <v>0</v>
      </c>
      <c r="CR10" s="21">
        <f t="shared" si="4"/>
        <v>0</v>
      </c>
      <c r="CS10" s="21">
        <f t="shared" si="4"/>
        <v>0</v>
      </c>
      <c r="CT10" s="21">
        <f t="shared" si="4"/>
        <v>0</v>
      </c>
      <c r="CU10" s="21">
        <f t="shared" si="4"/>
        <v>0</v>
      </c>
      <c r="CV10" s="21">
        <f t="shared" si="4"/>
        <v>0</v>
      </c>
      <c r="CW10" s="21">
        <f t="shared" si="4"/>
        <v>0</v>
      </c>
      <c r="CX10" s="21">
        <f t="shared" si="4"/>
        <v>0</v>
      </c>
      <c r="CY10" s="21">
        <f t="shared" si="4"/>
        <v>0</v>
      </c>
      <c r="CZ10" s="21">
        <f t="shared" si="4"/>
        <v>0</v>
      </c>
      <c r="DA10" s="21">
        <f t="shared" si="4"/>
        <v>0</v>
      </c>
      <c r="DB10" s="21">
        <f t="shared" si="4"/>
        <v>0</v>
      </c>
      <c r="DC10" s="21">
        <f t="shared" si="4"/>
        <v>0</v>
      </c>
      <c r="DD10" s="21">
        <f t="shared" si="4"/>
        <v>0</v>
      </c>
      <c r="DE10" s="21">
        <f t="shared" si="4"/>
        <v>0</v>
      </c>
      <c r="DF10" s="21">
        <f t="shared" si="4"/>
        <v>0</v>
      </c>
      <c r="DG10" s="21">
        <f t="shared" si="4"/>
        <v>0</v>
      </c>
      <c r="DH10" s="21">
        <f t="shared" si="5"/>
        <v>0</v>
      </c>
      <c r="DI10" s="21">
        <f t="shared" si="5"/>
        <v>0</v>
      </c>
      <c r="DJ10" s="21">
        <f t="shared" si="5"/>
        <v>0</v>
      </c>
      <c r="DK10" s="21">
        <f t="shared" si="5"/>
        <v>0</v>
      </c>
      <c r="DL10" s="21">
        <f t="shared" si="5"/>
        <v>0</v>
      </c>
      <c r="DM10" s="21">
        <f t="shared" si="5"/>
        <v>0</v>
      </c>
      <c r="DN10" s="21">
        <f t="shared" si="5"/>
        <v>0</v>
      </c>
      <c r="DO10" s="21">
        <f t="shared" si="5"/>
        <v>0</v>
      </c>
      <c r="DP10" s="21">
        <f t="shared" si="5"/>
        <v>0</v>
      </c>
      <c r="DQ10" s="21">
        <f t="shared" si="5"/>
        <v>0</v>
      </c>
      <c r="DR10" s="21">
        <f t="shared" si="5"/>
        <v>0</v>
      </c>
      <c r="DS10" s="21">
        <f t="shared" si="5"/>
        <v>0</v>
      </c>
      <c r="DT10" s="21">
        <f t="shared" si="5"/>
        <v>0</v>
      </c>
      <c r="DU10" s="21">
        <f t="shared" si="5"/>
        <v>0</v>
      </c>
      <c r="DV10" s="21">
        <f t="shared" si="5"/>
        <v>0</v>
      </c>
      <c r="DW10" s="21">
        <f t="shared" si="5"/>
        <v>0</v>
      </c>
      <c r="DX10" s="21">
        <f t="shared" si="5"/>
        <v>0</v>
      </c>
      <c r="DY10" s="21">
        <f t="shared" si="5"/>
        <v>0</v>
      </c>
      <c r="DZ10" s="21">
        <f t="shared" si="5"/>
        <v>0</v>
      </c>
      <c r="EA10" s="21">
        <f t="shared" si="5"/>
        <v>0</v>
      </c>
      <c r="EB10" s="21">
        <f t="shared" si="5"/>
        <v>0</v>
      </c>
      <c r="EC10" s="21">
        <f t="shared" si="5"/>
        <v>0</v>
      </c>
      <c r="ED10" s="21">
        <f t="shared" si="5"/>
        <v>0</v>
      </c>
      <c r="EE10" s="21">
        <f t="shared" si="5"/>
        <v>0</v>
      </c>
      <c r="EF10" s="21">
        <f t="shared" si="5"/>
        <v>0</v>
      </c>
      <c r="EG10" s="21">
        <f t="shared" si="5"/>
        <v>0</v>
      </c>
      <c r="EH10" s="21">
        <f t="shared" si="5"/>
        <v>0</v>
      </c>
      <c r="EI10" s="21">
        <f t="shared" si="5"/>
        <v>0</v>
      </c>
      <c r="EJ10" s="21">
        <f t="shared" si="5"/>
        <v>0</v>
      </c>
      <c r="EK10" s="21">
        <f t="shared" si="5"/>
        <v>0</v>
      </c>
      <c r="EL10" s="21">
        <f t="shared" si="5"/>
        <v>0</v>
      </c>
    </row>
    <row r="11" spans="2:142" x14ac:dyDescent="0.45">
      <c r="B11" s="1" t="s">
        <v>235</v>
      </c>
      <c r="E11" s="19">
        <f>+IF(Assumptions!G23&gt;1000000,Assumptions!G23*1%,0)</f>
        <v>150000</v>
      </c>
      <c r="F11" s="9"/>
      <c r="G11" s="13">
        <v>0</v>
      </c>
      <c r="H11" s="13">
        <v>0</v>
      </c>
      <c r="I11" s="21"/>
      <c r="J11" s="21">
        <f t="shared" ref="J11:J18" si="14">IF(AND($G11=J$4,$H11=J$4),$E11,IF($G11&gt;J$4,0,IF($H11&lt;J$4,0,$E11/($H11-$G11+1))))</f>
        <v>150000</v>
      </c>
      <c r="K11" s="21">
        <f t="shared" si="1"/>
        <v>0</v>
      </c>
      <c r="L11" s="21">
        <f t="shared" si="1"/>
        <v>0</v>
      </c>
      <c r="M11" s="21">
        <f t="shared" si="1"/>
        <v>0</v>
      </c>
      <c r="N11" s="21">
        <f t="shared" si="1"/>
        <v>0</v>
      </c>
      <c r="O11" s="21">
        <f t="shared" si="1"/>
        <v>0</v>
      </c>
      <c r="P11" s="21">
        <f t="shared" si="1"/>
        <v>0</v>
      </c>
      <c r="Q11" s="21">
        <f t="shared" si="1"/>
        <v>0</v>
      </c>
      <c r="R11" s="21">
        <f t="shared" si="1"/>
        <v>0</v>
      </c>
      <c r="S11" s="21">
        <f t="shared" si="1"/>
        <v>0</v>
      </c>
      <c r="T11" s="21">
        <f t="shared" si="1"/>
        <v>0</v>
      </c>
      <c r="U11" s="21">
        <f t="shared" si="1"/>
        <v>0</v>
      </c>
      <c r="V11" s="21">
        <f t="shared" si="1"/>
        <v>0</v>
      </c>
      <c r="W11" s="21">
        <f t="shared" si="1"/>
        <v>0</v>
      </c>
      <c r="X11" s="21">
        <f t="shared" si="1"/>
        <v>0</v>
      </c>
      <c r="Y11" s="21">
        <f t="shared" si="1"/>
        <v>0</v>
      </c>
      <c r="Z11" s="21">
        <f t="shared" si="1"/>
        <v>0</v>
      </c>
      <c r="AA11" s="21">
        <f t="shared" si="2"/>
        <v>0</v>
      </c>
      <c r="AB11" s="21">
        <f t="shared" si="2"/>
        <v>0</v>
      </c>
      <c r="AC11" s="21">
        <f t="shared" si="2"/>
        <v>0</v>
      </c>
      <c r="AD11" s="21">
        <f t="shared" si="2"/>
        <v>0</v>
      </c>
      <c r="AE11" s="21">
        <f t="shared" si="2"/>
        <v>0</v>
      </c>
      <c r="AF11" s="21">
        <f t="shared" si="2"/>
        <v>0</v>
      </c>
      <c r="AG11" s="21">
        <f t="shared" si="2"/>
        <v>0</v>
      </c>
      <c r="AH11" s="21">
        <f t="shared" si="2"/>
        <v>0</v>
      </c>
      <c r="AI11" s="21">
        <f t="shared" si="2"/>
        <v>0</v>
      </c>
      <c r="AJ11" s="21">
        <f t="shared" si="2"/>
        <v>0</v>
      </c>
      <c r="AK11" s="21">
        <f t="shared" si="2"/>
        <v>0</v>
      </c>
      <c r="AL11" s="21">
        <f t="shared" si="2"/>
        <v>0</v>
      </c>
      <c r="AM11" s="21">
        <f t="shared" si="2"/>
        <v>0</v>
      </c>
      <c r="AN11" s="21">
        <f t="shared" si="2"/>
        <v>0</v>
      </c>
      <c r="AO11" s="21">
        <f t="shared" si="2"/>
        <v>0</v>
      </c>
      <c r="AP11" s="21">
        <f t="shared" si="2"/>
        <v>0</v>
      </c>
      <c r="AQ11" s="21">
        <f t="shared" si="2"/>
        <v>0</v>
      </c>
      <c r="AR11" s="21">
        <f t="shared" si="2"/>
        <v>0</v>
      </c>
      <c r="AS11" s="21">
        <f t="shared" si="2"/>
        <v>0</v>
      </c>
      <c r="AT11" s="21">
        <f t="shared" si="2"/>
        <v>0</v>
      </c>
      <c r="AU11" s="21">
        <f t="shared" si="2"/>
        <v>0</v>
      </c>
      <c r="AV11" s="21">
        <f t="shared" si="2"/>
        <v>0</v>
      </c>
      <c r="AW11" s="21">
        <f t="shared" si="2"/>
        <v>0</v>
      </c>
      <c r="AX11" s="21">
        <f t="shared" si="2"/>
        <v>0</v>
      </c>
      <c r="AY11" s="21">
        <f t="shared" si="2"/>
        <v>0</v>
      </c>
      <c r="AZ11" s="21">
        <f t="shared" si="2"/>
        <v>0</v>
      </c>
      <c r="BA11" s="21">
        <f t="shared" si="3"/>
        <v>0</v>
      </c>
      <c r="BB11" s="21">
        <f t="shared" si="3"/>
        <v>0</v>
      </c>
      <c r="BC11" s="21">
        <f t="shared" si="3"/>
        <v>0</v>
      </c>
      <c r="BD11" s="21">
        <f t="shared" si="3"/>
        <v>0</v>
      </c>
      <c r="BE11" s="21">
        <f t="shared" si="3"/>
        <v>0</v>
      </c>
      <c r="BF11" s="21">
        <f t="shared" si="3"/>
        <v>0</v>
      </c>
      <c r="BG11" s="21">
        <f t="shared" si="3"/>
        <v>0</v>
      </c>
      <c r="BH11" s="21">
        <f t="shared" si="3"/>
        <v>0</v>
      </c>
      <c r="BI11" s="21">
        <f t="shared" si="3"/>
        <v>0</v>
      </c>
      <c r="BJ11" s="21">
        <f t="shared" si="3"/>
        <v>0</v>
      </c>
      <c r="BK11" s="21">
        <f t="shared" si="3"/>
        <v>0</v>
      </c>
      <c r="BL11" s="21">
        <f t="shared" si="3"/>
        <v>0</v>
      </c>
      <c r="BM11" s="21">
        <f t="shared" si="3"/>
        <v>0</v>
      </c>
      <c r="BN11" s="21">
        <f t="shared" si="3"/>
        <v>0</v>
      </c>
      <c r="BO11" s="21">
        <f t="shared" si="3"/>
        <v>0</v>
      </c>
      <c r="BP11" s="21">
        <f t="shared" si="3"/>
        <v>0</v>
      </c>
      <c r="BQ11" s="21">
        <f t="shared" si="3"/>
        <v>0</v>
      </c>
      <c r="BR11" s="21">
        <f t="shared" si="3"/>
        <v>0</v>
      </c>
      <c r="BS11" s="21">
        <f t="shared" si="3"/>
        <v>0</v>
      </c>
      <c r="BT11" s="21">
        <f t="shared" si="3"/>
        <v>0</v>
      </c>
      <c r="BU11" s="21">
        <f t="shared" si="3"/>
        <v>0</v>
      </c>
      <c r="BV11" s="21">
        <f t="shared" si="3"/>
        <v>0</v>
      </c>
      <c r="BW11" s="21">
        <f t="shared" si="3"/>
        <v>0</v>
      </c>
      <c r="BX11" s="21">
        <f t="shared" si="3"/>
        <v>0</v>
      </c>
      <c r="BY11" s="21">
        <f t="shared" si="3"/>
        <v>0</v>
      </c>
      <c r="BZ11" s="21">
        <f t="shared" si="3"/>
        <v>0</v>
      </c>
      <c r="CA11" s="21">
        <f t="shared" si="3"/>
        <v>0</v>
      </c>
      <c r="CB11" s="21">
        <f t="shared" si="3"/>
        <v>0</v>
      </c>
      <c r="CC11" s="21">
        <f t="shared" si="3"/>
        <v>0</v>
      </c>
      <c r="CD11" s="21">
        <f t="shared" si="4"/>
        <v>0</v>
      </c>
      <c r="CE11" s="21">
        <f t="shared" si="4"/>
        <v>0</v>
      </c>
      <c r="CF11" s="21">
        <f t="shared" si="4"/>
        <v>0</v>
      </c>
      <c r="CG11" s="21">
        <f t="shared" si="4"/>
        <v>0</v>
      </c>
      <c r="CH11" s="21">
        <f t="shared" si="4"/>
        <v>0</v>
      </c>
      <c r="CI11" s="21">
        <f t="shared" si="4"/>
        <v>0</v>
      </c>
      <c r="CJ11" s="21">
        <f t="shared" si="4"/>
        <v>0</v>
      </c>
      <c r="CK11" s="21">
        <f t="shared" si="4"/>
        <v>0</v>
      </c>
      <c r="CL11" s="21">
        <f t="shared" si="4"/>
        <v>0</v>
      </c>
      <c r="CM11" s="21">
        <f t="shared" si="4"/>
        <v>0</v>
      </c>
      <c r="CN11" s="21">
        <f t="shared" si="4"/>
        <v>0</v>
      </c>
      <c r="CO11" s="21">
        <f t="shared" si="4"/>
        <v>0</v>
      </c>
      <c r="CP11" s="21">
        <f t="shared" si="4"/>
        <v>0</v>
      </c>
      <c r="CQ11" s="21">
        <f t="shared" si="4"/>
        <v>0</v>
      </c>
      <c r="CR11" s="21">
        <f t="shared" si="4"/>
        <v>0</v>
      </c>
      <c r="CS11" s="21">
        <f t="shared" si="4"/>
        <v>0</v>
      </c>
      <c r="CT11" s="21">
        <f t="shared" si="4"/>
        <v>0</v>
      </c>
      <c r="CU11" s="21">
        <f t="shared" si="4"/>
        <v>0</v>
      </c>
      <c r="CV11" s="21">
        <f t="shared" si="4"/>
        <v>0</v>
      </c>
      <c r="CW11" s="21">
        <f t="shared" si="4"/>
        <v>0</v>
      </c>
      <c r="CX11" s="21">
        <f t="shared" si="4"/>
        <v>0</v>
      </c>
      <c r="CY11" s="21">
        <f t="shared" si="4"/>
        <v>0</v>
      </c>
      <c r="CZ11" s="21">
        <f t="shared" si="4"/>
        <v>0</v>
      </c>
      <c r="DA11" s="21">
        <f t="shared" si="4"/>
        <v>0</v>
      </c>
      <c r="DB11" s="21">
        <f t="shared" si="4"/>
        <v>0</v>
      </c>
      <c r="DC11" s="21">
        <f t="shared" si="4"/>
        <v>0</v>
      </c>
      <c r="DD11" s="21">
        <f t="shared" si="4"/>
        <v>0</v>
      </c>
      <c r="DE11" s="21">
        <f t="shared" si="4"/>
        <v>0</v>
      </c>
      <c r="DF11" s="21">
        <f t="shared" si="4"/>
        <v>0</v>
      </c>
      <c r="DG11" s="21">
        <f t="shared" si="5"/>
        <v>0</v>
      </c>
      <c r="DH11" s="21">
        <f t="shared" si="5"/>
        <v>0</v>
      </c>
      <c r="DI11" s="21">
        <f t="shared" si="5"/>
        <v>0</v>
      </c>
      <c r="DJ11" s="21">
        <f t="shared" si="5"/>
        <v>0</v>
      </c>
      <c r="DK11" s="21">
        <f t="shared" si="5"/>
        <v>0</v>
      </c>
      <c r="DL11" s="21">
        <f t="shared" si="5"/>
        <v>0</v>
      </c>
      <c r="DM11" s="21">
        <f t="shared" si="5"/>
        <v>0</v>
      </c>
      <c r="DN11" s="21">
        <f t="shared" si="5"/>
        <v>0</v>
      </c>
      <c r="DO11" s="21">
        <f t="shared" si="5"/>
        <v>0</v>
      </c>
      <c r="DP11" s="21">
        <f t="shared" si="5"/>
        <v>0</v>
      </c>
      <c r="DQ11" s="21">
        <f t="shared" si="5"/>
        <v>0</v>
      </c>
      <c r="DR11" s="21">
        <f t="shared" si="5"/>
        <v>0</v>
      </c>
      <c r="DS11" s="21">
        <f t="shared" si="5"/>
        <v>0</v>
      </c>
      <c r="DT11" s="21">
        <f t="shared" si="5"/>
        <v>0</v>
      </c>
      <c r="DU11" s="21">
        <f t="shared" si="5"/>
        <v>0</v>
      </c>
      <c r="DV11" s="21">
        <f t="shared" si="5"/>
        <v>0</v>
      </c>
      <c r="DW11" s="21">
        <f t="shared" si="5"/>
        <v>0</v>
      </c>
      <c r="DX11" s="21">
        <f t="shared" si="5"/>
        <v>0</v>
      </c>
      <c r="DY11" s="21">
        <f t="shared" si="5"/>
        <v>0</v>
      </c>
      <c r="DZ11" s="21">
        <f t="shared" si="5"/>
        <v>0</v>
      </c>
      <c r="EA11" s="21">
        <f t="shared" si="5"/>
        <v>0</v>
      </c>
      <c r="EB11" s="21">
        <f t="shared" si="5"/>
        <v>0</v>
      </c>
      <c r="EC11" s="21">
        <f t="shared" si="5"/>
        <v>0</v>
      </c>
      <c r="ED11" s="21">
        <f t="shared" si="5"/>
        <v>0</v>
      </c>
      <c r="EE11" s="21">
        <f t="shared" si="5"/>
        <v>0</v>
      </c>
      <c r="EF11" s="21">
        <f t="shared" si="5"/>
        <v>0</v>
      </c>
      <c r="EG11" s="21">
        <f t="shared" si="5"/>
        <v>0</v>
      </c>
      <c r="EH11" s="21">
        <f t="shared" si="5"/>
        <v>0</v>
      </c>
      <c r="EI11" s="21">
        <f t="shared" si="5"/>
        <v>0</v>
      </c>
      <c r="EJ11" s="21">
        <f t="shared" si="5"/>
        <v>0</v>
      </c>
      <c r="EK11" s="21">
        <f t="shared" si="5"/>
        <v>0</v>
      </c>
      <c r="EL11" s="21">
        <f t="shared" si="5"/>
        <v>0</v>
      </c>
    </row>
    <row r="12" spans="2:142" x14ac:dyDescent="0.45">
      <c r="B12" s="1" t="s">
        <v>165</v>
      </c>
      <c r="E12" s="9">
        <v>5000</v>
      </c>
      <c r="F12" s="9"/>
      <c r="G12" s="13">
        <v>0</v>
      </c>
      <c r="H12" s="13">
        <v>0</v>
      </c>
      <c r="I12" s="21"/>
      <c r="J12" s="21">
        <f t="shared" si="14"/>
        <v>5000</v>
      </c>
      <c r="K12" s="21">
        <f t="shared" si="1"/>
        <v>0</v>
      </c>
      <c r="L12" s="21">
        <f t="shared" si="1"/>
        <v>0</v>
      </c>
      <c r="M12" s="21">
        <f t="shared" si="1"/>
        <v>0</v>
      </c>
      <c r="N12" s="21">
        <f t="shared" si="1"/>
        <v>0</v>
      </c>
      <c r="O12" s="21">
        <f t="shared" si="1"/>
        <v>0</v>
      </c>
      <c r="P12" s="21">
        <f t="shared" si="1"/>
        <v>0</v>
      </c>
      <c r="Q12" s="21">
        <f t="shared" si="1"/>
        <v>0</v>
      </c>
      <c r="R12" s="21">
        <f t="shared" si="1"/>
        <v>0</v>
      </c>
      <c r="S12" s="21">
        <f t="shared" si="1"/>
        <v>0</v>
      </c>
      <c r="T12" s="21">
        <f t="shared" si="1"/>
        <v>0</v>
      </c>
      <c r="U12" s="21">
        <f t="shared" si="1"/>
        <v>0</v>
      </c>
      <c r="V12" s="21">
        <f t="shared" si="1"/>
        <v>0</v>
      </c>
      <c r="W12" s="21">
        <f t="shared" si="1"/>
        <v>0</v>
      </c>
      <c r="X12" s="21">
        <f t="shared" si="1"/>
        <v>0</v>
      </c>
      <c r="Y12" s="21">
        <f t="shared" si="1"/>
        <v>0</v>
      </c>
      <c r="Z12" s="21">
        <f t="shared" si="1"/>
        <v>0</v>
      </c>
      <c r="AA12" s="21">
        <f t="shared" ref="AA12:CC12" si="15">IF(AND($G12=AA$4,$H12=AA$4),$E12,IF($G12&gt;AA$4,0,IF($H12&lt;AA$4,0,$E12/($H12-$G12+1))))</f>
        <v>0</v>
      </c>
      <c r="AB12" s="21">
        <f t="shared" si="15"/>
        <v>0</v>
      </c>
      <c r="AC12" s="21">
        <f t="shared" si="15"/>
        <v>0</v>
      </c>
      <c r="AD12" s="21">
        <f t="shared" si="15"/>
        <v>0</v>
      </c>
      <c r="AE12" s="21">
        <f t="shared" si="15"/>
        <v>0</v>
      </c>
      <c r="AF12" s="21">
        <f t="shared" si="15"/>
        <v>0</v>
      </c>
      <c r="AG12" s="21">
        <f t="shared" si="15"/>
        <v>0</v>
      </c>
      <c r="AH12" s="21">
        <f t="shared" si="15"/>
        <v>0</v>
      </c>
      <c r="AI12" s="21">
        <f t="shared" si="15"/>
        <v>0</v>
      </c>
      <c r="AJ12" s="21">
        <f t="shared" si="15"/>
        <v>0</v>
      </c>
      <c r="AK12" s="21">
        <f t="shared" si="15"/>
        <v>0</v>
      </c>
      <c r="AL12" s="21">
        <f t="shared" si="15"/>
        <v>0</v>
      </c>
      <c r="AM12" s="21">
        <f t="shared" si="15"/>
        <v>0</v>
      </c>
      <c r="AN12" s="21">
        <f t="shared" si="15"/>
        <v>0</v>
      </c>
      <c r="AO12" s="21">
        <f t="shared" si="15"/>
        <v>0</v>
      </c>
      <c r="AP12" s="21">
        <f t="shared" si="15"/>
        <v>0</v>
      </c>
      <c r="AQ12" s="21">
        <f t="shared" si="15"/>
        <v>0</v>
      </c>
      <c r="AR12" s="21">
        <f t="shared" si="15"/>
        <v>0</v>
      </c>
      <c r="AS12" s="21">
        <f t="shared" si="15"/>
        <v>0</v>
      </c>
      <c r="AT12" s="21">
        <f t="shared" si="15"/>
        <v>0</v>
      </c>
      <c r="AU12" s="21">
        <f t="shared" si="15"/>
        <v>0</v>
      </c>
      <c r="AV12" s="21">
        <f t="shared" si="15"/>
        <v>0</v>
      </c>
      <c r="AW12" s="21">
        <f t="shared" si="15"/>
        <v>0</v>
      </c>
      <c r="AX12" s="21">
        <f t="shared" si="15"/>
        <v>0</v>
      </c>
      <c r="AY12" s="21">
        <f t="shared" si="15"/>
        <v>0</v>
      </c>
      <c r="AZ12" s="21">
        <f t="shared" si="15"/>
        <v>0</v>
      </c>
      <c r="BA12" s="21">
        <f t="shared" si="15"/>
        <v>0</v>
      </c>
      <c r="BB12" s="21">
        <f t="shared" si="15"/>
        <v>0</v>
      </c>
      <c r="BC12" s="21">
        <f t="shared" si="15"/>
        <v>0</v>
      </c>
      <c r="BD12" s="21">
        <f t="shared" si="15"/>
        <v>0</v>
      </c>
      <c r="BE12" s="21">
        <f t="shared" si="15"/>
        <v>0</v>
      </c>
      <c r="BF12" s="21">
        <f t="shared" si="15"/>
        <v>0</v>
      </c>
      <c r="BG12" s="21">
        <f t="shared" si="15"/>
        <v>0</v>
      </c>
      <c r="BH12" s="21">
        <f t="shared" si="15"/>
        <v>0</v>
      </c>
      <c r="BI12" s="21">
        <f t="shared" si="15"/>
        <v>0</v>
      </c>
      <c r="BJ12" s="21">
        <f t="shared" si="15"/>
        <v>0</v>
      </c>
      <c r="BK12" s="21">
        <f t="shared" si="15"/>
        <v>0</v>
      </c>
      <c r="BL12" s="21">
        <f t="shared" si="15"/>
        <v>0</v>
      </c>
      <c r="BM12" s="21">
        <f t="shared" si="15"/>
        <v>0</v>
      </c>
      <c r="BN12" s="21">
        <f t="shared" si="15"/>
        <v>0</v>
      </c>
      <c r="BO12" s="21">
        <f t="shared" si="15"/>
        <v>0</v>
      </c>
      <c r="BP12" s="21">
        <f t="shared" si="15"/>
        <v>0</v>
      </c>
      <c r="BQ12" s="21">
        <f t="shared" si="15"/>
        <v>0</v>
      </c>
      <c r="BR12" s="21">
        <f t="shared" si="15"/>
        <v>0</v>
      </c>
      <c r="BS12" s="21">
        <f t="shared" si="15"/>
        <v>0</v>
      </c>
      <c r="BT12" s="21">
        <f t="shared" si="15"/>
        <v>0</v>
      </c>
      <c r="BU12" s="21">
        <f t="shared" si="15"/>
        <v>0</v>
      </c>
      <c r="BV12" s="21">
        <f t="shared" si="15"/>
        <v>0</v>
      </c>
      <c r="BW12" s="21">
        <f t="shared" si="15"/>
        <v>0</v>
      </c>
      <c r="BX12" s="21">
        <f t="shared" si="15"/>
        <v>0</v>
      </c>
      <c r="BY12" s="21">
        <f t="shared" si="15"/>
        <v>0</v>
      </c>
      <c r="BZ12" s="21">
        <f t="shared" si="15"/>
        <v>0</v>
      </c>
      <c r="CA12" s="21">
        <f t="shared" si="15"/>
        <v>0</v>
      </c>
      <c r="CB12" s="21">
        <f t="shared" si="15"/>
        <v>0</v>
      </c>
      <c r="CC12" s="21">
        <f t="shared" si="15"/>
        <v>0</v>
      </c>
      <c r="CD12" s="21">
        <f t="shared" si="4"/>
        <v>0</v>
      </c>
      <c r="CE12" s="21">
        <f t="shared" si="4"/>
        <v>0</v>
      </c>
      <c r="CF12" s="21">
        <f t="shared" si="4"/>
        <v>0</v>
      </c>
      <c r="CG12" s="21">
        <f t="shared" si="4"/>
        <v>0</v>
      </c>
      <c r="CH12" s="21">
        <f t="shared" si="4"/>
        <v>0</v>
      </c>
      <c r="CI12" s="21">
        <f t="shared" si="4"/>
        <v>0</v>
      </c>
      <c r="CJ12" s="21">
        <f t="shared" si="4"/>
        <v>0</v>
      </c>
      <c r="CK12" s="21">
        <f t="shared" si="4"/>
        <v>0</v>
      </c>
      <c r="CL12" s="21">
        <f t="shared" si="4"/>
        <v>0</v>
      </c>
      <c r="CM12" s="21">
        <f t="shared" si="4"/>
        <v>0</v>
      </c>
      <c r="CN12" s="21">
        <f t="shared" si="4"/>
        <v>0</v>
      </c>
      <c r="CO12" s="21">
        <f t="shared" si="4"/>
        <v>0</v>
      </c>
      <c r="CP12" s="21">
        <f t="shared" si="4"/>
        <v>0</v>
      </c>
      <c r="CQ12" s="21">
        <f t="shared" si="4"/>
        <v>0</v>
      </c>
      <c r="CR12" s="21">
        <f t="shared" si="4"/>
        <v>0</v>
      </c>
      <c r="CS12" s="21">
        <f t="shared" si="4"/>
        <v>0</v>
      </c>
      <c r="CT12" s="21">
        <f t="shared" si="4"/>
        <v>0</v>
      </c>
      <c r="CU12" s="21">
        <f t="shared" si="4"/>
        <v>0</v>
      </c>
      <c r="CV12" s="21">
        <f t="shared" si="4"/>
        <v>0</v>
      </c>
      <c r="CW12" s="21">
        <f t="shared" si="4"/>
        <v>0</v>
      </c>
      <c r="CX12" s="21">
        <f t="shared" si="4"/>
        <v>0</v>
      </c>
      <c r="CY12" s="21">
        <f t="shared" si="4"/>
        <v>0</v>
      </c>
      <c r="CZ12" s="21">
        <f t="shared" si="4"/>
        <v>0</v>
      </c>
      <c r="DA12" s="21">
        <f t="shared" si="4"/>
        <v>0</v>
      </c>
      <c r="DB12" s="21">
        <f t="shared" si="4"/>
        <v>0</v>
      </c>
      <c r="DC12" s="21">
        <f t="shared" si="4"/>
        <v>0</v>
      </c>
      <c r="DD12" s="21">
        <f t="shared" si="4"/>
        <v>0</v>
      </c>
      <c r="DE12" s="21">
        <f t="shared" si="4"/>
        <v>0</v>
      </c>
      <c r="DF12" s="21">
        <f t="shared" si="4"/>
        <v>0</v>
      </c>
      <c r="DG12" s="21">
        <f t="shared" si="5"/>
        <v>0</v>
      </c>
      <c r="DH12" s="21">
        <f t="shared" si="5"/>
        <v>0</v>
      </c>
      <c r="DI12" s="21">
        <f t="shared" si="5"/>
        <v>0</v>
      </c>
      <c r="DJ12" s="21">
        <f t="shared" si="5"/>
        <v>0</v>
      </c>
      <c r="DK12" s="21">
        <f t="shared" si="5"/>
        <v>0</v>
      </c>
      <c r="DL12" s="21">
        <f t="shared" si="5"/>
        <v>0</v>
      </c>
      <c r="DM12" s="21">
        <f t="shared" si="5"/>
        <v>0</v>
      </c>
      <c r="DN12" s="21">
        <f t="shared" si="5"/>
        <v>0</v>
      </c>
      <c r="DO12" s="21">
        <f t="shared" si="5"/>
        <v>0</v>
      </c>
      <c r="DP12" s="21">
        <f t="shared" si="5"/>
        <v>0</v>
      </c>
      <c r="DQ12" s="21">
        <f t="shared" si="5"/>
        <v>0</v>
      </c>
      <c r="DR12" s="21">
        <f t="shared" si="5"/>
        <v>0</v>
      </c>
      <c r="DS12" s="21">
        <f t="shared" si="5"/>
        <v>0</v>
      </c>
      <c r="DT12" s="21">
        <f t="shared" si="5"/>
        <v>0</v>
      </c>
      <c r="DU12" s="21">
        <f t="shared" si="5"/>
        <v>0</v>
      </c>
      <c r="DV12" s="21">
        <f t="shared" si="5"/>
        <v>0</v>
      </c>
      <c r="DW12" s="21">
        <f t="shared" si="5"/>
        <v>0</v>
      </c>
      <c r="DX12" s="21">
        <f t="shared" si="5"/>
        <v>0</v>
      </c>
      <c r="DY12" s="21">
        <f t="shared" si="5"/>
        <v>0</v>
      </c>
      <c r="DZ12" s="21">
        <f t="shared" si="5"/>
        <v>0</v>
      </c>
      <c r="EA12" s="21">
        <f t="shared" si="5"/>
        <v>0</v>
      </c>
      <c r="EB12" s="21">
        <f t="shared" si="5"/>
        <v>0</v>
      </c>
      <c r="EC12" s="21">
        <f t="shared" si="5"/>
        <v>0</v>
      </c>
      <c r="ED12" s="21">
        <f t="shared" si="5"/>
        <v>0</v>
      </c>
      <c r="EE12" s="21">
        <f t="shared" si="5"/>
        <v>0</v>
      </c>
      <c r="EF12" s="21">
        <f t="shared" si="5"/>
        <v>0</v>
      </c>
      <c r="EG12" s="21">
        <f t="shared" si="5"/>
        <v>0</v>
      </c>
      <c r="EH12" s="21">
        <f t="shared" si="5"/>
        <v>0</v>
      </c>
      <c r="EI12" s="21">
        <f t="shared" si="5"/>
        <v>0</v>
      </c>
      <c r="EJ12" s="21">
        <f t="shared" si="5"/>
        <v>0</v>
      </c>
      <c r="EK12" s="21">
        <f t="shared" si="5"/>
        <v>0</v>
      </c>
      <c r="EL12" s="21">
        <f t="shared" si="5"/>
        <v>0</v>
      </c>
    </row>
    <row r="13" spans="2:142" x14ac:dyDescent="0.45">
      <c r="B13" s="1" t="s">
        <v>236</v>
      </c>
      <c r="D13" s="172"/>
      <c r="E13" s="9">
        <v>750</v>
      </c>
      <c r="G13" s="13">
        <v>0</v>
      </c>
      <c r="H13" s="13">
        <v>0</v>
      </c>
      <c r="I13" s="21"/>
      <c r="J13" s="21">
        <f t="shared" si="14"/>
        <v>750</v>
      </c>
      <c r="K13" s="21">
        <f t="shared" si="1"/>
        <v>0</v>
      </c>
      <c r="L13" s="21">
        <f t="shared" si="1"/>
        <v>0</v>
      </c>
      <c r="M13" s="21">
        <f t="shared" si="1"/>
        <v>0</v>
      </c>
      <c r="N13" s="21">
        <f t="shared" si="1"/>
        <v>0</v>
      </c>
      <c r="O13" s="21">
        <f t="shared" si="1"/>
        <v>0</v>
      </c>
      <c r="P13" s="21">
        <f t="shared" si="1"/>
        <v>0</v>
      </c>
      <c r="Q13" s="21">
        <f t="shared" si="1"/>
        <v>0</v>
      </c>
      <c r="R13" s="21">
        <f t="shared" si="1"/>
        <v>0</v>
      </c>
      <c r="S13" s="21">
        <f t="shared" si="1"/>
        <v>0</v>
      </c>
      <c r="T13" s="21">
        <f t="shared" si="1"/>
        <v>0</v>
      </c>
      <c r="U13" s="21">
        <f t="shared" si="1"/>
        <v>0</v>
      </c>
      <c r="V13" s="21">
        <f t="shared" si="1"/>
        <v>0</v>
      </c>
      <c r="W13" s="21">
        <f t="shared" si="1"/>
        <v>0</v>
      </c>
      <c r="X13" s="21">
        <f t="shared" si="1"/>
        <v>0</v>
      </c>
      <c r="Y13" s="21">
        <f t="shared" si="1"/>
        <v>0</v>
      </c>
      <c r="Z13" s="21">
        <f t="shared" si="1"/>
        <v>0</v>
      </c>
      <c r="AA13" s="21">
        <f t="shared" si="2"/>
        <v>0</v>
      </c>
      <c r="AB13" s="21">
        <f t="shared" si="2"/>
        <v>0</v>
      </c>
      <c r="AC13" s="21">
        <f t="shared" si="2"/>
        <v>0</v>
      </c>
      <c r="AD13" s="21">
        <f t="shared" si="2"/>
        <v>0</v>
      </c>
      <c r="AE13" s="21">
        <f t="shared" si="2"/>
        <v>0</v>
      </c>
      <c r="AF13" s="21">
        <f t="shared" si="2"/>
        <v>0</v>
      </c>
      <c r="AG13" s="21">
        <f t="shared" si="2"/>
        <v>0</v>
      </c>
      <c r="AH13" s="21">
        <f t="shared" si="2"/>
        <v>0</v>
      </c>
      <c r="AI13" s="21">
        <f t="shared" si="2"/>
        <v>0</v>
      </c>
      <c r="AJ13" s="21">
        <f t="shared" si="2"/>
        <v>0</v>
      </c>
      <c r="AK13" s="21">
        <f t="shared" si="2"/>
        <v>0</v>
      </c>
      <c r="AL13" s="21">
        <f t="shared" si="2"/>
        <v>0</v>
      </c>
      <c r="AM13" s="21">
        <f t="shared" si="2"/>
        <v>0</v>
      </c>
      <c r="AN13" s="21">
        <f t="shared" si="2"/>
        <v>0</v>
      </c>
      <c r="AO13" s="21">
        <f t="shared" si="2"/>
        <v>0</v>
      </c>
      <c r="AP13" s="21">
        <f t="shared" si="2"/>
        <v>0</v>
      </c>
      <c r="AQ13" s="21">
        <f t="shared" si="2"/>
        <v>0</v>
      </c>
      <c r="AR13" s="21">
        <f t="shared" si="2"/>
        <v>0</v>
      </c>
      <c r="AS13" s="21">
        <f t="shared" si="2"/>
        <v>0</v>
      </c>
      <c r="AT13" s="21">
        <f t="shared" si="2"/>
        <v>0</v>
      </c>
      <c r="AU13" s="21">
        <f t="shared" si="2"/>
        <v>0</v>
      </c>
      <c r="AV13" s="21">
        <f t="shared" si="2"/>
        <v>0</v>
      </c>
      <c r="AW13" s="21">
        <f t="shared" si="2"/>
        <v>0</v>
      </c>
      <c r="AX13" s="21">
        <f t="shared" si="2"/>
        <v>0</v>
      </c>
      <c r="AY13" s="21">
        <f t="shared" si="2"/>
        <v>0</v>
      </c>
      <c r="AZ13" s="21">
        <f t="shared" si="2"/>
        <v>0</v>
      </c>
      <c r="BA13" s="21">
        <f t="shared" si="3"/>
        <v>0</v>
      </c>
      <c r="BB13" s="21">
        <f t="shared" si="3"/>
        <v>0</v>
      </c>
      <c r="BC13" s="21">
        <f t="shared" si="3"/>
        <v>0</v>
      </c>
      <c r="BD13" s="21">
        <f t="shared" ref="BD13:BW18" si="16">IF(AND($G13=BD$4,$H13=BD$4),$E13,IF($G13&gt;BD$4,0,IF($H13&lt;BD$4,0,$E13/($H13-$G13+1))))</f>
        <v>0</v>
      </c>
      <c r="BE13" s="21">
        <f t="shared" si="16"/>
        <v>0</v>
      </c>
      <c r="BF13" s="21">
        <f t="shared" si="16"/>
        <v>0</v>
      </c>
      <c r="BG13" s="21">
        <f t="shared" si="16"/>
        <v>0</v>
      </c>
      <c r="BH13" s="21">
        <f t="shared" si="16"/>
        <v>0</v>
      </c>
      <c r="BI13" s="21">
        <f t="shared" si="16"/>
        <v>0</v>
      </c>
      <c r="BJ13" s="21">
        <f t="shared" si="16"/>
        <v>0</v>
      </c>
      <c r="BK13" s="21">
        <f t="shared" si="16"/>
        <v>0</v>
      </c>
      <c r="BL13" s="21">
        <f t="shared" si="16"/>
        <v>0</v>
      </c>
      <c r="BM13" s="21">
        <f t="shared" si="16"/>
        <v>0</v>
      </c>
      <c r="BN13" s="21">
        <f t="shared" si="16"/>
        <v>0</v>
      </c>
      <c r="BO13" s="21">
        <f t="shared" si="16"/>
        <v>0</v>
      </c>
      <c r="BP13" s="21">
        <f t="shared" si="16"/>
        <v>0</v>
      </c>
      <c r="BQ13" s="21">
        <f t="shared" si="16"/>
        <v>0</v>
      </c>
      <c r="BR13" s="21">
        <f t="shared" si="16"/>
        <v>0</v>
      </c>
      <c r="BS13" s="21">
        <f t="shared" si="16"/>
        <v>0</v>
      </c>
      <c r="BT13" s="21">
        <f t="shared" si="16"/>
        <v>0</v>
      </c>
      <c r="BU13" s="21">
        <f t="shared" si="16"/>
        <v>0</v>
      </c>
      <c r="BV13" s="21">
        <f t="shared" si="16"/>
        <v>0</v>
      </c>
      <c r="BW13" s="21">
        <f t="shared" si="16"/>
        <v>0</v>
      </c>
      <c r="BX13" s="21">
        <f t="shared" ref="BX13:DY17" si="17">IF(AND($G13=BX$4,$H13=BX$4),$E13,IF($G13&gt;BX$4,0,IF($H13&lt;BX$4,0,$E13/($H13-$G13+1))))</f>
        <v>0</v>
      </c>
      <c r="BY13" s="21">
        <f t="shared" si="17"/>
        <v>0</v>
      </c>
      <c r="BZ13" s="21">
        <f t="shared" si="17"/>
        <v>0</v>
      </c>
      <c r="CA13" s="21">
        <f t="shared" si="17"/>
        <v>0</v>
      </c>
      <c r="CB13" s="21">
        <f t="shared" si="17"/>
        <v>0</v>
      </c>
      <c r="CC13" s="21">
        <f t="shared" si="17"/>
        <v>0</v>
      </c>
      <c r="CD13" s="21">
        <f t="shared" si="17"/>
        <v>0</v>
      </c>
      <c r="CE13" s="21">
        <f t="shared" si="17"/>
        <v>0</v>
      </c>
      <c r="CF13" s="21">
        <f t="shared" si="17"/>
        <v>0</v>
      </c>
      <c r="CG13" s="21">
        <f t="shared" si="17"/>
        <v>0</v>
      </c>
      <c r="CH13" s="21">
        <f t="shared" si="17"/>
        <v>0</v>
      </c>
      <c r="CI13" s="21">
        <f t="shared" si="17"/>
        <v>0</v>
      </c>
      <c r="CJ13" s="21">
        <f t="shared" si="17"/>
        <v>0</v>
      </c>
      <c r="CK13" s="21">
        <f t="shared" si="17"/>
        <v>0</v>
      </c>
      <c r="CL13" s="21">
        <f t="shared" si="17"/>
        <v>0</v>
      </c>
      <c r="CM13" s="21">
        <f t="shared" si="17"/>
        <v>0</v>
      </c>
      <c r="CN13" s="21">
        <f t="shared" si="17"/>
        <v>0</v>
      </c>
      <c r="CO13" s="21">
        <f t="shared" si="17"/>
        <v>0</v>
      </c>
      <c r="CP13" s="21">
        <f t="shared" si="17"/>
        <v>0</v>
      </c>
      <c r="CQ13" s="21">
        <f t="shared" si="17"/>
        <v>0</v>
      </c>
      <c r="CR13" s="21">
        <f t="shared" si="17"/>
        <v>0</v>
      </c>
      <c r="CS13" s="21">
        <f t="shared" si="17"/>
        <v>0</v>
      </c>
      <c r="CT13" s="21">
        <f t="shared" si="17"/>
        <v>0</v>
      </c>
      <c r="CU13" s="21">
        <f t="shared" si="17"/>
        <v>0</v>
      </c>
      <c r="CV13" s="21">
        <f t="shared" si="17"/>
        <v>0</v>
      </c>
      <c r="CW13" s="21">
        <f t="shared" si="17"/>
        <v>0</v>
      </c>
      <c r="CX13" s="21">
        <f t="shared" si="17"/>
        <v>0</v>
      </c>
      <c r="CY13" s="21">
        <f t="shared" si="17"/>
        <v>0</v>
      </c>
      <c r="CZ13" s="21">
        <f t="shared" si="17"/>
        <v>0</v>
      </c>
      <c r="DA13" s="21">
        <f t="shared" si="17"/>
        <v>0</v>
      </c>
      <c r="DB13" s="21">
        <f t="shared" si="17"/>
        <v>0</v>
      </c>
      <c r="DC13" s="21">
        <f t="shared" si="17"/>
        <v>0</v>
      </c>
      <c r="DD13" s="21">
        <f t="shared" si="17"/>
        <v>0</v>
      </c>
      <c r="DE13" s="21">
        <f t="shared" si="17"/>
        <v>0</v>
      </c>
      <c r="DF13" s="21">
        <f t="shared" si="17"/>
        <v>0</v>
      </c>
      <c r="DG13" s="21">
        <f t="shared" si="17"/>
        <v>0</v>
      </c>
      <c r="DH13" s="21">
        <f t="shared" si="17"/>
        <v>0</v>
      </c>
      <c r="DI13" s="21">
        <f t="shared" si="17"/>
        <v>0</v>
      </c>
      <c r="DJ13" s="21">
        <f t="shared" si="17"/>
        <v>0</v>
      </c>
      <c r="DK13" s="21">
        <f t="shared" si="17"/>
        <v>0</v>
      </c>
      <c r="DL13" s="21">
        <f t="shared" si="17"/>
        <v>0</v>
      </c>
      <c r="DM13" s="21">
        <f t="shared" si="17"/>
        <v>0</v>
      </c>
      <c r="DN13" s="21">
        <f t="shared" si="17"/>
        <v>0</v>
      </c>
      <c r="DO13" s="21">
        <f t="shared" si="17"/>
        <v>0</v>
      </c>
      <c r="DP13" s="21">
        <f t="shared" si="17"/>
        <v>0</v>
      </c>
      <c r="DQ13" s="21">
        <f t="shared" si="17"/>
        <v>0</v>
      </c>
      <c r="DR13" s="21">
        <f t="shared" si="17"/>
        <v>0</v>
      </c>
      <c r="DS13" s="21">
        <f t="shared" si="17"/>
        <v>0</v>
      </c>
      <c r="DT13" s="21">
        <f t="shared" si="17"/>
        <v>0</v>
      </c>
      <c r="DU13" s="21">
        <f t="shared" si="17"/>
        <v>0</v>
      </c>
      <c r="DV13" s="21">
        <f t="shared" si="17"/>
        <v>0</v>
      </c>
      <c r="DW13" s="21">
        <f t="shared" si="17"/>
        <v>0</v>
      </c>
      <c r="DX13" s="21">
        <f t="shared" si="17"/>
        <v>0</v>
      </c>
      <c r="DY13" s="21">
        <f t="shared" si="17"/>
        <v>0</v>
      </c>
      <c r="DZ13" s="21">
        <f t="shared" si="5"/>
        <v>0</v>
      </c>
      <c r="EA13" s="21">
        <f t="shared" si="5"/>
        <v>0</v>
      </c>
      <c r="EB13" s="21">
        <f t="shared" si="5"/>
        <v>0</v>
      </c>
      <c r="EC13" s="21">
        <f t="shared" si="5"/>
        <v>0</v>
      </c>
      <c r="ED13" s="21">
        <f t="shared" si="5"/>
        <v>0</v>
      </c>
      <c r="EE13" s="21">
        <f t="shared" si="5"/>
        <v>0</v>
      </c>
      <c r="EF13" s="21">
        <f t="shared" si="5"/>
        <v>0</v>
      </c>
      <c r="EG13" s="21">
        <f t="shared" si="5"/>
        <v>0</v>
      </c>
      <c r="EH13" s="21">
        <f t="shared" si="5"/>
        <v>0</v>
      </c>
      <c r="EI13" s="21">
        <f t="shared" si="5"/>
        <v>0</v>
      </c>
      <c r="EJ13" s="21">
        <f t="shared" si="5"/>
        <v>0</v>
      </c>
      <c r="EK13" s="21">
        <f t="shared" si="5"/>
        <v>0</v>
      </c>
      <c r="EL13" s="21">
        <f t="shared" si="5"/>
        <v>0</v>
      </c>
    </row>
    <row r="14" spans="2:142" x14ac:dyDescent="0.45">
      <c r="B14" s="1" t="s">
        <v>237</v>
      </c>
      <c r="D14" s="172"/>
      <c r="E14" s="9">
        <v>1995</v>
      </c>
      <c r="G14" s="13">
        <v>0</v>
      </c>
      <c r="H14" s="13">
        <v>0</v>
      </c>
      <c r="I14" s="21"/>
      <c r="J14" s="21">
        <f t="shared" si="14"/>
        <v>1995</v>
      </c>
      <c r="K14" s="21">
        <f t="shared" si="1"/>
        <v>0</v>
      </c>
      <c r="L14" s="21">
        <f t="shared" si="1"/>
        <v>0</v>
      </c>
      <c r="M14" s="21">
        <f t="shared" si="1"/>
        <v>0</v>
      </c>
      <c r="N14" s="21">
        <f t="shared" si="1"/>
        <v>0</v>
      </c>
      <c r="O14" s="21">
        <f t="shared" si="1"/>
        <v>0</v>
      </c>
      <c r="P14" s="21">
        <f t="shared" si="1"/>
        <v>0</v>
      </c>
      <c r="Q14" s="21">
        <f t="shared" si="1"/>
        <v>0</v>
      </c>
      <c r="R14" s="21">
        <f t="shared" si="1"/>
        <v>0</v>
      </c>
      <c r="S14" s="21">
        <f t="shared" si="1"/>
        <v>0</v>
      </c>
      <c r="T14" s="21">
        <f t="shared" si="1"/>
        <v>0</v>
      </c>
      <c r="U14" s="21">
        <f t="shared" si="1"/>
        <v>0</v>
      </c>
      <c r="V14" s="21">
        <f t="shared" si="1"/>
        <v>0</v>
      </c>
      <c r="W14" s="21">
        <f t="shared" si="1"/>
        <v>0</v>
      </c>
      <c r="X14" s="21">
        <f t="shared" si="1"/>
        <v>0</v>
      </c>
      <c r="Y14" s="21">
        <f t="shared" si="1"/>
        <v>0</v>
      </c>
      <c r="Z14" s="21">
        <f t="shared" si="1"/>
        <v>0</v>
      </c>
      <c r="AA14" s="21">
        <f t="shared" si="2"/>
        <v>0</v>
      </c>
      <c r="AB14" s="21">
        <f t="shared" si="2"/>
        <v>0</v>
      </c>
      <c r="AC14" s="21">
        <f t="shared" si="2"/>
        <v>0</v>
      </c>
      <c r="AD14" s="21">
        <f t="shared" si="2"/>
        <v>0</v>
      </c>
      <c r="AE14" s="21">
        <f t="shared" si="2"/>
        <v>0</v>
      </c>
      <c r="AF14" s="21">
        <f t="shared" si="2"/>
        <v>0</v>
      </c>
      <c r="AG14" s="21">
        <f t="shared" si="2"/>
        <v>0</v>
      </c>
      <c r="AH14" s="21">
        <f t="shared" si="2"/>
        <v>0</v>
      </c>
      <c r="AI14" s="21">
        <f t="shared" si="2"/>
        <v>0</v>
      </c>
      <c r="AJ14" s="21">
        <f t="shared" si="2"/>
        <v>0</v>
      </c>
      <c r="AK14" s="21">
        <f t="shared" si="2"/>
        <v>0</v>
      </c>
      <c r="AL14" s="21">
        <f t="shared" si="2"/>
        <v>0</v>
      </c>
      <c r="AM14" s="21">
        <f t="shared" si="2"/>
        <v>0</v>
      </c>
      <c r="AN14" s="21">
        <f t="shared" si="2"/>
        <v>0</v>
      </c>
      <c r="AO14" s="21">
        <f t="shared" si="2"/>
        <v>0</v>
      </c>
      <c r="AP14" s="21">
        <f t="shared" si="2"/>
        <v>0</v>
      </c>
      <c r="AQ14" s="21">
        <f t="shared" si="2"/>
        <v>0</v>
      </c>
      <c r="AR14" s="21">
        <f t="shared" si="2"/>
        <v>0</v>
      </c>
      <c r="AS14" s="21">
        <f t="shared" si="2"/>
        <v>0</v>
      </c>
      <c r="AT14" s="21">
        <f t="shared" si="2"/>
        <v>0</v>
      </c>
      <c r="AU14" s="21">
        <f t="shared" si="2"/>
        <v>0</v>
      </c>
      <c r="AV14" s="21">
        <f t="shared" si="2"/>
        <v>0</v>
      </c>
      <c r="AW14" s="21">
        <f t="shared" si="2"/>
        <v>0</v>
      </c>
      <c r="AX14" s="21">
        <f t="shared" si="2"/>
        <v>0</v>
      </c>
      <c r="AY14" s="21">
        <f t="shared" si="2"/>
        <v>0</v>
      </c>
      <c r="AZ14" s="21">
        <f t="shared" si="2"/>
        <v>0</v>
      </c>
      <c r="BA14" s="21">
        <f t="shared" si="3"/>
        <v>0</v>
      </c>
      <c r="BB14" s="21">
        <f t="shared" si="3"/>
        <v>0</v>
      </c>
      <c r="BC14" s="21">
        <f t="shared" si="3"/>
        <v>0</v>
      </c>
      <c r="BD14" s="21">
        <f t="shared" si="16"/>
        <v>0</v>
      </c>
      <c r="BE14" s="21">
        <f t="shared" si="16"/>
        <v>0</v>
      </c>
      <c r="BF14" s="21">
        <f t="shared" si="16"/>
        <v>0</v>
      </c>
      <c r="BG14" s="21">
        <f t="shared" si="16"/>
        <v>0</v>
      </c>
      <c r="BH14" s="21">
        <f t="shared" si="16"/>
        <v>0</v>
      </c>
      <c r="BI14" s="21">
        <f t="shared" si="16"/>
        <v>0</v>
      </c>
      <c r="BJ14" s="21">
        <f t="shared" si="16"/>
        <v>0</v>
      </c>
      <c r="BK14" s="21">
        <f t="shared" si="16"/>
        <v>0</v>
      </c>
      <c r="BL14" s="21">
        <f t="shared" si="16"/>
        <v>0</v>
      </c>
      <c r="BM14" s="21">
        <f t="shared" si="16"/>
        <v>0</v>
      </c>
      <c r="BN14" s="21">
        <f t="shared" si="16"/>
        <v>0</v>
      </c>
      <c r="BO14" s="21">
        <f t="shared" si="16"/>
        <v>0</v>
      </c>
      <c r="BP14" s="21">
        <f t="shared" si="16"/>
        <v>0</v>
      </c>
      <c r="BQ14" s="21">
        <f t="shared" si="16"/>
        <v>0</v>
      </c>
      <c r="BR14" s="21">
        <f t="shared" si="16"/>
        <v>0</v>
      </c>
      <c r="BS14" s="21">
        <f t="shared" si="16"/>
        <v>0</v>
      </c>
      <c r="BT14" s="21">
        <f t="shared" si="16"/>
        <v>0</v>
      </c>
      <c r="BU14" s="21">
        <f t="shared" si="16"/>
        <v>0</v>
      </c>
      <c r="BV14" s="21">
        <f t="shared" si="16"/>
        <v>0</v>
      </c>
      <c r="BW14" s="21">
        <f t="shared" si="16"/>
        <v>0</v>
      </c>
      <c r="BX14" s="21">
        <f t="shared" si="17"/>
        <v>0</v>
      </c>
      <c r="BY14" s="21">
        <f t="shared" si="17"/>
        <v>0</v>
      </c>
      <c r="BZ14" s="21">
        <f t="shared" si="17"/>
        <v>0</v>
      </c>
      <c r="CA14" s="21">
        <f t="shared" si="17"/>
        <v>0</v>
      </c>
      <c r="CB14" s="21">
        <f t="shared" si="17"/>
        <v>0</v>
      </c>
      <c r="CC14" s="21">
        <f t="shared" si="17"/>
        <v>0</v>
      </c>
      <c r="CD14" s="21">
        <f t="shared" si="17"/>
        <v>0</v>
      </c>
      <c r="CE14" s="21">
        <f t="shared" si="17"/>
        <v>0</v>
      </c>
      <c r="CF14" s="21">
        <f t="shared" si="17"/>
        <v>0</v>
      </c>
      <c r="CG14" s="21">
        <f t="shared" si="17"/>
        <v>0</v>
      </c>
      <c r="CH14" s="21">
        <f t="shared" si="17"/>
        <v>0</v>
      </c>
      <c r="CI14" s="21">
        <f t="shared" si="17"/>
        <v>0</v>
      </c>
      <c r="CJ14" s="21">
        <f t="shared" si="17"/>
        <v>0</v>
      </c>
      <c r="CK14" s="21">
        <f t="shared" si="17"/>
        <v>0</v>
      </c>
      <c r="CL14" s="21">
        <f t="shared" si="17"/>
        <v>0</v>
      </c>
      <c r="CM14" s="21">
        <f t="shared" si="17"/>
        <v>0</v>
      </c>
      <c r="CN14" s="21">
        <f t="shared" si="17"/>
        <v>0</v>
      </c>
      <c r="CO14" s="21">
        <f t="shared" si="17"/>
        <v>0</v>
      </c>
      <c r="CP14" s="21">
        <f t="shared" si="17"/>
        <v>0</v>
      </c>
      <c r="CQ14" s="21">
        <f t="shared" si="17"/>
        <v>0</v>
      </c>
      <c r="CR14" s="21">
        <f t="shared" si="17"/>
        <v>0</v>
      </c>
      <c r="CS14" s="21">
        <f t="shared" si="17"/>
        <v>0</v>
      </c>
      <c r="CT14" s="21">
        <f t="shared" si="17"/>
        <v>0</v>
      </c>
      <c r="CU14" s="21">
        <f t="shared" si="17"/>
        <v>0</v>
      </c>
      <c r="CV14" s="21">
        <f t="shared" si="17"/>
        <v>0</v>
      </c>
      <c r="CW14" s="21">
        <f t="shared" si="17"/>
        <v>0</v>
      </c>
      <c r="CX14" s="21">
        <f t="shared" si="17"/>
        <v>0</v>
      </c>
      <c r="CY14" s="21">
        <f t="shared" si="17"/>
        <v>0</v>
      </c>
      <c r="CZ14" s="21">
        <f t="shared" si="17"/>
        <v>0</v>
      </c>
      <c r="DA14" s="21">
        <f t="shared" si="17"/>
        <v>0</v>
      </c>
      <c r="DB14" s="21">
        <f t="shared" si="17"/>
        <v>0</v>
      </c>
      <c r="DC14" s="21">
        <f t="shared" si="17"/>
        <v>0</v>
      </c>
      <c r="DD14" s="21">
        <f t="shared" si="17"/>
        <v>0</v>
      </c>
      <c r="DE14" s="21">
        <f t="shared" si="17"/>
        <v>0</v>
      </c>
      <c r="DF14" s="21">
        <f t="shared" si="17"/>
        <v>0</v>
      </c>
      <c r="DG14" s="21">
        <f t="shared" si="17"/>
        <v>0</v>
      </c>
      <c r="DH14" s="21">
        <f t="shared" si="17"/>
        <v>0</v>
      </c>
      <c r="DI14" s="21">
        <f t="shared" si="17"/>
        <v>0</v>
      </c>
      <c r="DJ14" s="21">
        <f t="shared" si="17"/>
        <v>0</v>
      </c>
      <c r="DK14" s="21">
        <f t="shared" si="17"/>
        <v>0</v>
      </c>
      <c r="DL14" s="21">
        <f t="shared" si="17"/>
        <v>0</v>
      </c>
      <c r="DM14" s="21">
        <f t="shared" si="17"/>
        <v>0</v>
      </c>
      <c r="DN14" s="21">
        <f t="shared" si="17"/>
        <v>0</v>
      </c>
      <c r="DO14" s="21">
        <f t="shared" si="17"/>
        <v>0</v>
      </c>
      <c r="DP14" s="21">
        <f t="shared" si="17"/>
        <v>0</v>
      </c>
      <c r="DQ14" s="21">
        <f t="shared" si="17"/>
        <v>0</v>
      </c>
      <c r="DR14" s="21">
        <f t="shared" si="17"/>
        <v>0</v>
      </c>
      <c r="DS14" s="21">
        <f t="shared" si="17"/>
        <v>0</v>
      </c>
      <c r="DT14" s="21">
        <f t="shared" si="17"/>
        <v>0</v>
      </c>
      <c r="DU14" s="21">
        <f t="shared" si="17"/>
        <v>0</v>
      </c>
      <c r="DV14" s="21">
        <f t="shared" si="17"/>
        <v>0</v>
      </c>
      <c r="DW14" s="21">
        <f t="shared" si="17"/>
        <v>0</v>
      </c>
      <c r="DX14" s="21">
        <f t="shared" si="17"/>
        <v>0</v>
      </c>
      <c r="DY14" s="21">
        <f t="shared" si="17"/>
        <v>0</v>
      </c>
      <c r="DZ14" s="21">
        <f t="shared" si="5"/>
        <v>0</v>
      </c>
      <c r="EA14" s="21">
        <f t="shared" si="5"/>
        <v>0</v>
      </c>
      <c r="EB14" s="21">
        <f t="shared" si="5"/>
        <v>0</v>
      </c>
      <c r="EC14" s="21">
        <f t="shared" si="5"/>
        <v>0</v>
      </c>
      <c r="ED14" s="21">
        <f t="shared" si="5"/>
        <v>0</v>
      </c>
      <c r="EE14" s="21">
        <f t="shared" si="5"/>
        <v>0</v>
      </c>
      <c r="EF14" s="21">
        <f t="shared" si="5"/>
        <v>0</v>
      </c>
      <c r="EG14" s="21">
        <f t="shared" si="5"/>
        <v>0</v>
      </c>
      <c r="EH14" s="21">
        <f t="shared" si="5"/>
        <v>0</v>
      </c>
      <c r="EI14" s="21">
        <f t="shared" si="5"/>
        <v>0</v>
      </c>
      <c r="EJ14" s="21">
        <f t="shared" si="5"/>
        <v>0</v>
      </c>
      <c r="EK14" s="21">
        <f t="shared" si="5"/>
        <v>0</v>
      </c>
      <c r="EL14" s="21">
        <f t="shared" si="5"/>
        <v>0</v>
      </c>
    </row>
    <row r="15" spans="2:142" x14ac:dyDescent="0.45">
      <c r="B15" s="1" t="s">
        <v>238</v>
      </c>
      <c r="D15" s="172"/>
      <c r="E15" s="9">
        <v>500</v>
      </c>
      <c r="G15" s="13">
        <v>0</v>
      </c>
      <c r="H15" s="13">
        <v>0</v>
      </c>
      <c r="I15" s="21"/>
      <c r="J15" s="21">
        <f t="shared" si="14"/>
        <v>500</v>
      </c>
      <c r="K15" s="21">
        <f t="shared" si="1"/>
        <v>0</v>
      </c>
      <c r="L15" s="21">
        <f t="shared" si="1"/>
        <v>0</v>
      </c>
      <c r="M15" s="21">
        <f t="shared" si="1"/>
        <v>0</v>
      </c>
      <c r="N15" s="21">
        <f t="shared" si="1"/>
        <v>0</v>
      </c>
      <c r="O15" s="21">
        <f t="shared" si="1"/>
        <v>0</v>
      </c>
      <c r="P15" s="21">
        <f t="shared" si="1"/>
        <v>0</v>
      </c>
      <c r="Q15" s="21">
        <f t="shared" si="1"/>
        <v>0</v>
      </c>
      <c r="R15" s="21">
        <f t="shared" si="1"/>
        <v>0</v>
      </c>
      <c r="S15" s="21">
        <f t="shared" si="1"/>
        <v>0</v>
      </c>
      <c r="T15" s="21">
        <f t="shared" si="1"/>
        <v>0</v>
      </c>
      <c r="U15" s="21">
        <f t="shared" si="1"/>
        <v>0</v>
      </c>
      <c r="V15" s="21">
        <f t="shared" si="1"/>
        <v>0</v>
      </c>
      <c r="W15" s="21">
        <f t="shared" si="1"/>
        <v>0</v>
      </c>
      <c r="X15" s="21">
        <f t="shared" si="1"/>
        <v>0</v>
      </c>
      <c r="Y15" s="21">
        <f t="shared" si="1"/>
        <v>0</v>
      </c>
      <c r="Z15" s="21">
        <f t="shared" si="1"/>
        <v>0</v>
      </c>
      <c r="AA15" s="21">
        <f t="shared" si="2"/>
        <v>0</v>
      </c>
      <c r="AB15" s="21">
        <f t="shared" si="2"/>
        <v>0</v>
      </c>
      <c r="AC15" s="21">
        <f t="shared" si="2"/>
        <v>0</v>
      </c>
      <c r="AD15" s="21">
        <f t="shared" si="2"/>
        <v>0</v>
      </c>
      <c r="AE15" s="21">
        <f t="shared" si="2"/>
        <v>0</v>
      </c>
      <c r="AF15" s="21">
        <f t="shared" si="2"/>
        <v>0</v>
      </c>
      <c r="AG15" s="21">
        <f t="shared" si="2"/>
        <v>0</v>
      </c>
      <c r="AH15" s="21">
        <f t="shared" si="2"/>
        <v>0</v>
      </c>
      <c r="AI15" s="21">
        <f t="shared" si="2"/>
        <v>0</v>
      </c>
      <c r="AJ15" s="21">
        <f t="shared" si="2"/>
        <v>0</v>
      </c>
      <c r="AK15" s="21">
        <f t="shared" si="2"/>
        <v>0</v>
      </c>
      <c r="AL15" s="21">
        <f t="shared" si="2"/>
        <v>0</v>
      </c>
      <c r="AM15" s="21">
        <f t="shared" si="2"/>
        <v>0</v>
      </c>
      <c r="AN15" s="21">
        <f t="shared" si="2"/>
        <v>0</v>
      </c>
      <c r="AO15" s="21">
        <f t="shared" si="2"/>
        <v>0</v>
      </c>
      <c r="AP15" s="21">
        <f t="shared" si="2"/>
        <v>0</v>
      </c>
      <c r="AQ15" s="21">
        <f t="shared" si="2"/>
        <v>0</v>
      </c>
      <c r="AR15" s="21">
        <f t="shared" si="2"/>
        <v>0</v>
      </c>
      <c r="AS15" s="21">
        <f t="shared" si="2"/>
        <v>0</v>
      </c>
      <c r="AT15" s="21">
        <f t="shared" si="2"/>
        <v>0</v>
      </c>
      <c r="AU15" s="21">
        <f t="shared" si="2"/>
        <v>0</v>
      </c>
      <c r="AV15" s="21">
        <f t="shared" si="2"/>
        <v>0</v>
      </c>
      <c r="AW15" s="21">
        <f t="shared" si="2"/>
        <v>0</v>
      </c>
      <c r="AX15" s="21">
        <f t="shared" si="2"/>
        <v>0</v>
      </c>
      <c r="AY15" s="21">
        <f t="shared" si="2"/>
        <v>0</v>
      </c>
      <c r="AZ15" s="21">
        <f t="shared" si="2"/>
        <v>0</v>
      </c>
      <c r="BA15" s="21">
        <f t="shared" si="3"/>
        <v>0</v>
      </c>
      <c r="BB15" s="21">
        <f t="shared" si="3"/>
        <v>0</v>
      </c>
      <c r="BC15" s="21">
        <f t="shared" si="3"/>
        <v>0</v>
      </c>
      <c r="BD15" s="21">
        <f t="shared" si="16"/>
        <v>0</v>
      </c>
      <c r="BE15" s="21">
        <f t="shared" si="16"/>
        <v>0</v>
      </c>
      <c r="BF15" s="21">
        <f t="shared" si="16"/>
        <v>0</v>
      </c>
      <c r="BG15" s="21">
        <f t="shared" si="16"/>
        <v>0</v>
      </c>
      <c r="BH15" s="21">
        <f t="shared" si="16"/>
        <v>0</v>
      </c>
      <c r="BI15" s="21">
        <f t="shared" si="16"/>
        <v>0</v>
      </c>
      <c r="BJ15" s="21">
        <f t="shared" si="16"/>
        <v>0</v>
      </c>
      <c r="BK15" s="21">
        <f t="shared" si="16"/>
        <v>0</v>
      </c>
      <c r="BL15" s="21">
        <f t="shared" si="16"/>
        <v>0</v>
      </c>
      <c r="BM15" s="21">
        <f t="shared" si="16"/>
        <v>0</v>
      </c>
      <c r="BN15" s="21">
        <f t="shared" si="16"/>
        <v>0</v>
      </c>
      <c r="BO15" s="21">
        <f t="shared" si="16"/>
        <v>0</v>
      </c>
      <c r="BP15" s="21">
        <f t="shared" si="16"/>
        <v>0</v>
      </c>
      <c r="BQ15" s="21">
        <f t="shared" si="16"/>
        <v>0</v>
      </c>
      <c r="BR15" s="21">
        <f t="shared" si="16"/>
        <v>0</v>
      </c>
      <c r="BS15" s="21">
        <f t="shared" si="16"/>
        <v>0</v>
      </c>
      <c r="BT15" s="21">
        <f t="shared" si="16"/>
        <v>0</v>
      </c>
      <c r="BU15" s="21">
        <f t="shared" si="16"/>
        <v>0</v>
      </c>
      <c r="BV15" s="21">
        <f t="shared" si="16"/>
        <v>0</v>
      </c>
      <c r="BW15" s="21">
        <f t="shared" si="16"/>
        <v>0</v>
      </c>
      <c r="BX15" s="21">
        <f t="shared" si="17"/>
        <v>0</v>
      </c>
      <c r="BY15" s="21">
        <f t="shared" si="17"/>
        <v>0</v>
      </c>
      <c r="BZ15" s="21">
        <f t="shared" si="17"/>
        <v>0</v>
      </c>
      <c r="CA15" s="21">
        <f t="shared" si="17"/>
        <v>0</v>
      </c>
      <c r="CB15" s="21">
        <f t="shared" si="17"/>
        <v>0</v>
      </c>
      <c r="CC15" s="21">
        <f t="shared" si="17"/>
        <v>0</v>
      </c>
      <c r="CD15" s="21">
        <f t="shared" si="17"/>
        <v>0</v>
      </c>
      <c r="CE15" s="21">
        <f t="shared" si="17"/>
        <v>0</v>
      </c>
      <c r="CF15" s="21">
        <f t="shared" si="17"/>
        <v>0</v>
      </c>
      <c r="CG15" s="21">
        <f t="shared" si="17"/>
        <v>0</v>
      </c>
      <c r="CH15" s="21">
        <f t="shared" si="17"/>
        <v>0</v>
      </c>
      <c r="CI15" s="21">
        <f t="shared" si="17"/>
        <v>0</v>
      </c>
      <c r="CJ15" s="21">
        <f t="shared" si="17"/>
        <v>0</v>
      </c>
      <c r="CK15" s="21">
        <f t="shared" si="17"/>
        <v>0</v>
      </c>
      <c r="CL15" s="21">
        <f t="shared" si="17"/>
        <v>0</v>
      </c>
      <c r="CM15" s="21">
        <f t="shared" si="17"/>
        <v>0</v>
      </c>
      <c r="CN15" s="21">
        <f t="shared" si="17"/>
        <v>0</v>
      </c>
      <c r="CO15" s="21">
        <f t="shared" si="17"/>
        <v>0</v>
      </c>
      <c r="CP15" s="21">
        <f t="shared" si="17"/>
        <v>0</v>
      </c>
      <c r="CQ15" s="21">
        <f t="shared" si="17"/>
        <v>0</v>
      </c>
      <c r="CR15" s="21">
        <f t="shared" si="17"/>
        <v>0</v>
      </c>
      <c r="CS15" s="21">
        <f t="shared" si="17"/>
        <v>0</v>
      </c>
      <c r="CT15" s="21">
        <f t="shared" si="17"/>
        <v>0</v>
      </c>
      <c r="CU15" s="21">
        <f t="shared" si="17"/>
        <v>0</v>
      </c>
      <c r="CV15" s="21">
        <f t="shared" si="17"/>
        <v>0</v>
      </c>
      <c r="CW15" s="21">
        <f t="shared" si="17"/>
        <v>0</v>
      </c>
      <c r="CX15" s="21">
        <f t="shared" si="17"/>
        <v>0</v>
      </c>
      <c r="CY15" s="21">
        <f t="shared" si="17"/>
        <v>0</v>
      </c>
      <c r="CZ15" s="21">
        <f t="shared" si="17"/>
        <v>0</v>
      </c>
      <c r="DA15" s="21">
        <f t="shared" si="17"/>
        <v>0</v>
      </c>
      <c r="DB15" s="21">
        <f t="shared" si="17"/>
        <v>0</v>
      </c>
      <c r="DC15" s="21">
        <f t="shared" si="17"/>
        <v>0</v>
      </c>
      <c r="DD15" s="21">
        <f t="shared" si="17"/>
        <v>0</v>
      </c>
      <c r="DE15" s="21">
        <f t="shared" si="17"/>
        <v>0</v>
      </c>
      <c r="DF15" s="21">
        <f t="shared" si="17"/>
        <v>0</v>
      </c>
      <c r="DG15" s="21">
        <f t="shared" si="17"/>
        <v>0</v>
      </c>
      <c r="DH15" s="21">
        <f t="shared" si="17"/>
        <v>0</v>
      </c>
      <c r="DI15" s="21">
        <f t="shared" si="17"/>
        <v>0</v>
      </c>
      <c r="DJ15" s="21">
        <f t="shared" si="17"/>
        <v>0</v>
      </c>
      <c r="DK15" s="21">
        <f t="shared" si="17"/>
        <v>0</v>
      </c>
      <c r="DL15" s="21">
        <f t="shared" si="17"/>
        <v>0</v>
      </c>
      <c r="DM15" s="21">
        <f t="shared" si="17"/>
        <v>0</v>
      </c>
      <c r="DN15" s="21">
        <f t="shared" si="17"/>
        <v>0</v>
      </c>
      <c r="DO15" s="21">
        <f t="shared" si="17"/>
        <v>0</v>
      </c>
      <c r="DP15" s="21">
        <f t="shared" si="17"/>
        <v>0</v>
      </c>
      <c r="DQ15" s="21">
        <f t="shared" si="17"/>
        <v>0</v>
      </c>
      <c r="DR15" s="21">
        <f t="shared" si="17"/>
        <v>0</v>
      </c>
      <c r="DS15" s="21">
        <f t="shared" si="17"/>
        <v>0</v>
      </c>
      <c r="DT15" s="21">
        <f t="shared" si="17"/>
        <v>0</v>
      </c>
      <c r="DU15" s="21">
        <f t="shared" si="17"/>
        <v>0</v>
      </c>
      <c r="DV15" s="21">
        <f t="shared" si="17"/>
        <v>0</v>
      </c>
      <c r="DW15" s="21">
        <f t="shared" si="17"/>
        <v>0</v>
      </c>
      <c r="DX15" s="21">
        <f t="shared" si="17"/>
        <v>0</v>
      </c>
      <c r="DY15" s="21">
        <f t="shared" si="17"/>
        <v>0</v>
      </c>
      <c r="DZ15" s="21">
        <f t="shared" si="5"/>
        <v>0</v>
      </c>
      <c r="EA15" s="21">
        <f t="shared" si="5"/>
        <v>0</v>
      </c>
      <c r="EB15" s="21">
        <f t="shared" si="5"/>
        <v>0</v>
      </c>
      <c r="EC15" s="21">
        <f t="shared" ref="DZ15:EL16" si="18">IF(AND($G15=EC$4,$H15=EC$4),$E15,IF($G15&gt;EC$4,0,IF($H15&lt;EC$4,0,$E15/($H15-$G15+1))))</f>
        <v>0</v>
      </c>
      <c r="ED15" s="21">
        <f t="shared" si="18"/>
        <v>0</v>
      </c>
      <c r="EE15" s="21">
        <f t="shared" si="18"/>
        <v>0</v>
      </c>
      <c r="EF15" s="21">
        <f t="shared" si="18"/>
        <v>0</v>
      </c>
      <c r="EG15" s="21">
        <f t="shared" si="18"/>
        <v>0</v>
      </c>
      <c r="EH15" s="21">
        <f t="shared" si="18"/>
        <v>0</v>
      </c>
      <c r="EI15" s="21">
        <f t="shared" si="18"/>
        <v>0</v>
      </c>
      <c r="EJ15" s="21">
        <f t="shared" si="18"/>
        <v>0</v>
      </c>
      <c r="EK15" s="21">
        <f t="shared" si="18"/>
        <v>0</v>
      </c>
      <c r="EL15" s="21">
        <f t="shared" si="18"/>
        <v>0</v>
      </c>
    </row>
    <row r="16" spans="2:142" x14ac:dyDescent="0.45">
      <c r="B16" s="1" t="s">
        <v>239</v>
      </c>
      <c r="D16" s="171"/>
      <c r="E16" s="216">
        <f>+Assumptions!J150</f>
        <v>93600</v>
      </c>
      <c r="G16" s="13">
        <v>0</v>
      </c>
      <c r="H16" s="13">
        <v>0</v>
      </c>
      <c r="I16" s="21"/>
      <c r="J16" s="21">
        <f t="shared" si="14"/>
        <v>93600</v>
      </c>
      <c r="K16" s="21">
        <f t="shared" si="1"/>
        <v>0</v>
      </c>
      <c r="L16" s="21">
        <f t="shared" si="1"/>
        <v>0</v>
      </c>
      <c r="M16" s="21">
        <f t="shared" si="1"/>
        <v>0</v>
      </c>
      <c r="N16" s="21">
        <f t="shared" si="1"/>
        <v>0</v>
      </c>
      <c r="O16" s="21">
        <f t="shared" si="1"/>
        <v>0</v>
      </c>
      <c r="P16" s="21">
        <f t="shared" si="1"/>
        <v>0</v>
      </c>
      <c r="Q16" s="21">
        <f t="shared" si="1"/>
        <v>0</v>
      </c>
      <c r="R16" s="21">
        <f t="shared" si="1"/>
        <v>0</v>
      </c>
      <c r="S16" s="21">
        <f t="shared" si="1"/>
        <v>0</v>
      </c>
      <c r="T16" s="21">
        <f t="shared" si="1"/>
        <v>0</v>
      </c>
      <c r="U16" s="21">
        <f t="shared" si="1"/>
        <v>0</v>
      </c>
      <c r="V16" s="21">
        <f t="shared" si="1"/>
        <v>0</v>
      </c>
      <c r="W16" s="21">
        <f t="shared" si="1"/>
        <v>0</v>
      </c>
      <c r="X16" s="21">
        <f t="shared" si="1"/>
        <v>0</v>
      </c>
      <c r="Y16" s="21">
        <f t="shared" si="1"/>
        <v>0</v>
      </c>
      <c r="Z16" s="21">
        <f t="shared" si="1"/>
        <v>0</v>
      </c>
      <c r="AA16" s="21">
        <f t="shared" si="2"/>
        <v>0</v>
      </c>
      <c r="AB16" s="21">
        <f t="shared" si="2"/>
        <v>0</v>
      </c>
      <c r="AC16" s="21">
        <f t="shared" si="2"/>
        <v>0</v>
      </c>
      <c r="AD16" s="21">
        <f t="shared" si="2"/>
        <v>0</v>
      </c>
      <c r="AE16" s="21">
        <f t="shared" si="2"/>
        <v>0</v>
      </c>
      <c r="AF16" s="21">
        <f t="shared" si="2"/>
        <v>0</v>
      </c>
      <c r="AG16" s="21">
        <f t="shared" si="2"/>
        <v>0</v>
      </c>
      <c r="AH16" s="21">
        <f t="shared" si="2"/>
        <v>0</v>
      </c>
      <c r="AI16" s="21">
        <f t="shared" si="2"/>
        <v>0</v>
      </c>
      <c r="AJ16" s="21">
        <f t="shared" si="2"/>
        <v>0</v>
      </c>
      <c r="AK16" s="21">
        <f t="shared" si="2"/>
        <v>0</v>
      </c>
      <c r="AL16" s="21">
        <f t="shared" si="2"/>
        <v>0</v>
      </c>
      <c r="AM16" s="21">
        <f t="shared" si="2"/>
        <v>0</v>
      </c>
      <c r="AN16" s="21">
        <f t="shared" si="2"/>
        <v>0</v>
      </c>
      <c r="AO16" s="21">
        <f t="shared" si="2"/>
        <v>0</v>
      </c>
      <c r="AP16" s="21">
        <f t="shared" si="2"/>
        <v>0</v>
      </c>
      <c r="AQ16" s="21">
        <f t="shared" si="2"/>
        <v>0</v>
      </c>
      <c r="AR16" s="21">
        <f t="shared" si="2"/>
        <v>0</v>
      </c>
      <c r="AS16" s="21">
        <f t="shared" si="2"/>
        <v>0</v>
      </c>
      <c r="AT16" s="21">
        <f t="shared" si="2"/>
        <v>0</v>
      </c>
      <c r="AU16" s="21">
        <f t="shared" si="2"/>
        <v>0</v>
      </c>
      <c r="AV16" s="21">
        <f t="shared" si="2"/>
        <v>0</v>
      </c>
      <c r="AW16" s="21">
        <f t="shared" si="2"/>
        <v>0</v>
      </c>
      <c r="AX16" s="21">
        <f t="shared" si="2"/>
        <v>0</v>
      </c>
      <c r="AY16" s="21">
        <f t="shared" si="2"/>
        <v>0</v>
      </c>
      <c r="AZ16" s="21">
        <f t="shared" si="2"/>
        <v>0</v>
      </c>
      <c r="BA16" s="21">
        <f t="shared" si="3"/>
        <v>0</v>
      </c>
      <c r="BB16" s="21">
        <f t="shared" si="3"/>
        <v>0</v>
      </c>
      <c r="BC16" s="21">
        <f t="shared" si="3"/>
        <v>0</v>
      </c>
      <c r="BD16" s="21">
        <f t="shared" si="16"/>
        <v>0</v>
      </c>
      <c r="BE16" s="21">
        <f t="shared" si="16"/>
        <v>0</v>
      </c>
      <c r="BF16" s="21">
        <f t="shared" si="16"/>
        <v>0</v>
      </c>
      <c r="BG16" s="21">
        <f t="shared" si="16"/>
        <v>0</v>
      </c>
      <c r="BH16" s="21">
        <f t="shared" si="16"/>
        <v>0</v>
      </c>
      <c r="BI16" s="21">
        <f t="shared" si="16"/>
        <v>0</v>
      </c>
      <c r="BJ16" s="21">
        <f t="shared" si="16"/>
        <v>0</v>
      </c>
      <c r="BK16" s="21">
        <f t="shared" si="16"/>
        <v>0</v>
      </c>
      <c r="BL16" s="21">
        <f t="shared" si="16"/>
        <v>0</v>
      </c>
      <c r="BM16" s="21">
        <f t="shared" si="16"/>
        <v>0</v>
      </c>
      <c r="BN16" s="21">
        <f t="shared" si="16"/>
        <v>0</v>
      </c>
      <c r="BO16" s="21">
        <f t="shared" si="16"/>
        <v>0</v>
      </c>
      <c r="BP16" s="21">
        <f t="shared" si="16"/>
        <v>0</v>
      </c>
      <c r="BQ16" s="21">
        <f t="shared" si="16"/>
        <v>0</v>
      </c>
      <c r="BR16" s="21">
        <f t="shared" si="16"/>
        <v>0</v>
      </c>
      <c r="BS16" s="21">
        <f t="shared" si="16"/>
        <v>0</v>
      </c>
      <c r="BT16" s="21">
        <f t="shared" si="16"/>
        <v>0</v>
      </c>
      <c r="BU16" s="21">
        <f t="shared" si="16"/>
        <v>0</v>
      </c>
      <c r="BV16" s="21">
        <f t="shared" si="16"/>
        <v>0</v>
      </c>
      <c r="BW16" s="21">
        <f t="shared" si="16"/>
        <v>0</v>
      </c>
      <c r="BX16" s="21">
        <f t="shared" si="17"/>
        <v>0</v>
      </c>
      <c r="BY16" s="21">
        <f t="shared" si="17"/>
        <v>0</v>
      </c>
      <c r="BZ16" s="21">
        <f t="shared" si="17"/>
        <v>0</v>
      </c>
      <c r="CA16" s="21">
        <f t="shared" si="17"/>
        <v>0</v>
      </c>
      <c r="CB16" s="21">
        <f t="shared" si="17"/>
        <v>0</v>
      </c>
      <c r="CC16" s="21">
        <f t="shared" si="17"/>
        <v>0</v>
      </c>
      <c r="CD16" s="21">
        <f t="shared" si="17"/>
        <v>0</v>
      </c>
      <c r="CE16" s="21">
        <f t="shared" si="17"/>
        <v>0</v>
      </c>
      <c r="CF16" s="21">
        <f t="shared" si="17"/>
        <v>0</v>
      </c>
      <c r="CG16" s="21">
        <f t="shared" si="17"/>
        <v>0</v>
      </c>
      <c r="CH16" s="21">
        <f t="shared" si="17"/>
        <v>0</v>
      </c>
      <c r="CI16" s="21">
        <f t="shared" si="17"/>
        <v>0</v>
      </c>
      <c r="CJ16" s="21">
        <f t="shared" si="17"/>
        <v>0</v>
      </c>
      <c r="CK16" s="21">
        <f t="shared" si="17"/>
        <v>0</v>
      </c>
      <c r="CL16" s="21">
        <f t="shared" si="17"/>
        <v>0</v>
      </c>
      <c r="CM16" s="21">
        <f t="shared" si="17"/>
        <v>0</v>
      </c>
      <c r="CN16" s="21">
        <f t="shared" si="17"/>
        <v>0</v>
      </c>
      <c r="CO16" s="21">
        <f t="shared" si="17"/>
        <v>0</v>
      </c>
      <c r="CP16" s="21">
        <f t="shared" si="17"/>
        <v>0</v>
      </c>
      <c r="CQ16" s="21">
        <f t="shared" si="17"/>
        <v>0</v>
      </c>
      <c r="CR16" s="21">
        <f t="shared" si="17"/>
        <v>0</v>
      </c>
      <c r="CS16" s="21">
        <f t="shared" si="17"/>
        <v>0</v>
      </c>
      <c r="CT16" s="21">
        <f t="shared" si="17"/>
        <v>0</v>
      </c>
      <c r="CU16" s="21">
        <f t="shared" si="17"/>
        <v>0</v>
      </c>
      <c r="CV16" s="21">
        <f t="shared" si="17"/>
        <v>0</v>
      </c>
      <c r="CW16" s="21">
        <f t="shared" si="17"/>
        <v>0</v>
      </c>
      <c r="CX16" s="21">
        <f t="shared" si="17"/>
        <v>0</v>
      </c>
      <c r="CY16" s="21">
        <f t="shared" si="17"/>
        <v>0</v>
      </c>
      <c r="CZ16" s="21">
        <f t="shared" si="17"/>
        <v>0</v>
      </c>
      <c r="DA16" s="21">
        <f t="shared" si="17"/>
        <v>0</v>
      </c>
      <c r="DB16" s="21">
        <f t="shared" si="17"/>
        <v>0</v>
      </c>
      <c r="DC16" s="21">
        <f t="shared" si="17"/>
        <v>0</v>
      </c>
      <c r="DD16" s="21">
        <f t="shared" si="17"/>
        <v>0</v>
      </c>
      <c r="DE16" s="21">
        <f t="shared" si="17"/>
        <v>0</v>
      </c>
      <c r="DF16" s="21">
        <f t="shared" si="17"/>
        <v>0</v>
      </c>
      <c r="DG16" s="21">
        <f t="shared" si="17"/>
        <v>0</v>
      </c>
      <c r="DH16" s="21">
        <f t="shared" si="17"/>
        <v>0</v>
      </c>
      <c r="DI16" s="21">
        <f t="shared" si="17"/>
        <v>0</v>
      </c>
      <c r="DJ16" s="21">
        <f t="shared" si="17"/>
        <v>0</v>
      </c>
      <c r="DK16" s="21">
        <f t="shared" si="17"/>
        <v>0</v>
      </c>
      <c r="DL16" s="21">
        <f t="shared" si="17"/>
        <v>0</v>
      </c>
      <c r="DM16" s="21">
        <f t="shared" si="17"/>
        <v>0</v>
      </c>
      <c r="DN16" s="21">
        <f t="shared" si="17"/>
        <v>0</v>
      </c>
      <c r="DO16" s="21">
        <f t="shared" si="17"/>
        <v>0</v>
      </c>
      <c r="DP16" s="21">
        <f t="shared" si="17"/>
        <v>0</v>
      </c>
      <c r="DQ16" s="21">
        <f t="shared" si="17"/>
        <v>0</v>
      </c>
      <c r="DR16" s="21">
        <f t="shared" si="17"/>
        <v>0</v>
      </c>
      <c r="DS16" s="21">
        <f t="shared" si="17"/>
        <v>0</v>
      </c>
      <c r="DT16" s="21">
        <f t="shared" si="17"/>
        <v>0</v>
      </c>
      <c r="DU16" s="21">
        <f t="shared" si="17"/>
        <v>0</v>
      </c>
      <c r="DV16" s="21">
        <f t="shared" si="17"/>
        <v>0</v>
      </c>
      <c r="DW16" s="21">
        <f t="shared" si="17"/>
        <v>0</v>
      </c>
      <c r="DX16" s="21">
        <f t="shared" si="17"/>
        <v>0</v>
      </c>
      <c r="DY16" s="21">
        <f t="shared" si="17"/>
        <v>0</v>
      </c>
      <c r="DZ16" s="21">
        <f t="shared" si="18"/>
        <v>0</v>
      </c>
      <c r="EA16" s="21">
        <f t="shared" si="18"/>
        <v>0</v>
      </c>
      <c r="EB16" s="21">
        <f t="shared" si="18"/>
        <v>0</v>
      </c>
      <c r="EC16" s="21">
        <f t="shared" si="18"/>
        <v>0</v>
      </c>
      <c r="ED16" s="21">
        <f t="shared" si="18"/>
        <v>0</v>
      </c>
      <c r="EE16" s="21">
        <f t="shared" si="18"/>
        <v>0</v>
      </c>
      <c r="EF16" s="21">
        <f t="shared" si="18"/>
        <v>0</v>
      </c>
      <c r="EG16" s="21">
        <f t="shared" si="18"/>
        <v>0</v>
      </c>
      <c r="EH16" s="21">
        <f t="shared" si="18"/>
        <v>0</v>
      </c>
      <c r="EI16" s="21">
        <f t="shared" si="18"/>
        <v>0</v>
      </c>
      <c r="EJ16" s="21">
        <f t="shared" si="18"/>
        <v>0</v>
      </c>
      <c r="EK16" s="21">
        <f t="shared" si="18"/>
        <v>0</v>
      </c>
      <c r="EL16" s="21">
        <f t="shared" si="18"/>
        <v>0</v>
      </c>
    </row>
    <row r="17" spans="2:142" x14ac:dyDescent="0.45">
      <c r="B17" s="1" t="s">
        <v>240</v>
      </c>
      <c r="D17" s="171"/>
      <c r="E17" s="216">
        <f>+Assumptions!J149/4</f>
        <v>74406.500000000015</v>
      </c>
      <c r="G17" s="13">
        <v>0</v>
      </c>
      <c r="H17" s="13">
        <v>0</v>
      </c>
      <c r="I17" s="21"/>
      <c r="J17" s="21">
        <f t="shared" si="14"/>
        <v>74406.500000000015</v>
      </c>
      <c r="K17" s="21">
        <f t="shared" si="1"/>
        <v>0</v>
      </c>
      <c r="L17" s="21">
        <f t="shared" si="1"/>
        <v>0</v>
      </c>
      <c r="M17" s="21">
        <f t="shared" si="1"/>
        <v>0</v>
      </c>
      <c r="N17" s="21">
        <f t="shared" si="1"/>
        <v>0</v>
      </c>
      <c r="O17" s="21">
        <f t="shared" si="1"/>
        <v>0</v>
      </c>
      <c r="P17" s="21">
        <f t="shared" si="1"/>
        <v>0</v>
      </c>
      <c r="Q17" s="21">
        <f t="shared" si="1"/>
        <v>0</v>
      </c>
      <c r="R17" s="21">
        <f t="shared" si="1"/>
        <v>0</v>
      </c>
      <c r="S17" s="21">
        <f t="shared" si="1"/>
        <v>0</v>
      </c>
      <c r="T17" s="21">
        <f t="shared" si="1"/>
        <v>0</v>
      </c>
      <c r="U17" s="21">
        <f t="shared" si="1"/>
        <v>0</v>
      </c>
      <c r="V17" s="21">
        <f t="shared" si="1"/>
        <v>0</v>
      </c>
      <c r="W17" s="21">
        <f t="shared" si="1"/>
        <v>0</v>
      </c>
      <c r="X17" s="21">
        <f t="shared" si="1"/>
        <v>0</v>
      </c>
      <c r="Y17" s="21">
        <f t="shared" si="1"/>
        <v>0</v>
      </c>
      <c r="Z17" s="21">
        <f t="shared" si="1"/>
        <v>0</v>
      </c>
      <c r="AA17" s="21">
        <f t="shared" si="2"/>
        <v>0</v>
      </c>
      <c r="AB17" s="21">
        <f t="shared" si="2"/>
        <v>0</v>
      </c>
      <c r="AC17" s="21">
        <f t="shared" si="2"/>
        <v>0</v>
      </c>
      <c r="AD17" s="21">
        <f t="shared" si="2"/>
        <v>0</v>
      </c>
      <c r="AE17" s="21">
        <f t="shared" si="2"/>
        <v>0</v>
      </c>
      <c r="AF17" s="21">
        <f t="shared" si="2"/>
        <v>0</v>
      </c>
      <c r="AG17" s="21">
        <f t="shared" si="2"/>
        <v>0</v>
      </c>
      <c r="AH17" s="21">
        <f t="shared" si="2"/>
        <v>0</v>
      </c>
      <c r="AI17" s="21">
        <f t="shared" si="2"/>
        <v>0</v>
      </c>
      <c r="AJ17" s="21">
        <f t="shared" si="2"/>
        <v>0</v>
      </c>
      <c r="AK17" s="21">
        <f t="shared" si="2"/>
        <v>0</v>
      </c>
      <c r="AL17" s="21">
        <f t="shared" si="2"/>
        <v>0</v>
      </c>
      <c r="AM17" s="21">
        <f t="shared" si="2"/>
        <v>0</v>
      </c>
      <c r="AN17" s="21">
        <f t="shared" si="2"/>
        <v>0</v>
      </c>
      <c r="AO17" s="21">
        <f t="shared" si="2"/>
        <v>0</v>
      </c>
      <c r="AP17" s="21">
        <f t="shared" si="2"/>
        <v>0</v>
      </c>
      <c r="AQ17" s="21">
        <f t="shared" si="2"/>
        <v>0</v>
      </c>
      <c r="AR17" s="21">
        <f t="shared" si="2"/>
        <v>0</v>
      </c>
      <c r="AS17" s="21">
        <f t="shared" si="2"/>
        <v>0</v>
      </c>
      <c r="AT17" s="21">
        <f t="shared" si="2"/>
        <v>0</v>
      </c>
      <c r="AU17" s="21">
        <f t="shared" si="2"/>
        <v>0</v>
      </c>
      <c r="AV17" s="21">
        <f t="shared" si="2"/>
        <v>0</v>
      </c>
      <c r="AW17" s="21">
        <f t="shared" si="2"/>
        <v>0</v>
      </c>
      <c r="AX17" s="21">
        <f t="shared" si="2"/>
        <v>0</v>
      </c>
      <c r="AY17" s="21">
        <f t="shared" si="2"/>
        <v>0</v>
      </c>
      <c r="AZ17" s="21">
        <f t="shared" si="2"/>
        <v>0</v>
      </c>
      <c r="BA17" s="21">
        <f t="shared" si="3"/>
        <v>0</v>
      </c>
      <c r="BB17" s="21">
        <f t="shared" si="3"/>
        <v>0</v>
      </c>
      <c r="BC17" s="21">
        <f t="shared" si="3"/>
        <v>0</v>
      </c>
      <c r="BD17" s="21">
        <f t="shared" si="16"/>
        <v>0</v>
      </c>
      <c r="BE17" s="21">
        <f t="shared" si="16"/>
        <v>0</v>
      </c>
      <c r="BF17" s="21">
        <f t="shared" si="16"/>
        <v>0</v>
      </c>
      <c r="BG17" s="21">
        <f t="shared" si="16"/>
        <v>0</v>
      </c>
      <c r="BH17" s="21">
        <f t="shared" si="16"/>
        <v>0</v>
      </c>
      <c r="BI17" s="21">
        <f t="shared" si="16"/>
        <v>0</v>
      </c>
      <c r="BJ17" s="21">
        <f t="shared" si="16"/>
        <v>0</v>
      </c>
      <c r="BK17" s="21">
        <f t="shared" si="16"/>
        <v>0</v>
      </c>
      <c r="BL17" s="21">
        <f t="shared" si="16"/>
        <v>0</v>
      </c>
      <c r="BM17" s="21">
        <f t="shared" si="16"/>
        <v>0</v>
      </c>
      <c r="BN17" s="21">
        <f t="shared" si="16"/>
        <v>0</v>
      </c>
      <c r="BO17" s="21">
        <f t="shared" si="16"/>
        <v>0</v>
      </c>
      <c r="BP17" s="21">
        <f t="shared" si="16"/>
        <v>0</v>
      </c>
      <c r="BQ17" s="21">
        <f t="shared" si="16"/>
        <v>0</v>
      </c>
      <c r="BR17" s="21">
        <f t="shared" si="16"/>
        <v>0</v>
      </c>
      <c r="BS17" s="21">
        <f t="shared" si="16"/>
        <v>0</v>
      </c>
      <c r="BT17" s="21">
        <f t="shared" si="16"/>
        <v>0</v>
      </c>
      <c r="BU17" s="21">
        <f t="shared" si="16"/>
        <v>0</v>
      </c>
      <c r="BV17" s="21">
        <f t="shared" si="16"/>
        <v>0</v>
      </c>
      <c r="BW17" s="21">
        <f t="shared" si="16"/>
        <v>0</v>
      </c>
      <c r="BX17" s="21">
        <f t="shared" si="17"/>
        <v>0</v>
      </c>
      <c r="BY17" s="21">
        <f t="shared" si="17"/>
        <v>0</v>
      </c>
      <c r="BZ17" s="21">
        <f t="shared" si="17"/>
        <v>0</v>
      </c>
      <c r="CA17" s="21">
        <f t="shared" si="17"/>
        <v>0</v>
      </c>
      <c r="CB17" s="21">
        <f t="shared" si="17"/>
        <v>0</v>
      </c>
      <c r="CC17" s="21">
        <f t="shared" si="17"/>
        <v>0</v>
      </c>
      <c r="CD17" s="21">
        <f t="shared" si="17"/>
        <v>0</v>
      </c>
      <c r="CE17" s="21">
        <f t="shared" si="17"/>
        <v>0</v>
      </c>
      <c r="CF17" s="21">
        <f t="shared" si="17"/>
        <v>0</v>
      </c>
      <c r="CG17" s="21">
        <f t="shared" si="17"/>
        <v>0</v>
      </c>
      <c r="CH17" s="21">
        <f t="shared" si="17"/>
        <v>0</v>
      </c>
      <c r="CI17" s="21">
        <f t="shared" si="17"/>
        <v>0</v>
      </c>
      <c r="CJ17" s="21">
        <f t="shared" si="17"/>
        <v>0</v>
      </c>
      <c r="CK17" s="21">
        <f t="shared" si="17"/>
        <v>0</v>
      </c>
      <c r="CL17" s="21">
        <f t="shared" si="17"/>
        <v>0</v>
      </c>
      <c r="CM17" s="21">
        <f t="shared" si="17"/>
        <v>0</v>
      </c>
      <c r="CN17" s="21">
        <f t="shared" si="17"/>
        <v>0</v>
      </c>
      <c r="CO17" s="21">
        <f t="shared" si="17"/>
        <v>0</v>
      </c>
      <c r="CP17" s="21">
        <f t="shared" si="17"/>
        <v>0</v>
      </c>
      <c r="CQ17" s="21">
        <f t="shared" si="17"/>
        <v>0</v>
      </c>
      <c r="CR17" s="21">
        <f t="shared" si="17"/>
        <v>0</v>
      </c>
      <c r="CS17" s="21">
        <f t="shared" si="17"/>
        <v>0</v>
      </c>
      <c r="CT17" s="21">
        <f t="shared" si="17"/>
        <v>0</v>
      </c>
      <c r="CU17" s="21">
        <f t="shared" si="17"/>
        <v>0</v>
      </c>
      <c r="CV17" s="21">
        <f t="shared" si="17"/>
        <v>0</v>
      </c>
      <c r="CW17" s="21">
        <f t="shared" si="17"/>
        <v>0</v>
      </c>
      <c r="CX17" s="21">
        <f t="shared" si="17"/>
        <v>0</v>
      </c>
      <c r="CY17" s="21">
        <f t="shared" si="17"/>
        <v>0</v>
      </c>
      <c r="CZ17" s="21">
        <f t="shared" si="17"/>
        <v>0</v>
      </c>
      <c r="DA17" s="21">
        <f t="shared" si="17"/>
        <v>0</v>
      </c>
      <c r="DB17" s="21">
        <f t="shared" si="17"/>
        <v>0</v>
      </c>
      <c r="DC17" s="21">
        <f t="shared" si="17"/>
        <v>0</v>
      </c>
      <c r="DD17" s="21">
        <f t="shared" si="17"/>
        <v>0</v>
      </c>
      <c r="DE17" s="21">
        <f t="shared" si="17"/>
        <v>0</v>
      </c>
      <c r="DF17" s="21">
        <f t="shared" si="17"/>
        <v>0</v>
      </c>
      <c r="DG17" s="21">
        <f t="shared" ref="DG17:DV17" si="19">IF(AND($G17=DG$4,$H17=DG$4),$E17,IF($G17&gt;DG$4,0,IF($H17&lt;DG$4,0,$E17/($H17-$G17+1))))</f>
        <v>0</v>
      </c>
      <c r="DH17" s="21">
        <f t="shared" si="19"/>
        <v>0</v>
      </c>
      <c r="DI17" s="21">
        <f t="shared" si="19"/>
        <v>0</v>
      </c>
      <c r="DJ17" s="21">
        <f t="shared" si="19"/>
        <v>0</v>
      </c>
      <c r="DK17" s="21">
        <f t="shared" si="19"/>
        <v>0</v>
      </c>
      <c r="DL17" s="21">
        <f t="shared" si="19"/>
        <v>0</v>
      </c>
      <c r="DM17" s="21">
        <f t="shared" si="19"/>
        <v>0</v>
      </c>
      <c r="DN17" s="21">
        <f t="shared" si="19"/>
        <v>0</v>
      </c>
      <c r="DO17" s="21">
        <f t="shared" si="19"/>
        <v>0</v>
      </c>
      <c r="DP17" s="21">
        <f t="shared" si="19"/>
        <v>0</v>
      </c>
      <c r="DQ17" s="21">
        <f t="shared" si="19"/>
        <v>0</v>
      </c>
      <c r="DR17" s="21">
        <f t="shared" si="19"/>
        <v>0</v>
      </c>
      <c r="DS17" s="21">
        <f t="shared" si="19"/>
        <v>0</v>
      </c>
      <c r="DT17" s="21">
        <f t="shared" si="19"/>
        <v>0</v>
      </c>
      <c r="DU17" s="21">
        <f t="shared" si="19"/>
        <v>0</v>
      </c>
      <c r="DV17" s="21">
        <f t="shared" si="19"/>
        <v>0</v>
      </c>
      <c r="DW17" s="21">
        <f t="shared" ref="DW17:EL17" si="20">IF(AND($G17=DW$4,$H17=DW$4),$E17,IF($G17&gt;DW$4,0,IF($H17&lt;DW$4,0,$E17/($H17-$G17+1))))</f>
        <v>0</v>
      </c>
      <c r="DX17" s="21">
        <f t="shared" si="20"/>
        <v>0</v>
      </c>
      <c r="DY17" s="21">
        <f t="shared" si="20"/>
        <v>0</v>
      </c>
      <c r="DZ17" s="21">
        <f t="shared" si="20"/>
        <v>0</v>
      </c>
      <c r="EA17" s="21">
        <f t="shared" si="20"/>
        <v>0</v>
      </c>
      <c r="EB17" s="21">
        <f t="shared" si="20"/>
        <v>0</v>
      </c>
      <c r="EC17" s="21">
        <f t="shared" si="20"/>
        <v>0</v>
      </c>
      <c r="ED17" s="21">
        <f t="shared" si="20"/>
        <v>0</v>
      </c>
      <c r="EE17" s="21">
        <f t="shared" si="20"/>
        <v>0</v>
      </c>
      <c r="EF17" s="21">
        <f t="shared" si="20"/>
        <v>0</v>
      </c>
      <c r="EG17" s="21">
        <f t="shared" si="20"/>
        <v>0</v>
      </c>
      <c r="EH17" s="21">
        <f t="shared" si="20"/>
        <v>0</v>
      </c>
      <c r="EI17" s="21">
        <f t="shared" si="20"/>
        <v>0</v>
      </c>
      <c r="EJ17" s="21">
        <f t="shared" si="20"/>
        <v>0</v>
      </c>
      <c r="EK17" s="21">
        <f t="shared" si="20"/>
        <v>0</v>
      </c>
      <c r="EL17" s="21">
        <f t="shared" si="20"/>
        <v>0</v>
      </c>
    </row>
    <row r="18" spans="2:142" x14ac:dyDescent="0.45">
      <c r="B18" s="1" t="s">
        <v>6</v>
      </c>
      <c r="D18" s="14">
        <v>0.05</v>
      </c>
      <c r="E18" s="6">
        <f>+D18*SUM(E5:E17)</f>
        <v>50587.575000000004</v>
      </c>
      <c r="G18" s="22">
        <f>+H18</f>
        <v>0</v>
      </c>
      <c r="H18" s="22">
        <f>MAX(H5:H15)</f>
        <v>0</v>
      </c>
      <c r="I18" s="21"/>
      <c r="J18" s="21">
        <f t="shared" si="14"/>
        <v>50587.575000000004</v>
      </c>
      <c r="K18" s="21">
        <f t="shared" si="1"/>
        <v>0</v>
      </c>
      <c r="L18" s="21">
        <f t="shared" si="1"/>
        <v>0</v>
      </c>
      <c r="M18" s="21">
        <f t="shared" si="1"/>
        <v>0</v>
      </c>
      <c r="N18" s="21">
        <f t="shared" si="1"/>
        <v>0</v>
      </c>
      <c r="O18" s="21">
        <f t="shared" si="1"/>
        <v>0</v>
      </c>
      <c r="P18" s="21">
        <f t="shared" si="1"/>
        <v>0</v>
      </c>
      <c r="Q18" s="21">
        <f t="shared" si="1"/>
        <v>0</v>
      </c>
      <c r="R18" s="21">
        <f t="shared" si="1"/>
        <v>0</v>
      </c>
      <c r="S18" s="21">
        <f t="shared" si="1"/>
        <v>0</v>
      </c>
      <c r="T18" s="21">
        <f t="shared" si="1"/>
        <v>0</v>
      </c>
      <c r="U18" s="21">
        <f t="shared" si="1"/>
        <v>0</v>
      </c>
      <c r="V18" s="21">
        <f t="shared" si="1"/>
        <v>0</v>
      </c>
      <c r="W18" s="21">
        <f t="shared" si="1"/>
        <v>0</v>
      </c>
      <c r="X18" s="21">
        <f t="shared" si="1"/>
        <v>0</v>
      </c>
      <c r="Y18" s="21">
        <f t="shared" si="1"/>
        <v>0</v>
      </c>
      <c r="Z18" s="21">
        <f t="shared" si="1"/>
        <v>0</v>
      </c>
      <c r="AA18" s="21">
        <f t="shared" si="2"/>
        <v>0</v>
      </c>
      <c r="AB18" s="21">
        <f t="shared" si="2"/>
        <v>0</v>
      </c>
      <c r="AC18" s="21">
        <f t="shared" si="2"/>
        <v>0</v>
      </c>
      <c r="AD18" s="21">
        <f t="shared" si="2"/>
        <v>0</v>
      </c>
      <c r="AE18" s="21">
        <f t="shared" si="2"/>
        <v>0</v>
      </c>
      <c r="AF18" s="21">
        <f t="shared" si="2"/>
        <v>0</v>
      </c>
      <c r="AG18" s="21">
        <f t="shared" si="2"/>
        <v>0</v>
      </c>
      <c r="AH18" s="21">
        <f t="shared" si="2"/>
        <v>0</v>
      </c>
      <c r="AI18" s="21">
        <f t="shared" si="2"/>
        <v>0</v>
      </c>
      <c r="AJ18" s="21">
        <f t="shared" si="2"/>
        <v>0</v>
      </c>
      <c r="AK18" s="21">
        <f t="shared" si="2"/>
        <v>0</v>
      </c>
      <c r="AL18" s="21">
        <f t="shared" si="2"/>
        <v>0</v>
      </c>
      <c r="AM18" s="21">
        <f t="shared" si="2"/>
        <v>0</v>
      </c>
      <c r="AN18" s="21">
        <f t="shared" si="2"/>
        <v>0</v>
      </c>
      <c r="AO18" s="21">
        <f t="shared" si="2"/>
        <v>0</v>
      </c>
      <c r="AP18" s="21">
        <f t="shared" si="2"/>
        <v>0</v>
      </c>
      <c r="AQ18" s="21">
        <f t="shared" si="2"/>
        <v>0</v>
      </c>
      <c r="AR18" s="21">
        <f t="shared" si="2"/>
        <v>0</v>
      </c>
      <c r="AS18" s="21">
        <f t="shared" si="2"/>
        <v>0</v>
      </c>
      <c r="AT18" s="21">
        <f t="shared" si="2"/>
        <v>0</v>
      </c>
      <c r="AU18" s="21">
        <f t="shared" si="2"/>
        <v>0</v>
      </c>
      <c r="AV18" s="21">
        <f t="shared" si="2"/>
        <v>0</v>
      </c>
      <c r="AW18" s="21">
        <f t="shared" si="2"/>
        <v>0</v>
      </c>
      <c r="AX18" s="21">
        <f t="shared" si="2"/>
        <v>0</v>
      </c>
      <c r="AY18" s="21">
        <f t="shared" si="2"/>
        <v>0</v>
      </c>
      <c r="AZ18" s="21">
        <f t="shared" si="2"/>
        <v>0</v>
      </c>
      <c r="BA18" s="21">
        <f t="shared" si="3"/>
        <v>0</v>
      </c>
      <c r="BB18" s="21">
        <f t="shared" si="3"/>
        <v>0</v>
      </c>
      <c r="BC18" s="21">
        <f t="shared" si="3"/>
        <v>0</v>
      </c>
      <c r="BD18" s="21">
        <f t="shared" si="16"/>
        <v>0</v>
      </c>
      <c r="BE18" s="21">
        <f t="shared" si="16"/>
        <v>0</v>
      </c>
      <c r="BF18" s="21">
        <f t="shared" si="16"/>
        <v>0</v>
      </c>
      <c r="BG18" s="21">
        <f t="shared" si="16"/>
        <v>0</v>
      </c>
      <c r="BH18" s="21">
        <f t="shared" si="16"/>
        <v>0</v>
      </c>
      <c r="BI18" s="21">
        <f t="shared" si="16"/>
        <v>0</v>
      </c>
      <c r="BJ18" s="21">
        <f t="shared" si="16"/>
        <v>0</v>
      </c>
      <c r="BK18" s="21">
        <f t="shared" si="16"/>
        <v>0</v>
      </c>
      <c r="BL18" s="21">
        <f t="shared" si="16"/>
        <v>0</v>
      </c>
      <c r="BM18" s="21">
        <f t="shared" si="16"/>
        <v>0</v>
      </c>
      <c r="BN18" s="21">
        <f t="shared" si="16"/>
        <v>0</v>
      </c>
      <c r="BO18" s="21">
        <f t="shared" si="16"/>
        <v>0</v>
      </c>
      <c r="BP18" s="21">
        <f t="shared" si="16"/>
        <v>0</v>
      </c>
      <c r="BQ18" s="21">
        <f t="shared" si="16"/>
        <v>0</v>
      </c>
      <c r="BR18" s="21">
        <f t="shared" si="16"/>
        <v>0</v>
      </c>
      <c r="BS18" s="21">
        <f t="shared" si="16"/>
        <v>0</v>
      </c>
      <c r="BT18" s="21">
        <f t="shared" si="16"/>
        <v>0</v>
      </c>
      <c r="BU18" s="21">
        <f t="shared" si="16"/>
        <v>0</v>
      </c>
      <c r="BV18" s="21">
        <f t="shared" si="16"/>
        <v>0</v>
      </c>
      <c r="BW18" s="21">
        <f t="shared" si="16"/>
        <v>0</v>
      </c>
      <c r="BX18" s="21">
        <f t="shared" ref="BX18:EL18" si="21">IF(AND($G18=BX$4,$H18=BX$4),$E18,IF($G18&gt;BX$4,0,IF($H18&lt;BX$4,0,$E18/($H18-$G18+1))))</f>
        <v>0</v>
      </c>
      <c r="BY18" s="21">
        <f t="shared" si="21"/>
        <v>0</v>
      </c>
      <c r="BZ18" s="21">
        <f t="shared" si="21"/>
        <v>0</v>
      </c>
      <c r="CA18" s="21">
        <f t="shared" si="21"/>
        <v>0</v>
      </c>
      <c r="CB18" s="21">
        <f t="shared" si="21"/>
        <v>0</v>
      </c>
      <c r="CC18" s="21">
        <f t="shared" si="21"/>
        <v>0</v>
      </c>
      <c r="CD18" s="21">
        <f t="shared" si="21"/>
        <v>0</v>
      </c>
      <c r="CE18" s="21">
        <f t="shared" si="21"/>
        <v>0</v>
      </c>
      <c r="CF18" s="21">
        <f t="shared" si="21"/>
        <v>0</v>
      </c>
      <c r="CG18" s="21">
        <f t="shared" si="21"/>
        <v>0</v>
      </c>
      <c r="CH18" s="21">
        <f t="shared" si="21"/>
        <v>0</v>
      </c>
      <c r="CI18" s="21">
        <f t="shared" si="21"/>
        <v>0</v>
      </c>
      <c r="CJ18" s="21">
        <f t="shared" si="21"/>
        <v>0</v>
      </c>
      <c r="CK18" s="21">
        <f t="shared" si="21"/>
        <v>0</v>
      </c>
      <c r="CL18" s="21">
        <f t="shared" si="21"/>
        <v>0</v>
      </c>
      <c r="CM18" s="21">
        <f t="shared" si="21"/>
        <v>0</v>
      </c>
      <c r="CN18" s="21">
        <f t="shared" si="21"/>
        <v>0</v>
      </c>
      <c r="CO18" s="21">
        <f t="shared" si="21"/>
        <v>0</v>
      </c>
      <c r="CP18" s="21">
        <f t="shared" si="21"/>
        <v>0</v>
      </c>
      <c r="CQ18" s="21">
        <f t="shared" si="21"/>
        <v>0</v>
      </c>
      <c r="CR18" s="21">
        <f t="shared" si="21"/>
        <v>0</v>
      </c>
      <c r="CS18" s="21">
        <f t="shared" si="21"/>
        <v>0</v>
      </c>
      <c r="CT18" s="21">
        <f t="shared" si="21"/>
        <v>0</v>
      </c>
      <c r="CU18" s="21">
        <f t="shared" si="21"/>
        <v>0</v>
      </c>
      <c r="CV18" s="21">
        <f t="shared" si="21"/>
        <v>0</v>
      </c>
      <c r="CW18" s="21">
        <f t="shared" si="21"/>
        <v>0</v>
      </c>
      <c r="CX18" s="21">
        <f t="shared" si="21"/>
        <v>0</v>
      </c>
      <c r="CY18" s="21">
        <f t="shared" si="21"/>
        <v>0</v>
      </c>
      <c r="CZ18" s="21">
        <f t="shared" si="21"/>
        <v>0</v>
      </c>
      <c r="DA18" s="21">
        <f t="shared" si="21"/>
        <v>0</v>
      </c>
      <c r="DB18" s="21">
        <f t="shared" si="21"/>
        <v>0</v>
      </c>
      <c r="DC18" s="21">
        <f t="shared" si="21"/>
        <v>0</v>
      </c>
      <c r="DD18" s="21">
        <f t="shared" si="21"/>
        <v>0</v>
      </c>
      <c r="DE18" s="21">
        <f t="shared" si="21"/>
        <v>0</v>
      </c>
      <c r="DF18" s="21">
        <f t="shared" si="21"/>
        <v>0</v>
      </c>
      <c r="DG18" s="21">
        <f t="shared" si="21"/>
        <v>0</v>
      </c>
      <c r="DH18" s="21">
        <f t="shared" si="21"/>
        <v>0</v>
      </c>
      <c r="DI18" s="21">
        <f t="shared" si="21"/>
        <v>0</v>
      </c>
      <c r="DJ18" s="21">
        <f t="shared" si="21"/>
        <v>0</v>
      </c>
      <c r="DK18" s="21">
        <f t="shared" si="21"/>
        <v>0</v>
      </c>
      <c r="DL18" s="21">
        <f t="shared" si="21"/>
        <v>0</v>
      </c>
      <c r="DM18" s="21">
        <f t="shared" si="21"/>
        <v>0</v>
      </c>
      <c r="DN18" s="21">
        <f t="shared" si="21"/>
        <v>0</v>
      </c>
      <c r="DO18" s="21">
        <f t="shared" si="21"/>
        <v>0</v>
      </c>
      <c r="DP18" s="21">
        <f t="shared" si="21"/>
        <v>0</v>
      </c>
      <c r="DQ18" s="21">
        <f t="shared" si="21"/>
        <v>0</v>
      </c>
      <c r="DR18" s="21">
        <f t="shared" si="21"/>
        <v>0</v>
      </c>
      <c r="DS18" s="21">
        <f t="shared" si="21"/>
        <v>0</v>
      </c>
      <c r="DT18" s="21">
        <f t="shared" si="21"/>
        <v>0</v>
      </c>
      <c r="DU18" s="21">
        <f t="shared" si="21"/>
        <v>0</v>
      </c>
      <c r="DV18" s="21">
        <f t="shared" si="21"/>
        <v>0</v>
      </c>
      <c r="DW18" s="21">
        <f t="shared" si="21"/>
        <v>0</v>
      </c>
      <c r="DX18" s="21">
        <f t="shared" si="21"/>
        <v>0</v>
      </c>
      <c r="DY18" s="21">
        <f t="shared" si="21"/>
        <v>0</v>
      </c>
      <c r="DZ18" s="21">
        <f t="shared" si="21"/>
        <v>0</v>
      </c>
      <c r="EA18" s="21">
        <f t="shared" si="21"/>
        <v>0</v>
      </c>
      <c r="EB18" s="21">
        <f t="shared" si="21"/>
        <v>0</v>
      </c>
      <c r="EC18" s="21">
        <f t="shared" si="21"/>
        <v>0</v>
      </c>
      <c r="ED18" s="21">
        <f t="shared" si="21"/>
        <v>0</v>
      </c>
      <c r="EE18" s="21">
        <f t="shared" si="21"/>
        <v>0</v>
      </c>
      <c r="EF18" s="21">
        <f t="shared" si="21"/>
        <v>0</v>
      </c>
      <c r="EG18" s="21">
        <f t="shared" si="21"/>
        <v>0</v>
      </c>
      <c r="EH18" s="21">
        <f t="shared" si="21"/>
        <v>0</v>
      </c>
      <c r="EI18" s="21">
        <f t="shared" si="21"/>
        <v>0</v>
      </c>
      <c r="EJ18" s="21">
        <f t="shared" si="21"/>
        <v>0</v>
      </c>
      <c r="EK18" s="21">
        <f t="shared" si="21"/>
        <v>0</v>
      </c>
      <c r="EL18" s="21">
        <f t="shared" si="21"/>
        <v>0</v>
      </c>
    </row>
    <row r="19" spans="2:142" x14ac:dyDescent="0.45">
      <c r="B19" s="4" t="s">
        <v>23</v>
      </c>
      <c r="C19" s="4"/>
      <c r="D19" s="4"/>
      <c r="E19" s="7">
        <f>SUM(E5:E18)</f>
        <v>1062339.075</v>
      </c>
      <c r="F19" s="11"/>
      <c r="I19" s="21"/>
      <c r="J19" s="23">
        <f t="shared" ref="J19:AO19" si="22">SUM(J5:J18)</f>
        <v>1062339.075</v>
      </c>
      <c r="K19" s="23">
        <f t="shared" si="22"/>
        <v>0</v>
      </c>
      <c r="L19" s="23">
        <f t="shared" si="22"/>
        <v>0</v>
      </c>
      <c r="M19" s="23">
        <f t="shared" si="22"/>
        <v>0</v>
      </c>
      <c r="N19" s="23">
        <f t="shared" si="22"/>
        <v>0</v>
      </c>
      <c r="O19" s="23">
        <f t="shared" si="22"/>
        <v>0</v>
      </c>
      <c r="P19" s="23">
        <f t="shared" si="22"/>
        <v>0</v>
      </c>
      <c r="Q19" s="23">
        <f t="shared" si="22"/>
        <v>0</v>
      </c>
      <c r="R19" s="23">
        <f t="shared" si="22"/>
        <v>0</v>
      </c>
      <c r="S19" s="23">
        <f t="shared" si="22"/>
        <v>0</v>
      </c>
      <c r="T19" s="23">
        <f t="shared" si="22"/>
        <v>0</v>
      </c>
      <c r="U19" s="23">
        <f t="shared" si="22"/>
        <v>0</v>
      </c>
      <c r="V19" s="23">
        <f t="shared" si="22"/>
        <v>0</v>
      </c>
      <c r="W19" s="23">
        <f t="shared" si="22"/>
        <v>0</v>
      </c>
      <c r="X19" s="23">
        <f t="shared" si="22"/>
        <v>0</v>
      </c>
      <c r="Y19" s="23">
        <f t="shared" si="22"/>
        <v>0</v>
      </c>
      <c r="Z19" s="23">
        <f t="shared" si="22"/>
        <v>0</v>
      </c>
      <c r="AA19" s="23">
        <f t="shared" si="22"/>
        <v>0</v>
      </c>
      <c r="AB19" s="23">
        <f t="shared" si="22"/>
        <v>0</v>
      </c>
      <c r="AC19" s="23">
        <f t="shared" si="22"/>
        <v>0</v>
      </c>
      <c r="AD19" s="23">
        <f t="shared" si="22"/>
        <v>0</v>
      </c>
      <c r="AE19" s="23">
        <f t="shared" si="22"/>
        <v>0</v>
      </c>
      <c r="AF19" s="23">
        <f t="shared" si="22"/>
        <v>0</v>
      </c>
      <c r="AG19" s="23">
        <f t="shared" si="22"/>
        <v>0</v>
      </c>
      <c r="AH19" s="23">
        <f t="shared" si="22"/>
        <v>0</v>
      </c>
      <c r="AI19" s="23">
        <f t="shared" si="22"/>
        <v>0</v>
      </c>
      <c r="AJ19" s="23">
        <f t="shared" si="22"/>
        <v>0</v>
      </c>
      <c r="AK19" s="23">
        <f t="shared" si="22"/>
        <v>0</v>
      </c>
      <c r="AL19" s="23">
        <f t="shared" si="22"/>
        <v>0</v>
      </c>
      <c r="AM19" s="23">
        <f t="shared" si="22"/>
        <v>0</v>
      </c>
      <c r="AN19" s="23">
        <f t="shared" si="22"/>
        <v>0</v>
      </c>
      <c r="AO19" s="23">
        <f t="shared" si="22"/>
        <v>0</v>
      </c>
      <c r="AP19" s="23">
        <f t="shared" ref="AP19:BU19" si="23">SUM(AP5:AP18)</f>
        <v>0</v>
      </c>
      <c r="AQ19" s="23">
        <f t="shared" si="23"/>
        <v>0</v>
      </c>
      <c r="AR19" s="23">
        <f t="shared" si="23"/>
        <v>0</v>
      </c>
      <c r="AS19" s="23">
        <f t="shared" si="23"/>
        <v>0</v>
      </c>
      <c r="AT19" s="23">
        <f t="shared" si="23"/>
        <v>0</v>
      </c>
      <c r="AU19" s="23">
        <f t="shared" si="23"/>
        <v>0</v>
      </c>
      <c r="AV19" s="23">
        <f t="shared" si="23"/>
        <v>0</v>
      </c>
      <c r="AW19" s="23">
        <f t="shared" si="23"/>
        <v>0</v>
      </c>
      <c r="AX19" s="23">
        <f t="shared" si="23"/>
        <v>0</v>
      </c>
      <c r="AY19" s="23">
        <f t="shared" si="23"/>
        <v>0</v>
      </c>
      <c r="AZ19" s="23">
        <f t="shared" si="23"/>
        <v>0</v>
      </c>
      <c r="BA19" s="23">
        <f t="shared" si="23"/>
        <v>0</v>
      </c>
      <c r="BB19" s="23">
        <f t="shared" si="23"/>
        <v>0</v>
      </c>
      <c r="BC19" s="23">
        <f t="shared" si="23"/>
        <v>0</v>
      </c>
      <c r="BD19" s="23">
        <f t="shared" si="23"/>
        <v>0</v>
      </c>
      <c r="BE19" s="23">
        <f t="shared" si="23"/>
        <v>0</v>
      </c>
      <c r="BF19" s="23">
        <f t="shared" si="23"/>
        <v>0</v>
      </c>
      <c r="BG19" s="23">
        <f t="shared" si="23"/>
        <v>0</v>
      </c>
      <c r="BH19" s="23">
        <f t="shared" si="23"/>
        <v>0</v>
      </c>
      <c r="BI19" s="23">
        <f t="shared" si="23"/>
        <v>0</v>
      </c>
      <c r="BJ19" s="23">
        <f t="shared" si="23"/>
        <v>0</v>
      </c>
      <c r="BK19" s="23">
        <f t="shared" si="23"/>
        <v>0</v>
      </c>
      <c r="BL19" s="23">
        <f t="shared" si="23"/>
        <v>0</v>
      </c>
      <c r="BM19" s="23">
        <f t="shared" si="23"/>
        <v>0</v>
      </c>
      <c r="BN19" s="23">
        <f t="shared" si="23"/>
        <v>0</v>
      </c>
      <c r="BO19" s="23">
        <f t="shared" si="23"/>
        <v>0</v>
      </c>
      <c r="BP19" s="23">
        <f t="shared" si="23"/>
        <v>0</v>
      </c>
      <c r="BQ19" s="23">
        <f t="shared" si="23"/>
        <v>0</v>
      </c>
      <c r="BR19" s="23">
        <f t="shared" si="23"/>
        <v>0</v>
      </c>
      <c r="BS19" s="23">
        <f t="shared" si="23"/>
        <v>0</v>
      </c>
      <c r="BT19" s="23">
        <f t="shared" si="23"/>
        <v>0</v>
      </c>
      <c r="BU19" s="23">
        <f t="shared" si="23"/>
        <v>0</v>
      </c>
      <c r="BV19" s="23">
        <f t="shared" ref="BV19:DA19" si="24">SUM(BV5:BV18)</f>
        <v>0</v>
      </c>
      <c r="BW19" s="23">
        <f t="shared" si="24"/>
        <v>0</v>
      </c>
      <c r="BX19" s="23">
        <f t="shared" si="24"/>
        <v>0</v>
      </c>
      <c r="BY19" s="23">
        <f t="shared" si="24"/>
        <v>0</v>
      </c>
      <c r="BZ19" s="23">
        <f t="shared" si="24"/>
        <v>0</v>
      </c>
      <c r="CA19" s="23">
        <f t="shared" si="24"/>
        <v>0</v>
      </c>
      <c r="CB19" s="23">
        <f t="shared" si="24"/>
        <v>0</v>
      </c>
      <c r="CC19" s="23">
        <f t="shared" si="24"/>
        <v>0</v>
      </c>
      <c r="CD19" s="23">
        <f t="shared" si="24"/>
        <v>0</v>
      </c>
      <c r="CE19" s="23">
        <f t="shared" si="24"/>
        <v>0</v>
      </c>
      <c r="CF19" s="23">
        <f t="shared" si="24"/>
        <v>0</v>
      </c>
      <c r="CG19" s="23">
        <f t="shared" si="24"/>
        <v>0</v>
      </c>
      <c r="CH19" s="23">
        <f t="shared" si="24"/>
        <v>0</v>
      </c>
      <c r="CI19" s="23">
        <f t="shared" si="24"/>
        <v>0</v>
      </c>
      <c r="CJ19" s="23">
        <f t="shared" si="24"/>
        <v>0</v>
      </c>
      <c r="CK19" s="23">
        <f t="shared" si="24"/>
        <v>0</v>
      </c>
      <c r="CL19" s="23">
        <f t="shared" si="24"/>
        <v>0</v>
      </c>
      <c r="CM19" s="23">
        <f t="shared" si="24"/>
        <v>0</v>
      </c>
      <c r="CN19" s="23">
        <f t="shared" si="24"/>
        <v>0</v>
      </c>
      <c r="CO19" s="23">
        <f t="shared" si="24"/>
        <v>0</v>
      </c>
      <c r="CP19" s="23">
        <f t="shared" si="24"/>
        <v>0</v>
      </c>
      <c r="CQ19" s="23">
        <f t="shared" si="24"/>
        <v>0</v>
      </c>
      <c r="CR19" s="23">
        <f t="shared" si="24"/>
        <v>0</v>
      </c>
      <c r="CS19" s="23">
        <f t="shared" si="24"/>
        <v>0</v>
      </c>
      <c r="CT19" s="23">
        <f t="shared" si="24"/>
        <v>0</v>
      </c>
      <c r="CU19" s="23">
        <f t="shared" si="24"/>
        <v>0</v>
      </c>
      <c r="CV19" s="23">
        <f t="shared" si="24"/>
        <v>0</v>
      </c>
      <c r="CW19" s="23">
        <f t="shared" si="24"/>
        <v>0</v>
      </c>
      <c r="CX19" s="23">
        <f t="shared" si="24"/>
        <v>0</v>
      </c>
      <c r="CY19" s="23">
        <f t="shared" si="24"/>
        <v>0</v>
      </c>
      <c r="CZ19" s="23">
        <f t="shared" si="24"/>
        <v>0</v>
      </c>
      <c r="DA19" s="23">
        <f t="shared" si="24"/>
        <v>0</v>
      </c>
      <c r="DB19" s="23">
        <f t="shared" ref="DB19:DY19" si="25">SUM(DB5:DB18)</f>
        <v>0</v>
      </c>
      <c r="DC19" s="23">
        <f t="shared" si="25"/>
        <v>0</v>
      </c>
      <c r="DD19" s="23">
        <f t="shared" si="25"/>
        <v>0</v>
      </c>
      <c r="DE19" s="23">
        <f t="shared" si="25"/>
        <v>0</v>
      </c>
      <c r="DF19" s="23">
        <f t="shared" si="25"/>
        <v>0</v>
      </c>
      <c r="DG19" s="23">
        <f t="shared" si="25"/>
        <v>0</v>
      </c>
      <c r="DH19" s="23">
        <f t="shared" si="25"/>
        <v>0</v>
      </c>
      <c r="DI19" s="23">
        <f t="shared" si="25"/>
        <v>0</v>
      </c>
      <c r="DJ19" s="23">
        <f t="shared" si="25"/>
        <v>0</v>
      </c>
      <c r="DK19" s="23">
        <f t="shared" si="25"/>
        <v>0</v>
      </c>
      <c r="DL19" s="23">
        <f t="shared" si="25"/>
        <v>0</v>
      </c>
      <c r="DM19" s="23">
        <f t="shared" si="25"/>
        <v>0</v>
      </c>
      <c r="DN19" s="23">
        <f t="shared" si="25"/>
        <v>0</v>
      </c>
      <c r="DO19" s="23">
        <f t="shared" si="25"/>
        <v>0</v>
      </c>
      <c r="DP19" s="23">
        <f t="shared" si="25"/>
        <v>0</v>
      </c>
      <c r="DQ19" s="23">
        <f t="shared" si="25"/>
        <v>0</v>
      </c>
      <c r="DR19" s="23">
        <f t="shared" si="25"/>
        <v>0</v>
      </c>
      <c r="DS19" s="23">
        <f t="shared" si="25"/>
        <v>0</v>
      </c>
      <c r="DT19" s="23">
        <f t="shared" si="25"/>
        <v>0</v>
      </c>
      <c r="DU19" s="23">
        <f t="shared" si="25"/>
        <v>0</v>
      </c>
      <c r="DV19" s="23">
        <f t="shared" si="25"/>
        <v>0</v>
      </c>
      <c r="DW19" s="23">
        <f t="shared" si="25"/>
        <v>0</v>
      </c>
      <c r="DX19" s="23">
        <f t="shared" si="25"/>
        <v>0</v>
      </c>
      <c r="DY19" s="23">
        <f t="shared" si="25"/>
        <v>0</v>
      </c>
      <c r="DZ19" s="23">
        <f t="shared" ref="DZ19:EL19" si="26">SUM(DZ5:DZ18)</f>
        <v>0</v>
      </c>
      <c r="EA19" s="23">
        <f t="shared" si="26"/>
        <v>0</v>
      </c>
      <c r="EB19" s="23">
        <f t="shared" si="26"/>
        <v>0</v>
      </c>
      <c r="EC19" s="23">
        <f t="shared" si="26"/>
        <v>0</v>
      </c>
      <c r="ED19" s="23">
        <f t="shared" si="26"/>
        <v>0</v>
      </c>
      <c r="EE19" s="23">
        <f t="shared" si="26"/>
        <v>0</v>
      </c>
      <c r="EF19" s="23">
        <f t="shared" si="26"/>
        <v>0</v>
      </c>
      <c r="EG19" s="23">
        <f t="shared" si="26"/>
        <v>0</v>
      </c>
      <c r="EH19" s="23">
        <f t="shared" si="26"/>
        <v>0</v>
      </c>
      <c r="EI19" s="23">
        <f t="shared" si="26"/>
        <v>0</v>
      </c>
      <c r="EJ19" s="23">
        <f t="shared" si="26"/>
        <v>0</v>
      </c>
      <c r="EK19" s="23">
        <f t="shared" si="26"/>
        <v>0</v>
      </c>
      <c r="EL19" s="23">
        <f t="shared" si="26"/>
        <v>0</v>
      </c>
    </row>
    <row r="20" spans="2:142" x14ac:dyDescent="0.45"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</row>
    <row r="21" spans="2:142" x14ac:dyDescent="0.45"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</row>
    <row r="22" spans="2:142" x14ac:dyDescent="0.45"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</row>
    <row r="23" spans="2:142" x14ac:dyDescent="0.45">
      <c r="J23" s="21"/>
    </row>
    <row r="24" spans="2:142" x14ac:dyDescent="0.45">
      <c r="J24" s="21"/>
    </row>
    <row r="25" spans="2:142" x14ac:dyDescent="0.45">
      <c r="J25" s="21"/>
    </row>
    <row r="26" spans="2:142" x14ac:dyDescent="0.45">
      <c r="J26" s="21"/>
    </row>
    <row r="27" spans="2:142" x14ac:dyDescent="0.45">
      <c r="J27" s="21"/>
    </row>
    <row r="28" spans="2:142" x14ac:dyDescent="0.45">
      <c r="J28" s="21"/>
    </row>
    <row r="29" spans="2:142" x14ac:dyDescent="0.45">
      <c r="J29" s="21"/>
    </row>
    <row r="30" spans="2:142" x14ac:dyDescent="0.45">
      <c r="J30" s="21"/>
    </row>
    <row r="31" spans="2:142" x14ac:dyDescent="0.45">
      <c r="J31" s="21"/>
    </row>
    <row r="32" spans="2:142" x14ac:dyDescent="0.45">
      <c r="J32" s="21"/>
    </row>
    <row r="33" spans="10:10" x14ac:dyDescent="0.45">
      <c r="J33" s="21"/>
    </row>
    <row r="34" spans="10:10" x14ac:dyDescent="0.45">
      <c r="J34" s="21"/>
    </row>
    <row r="35" spans="10:10" x14ac:dyDescent="0.45">
      <c r="J35" s="21"/>
    </row>
    <row r="36" spans="10:10" x14ac:dyDescent="0.45">
      <c r="J36" s="21"/>
    </row>
    <row r="37" spans="10:10" x14ac:dyDescent="0.45">
      <c r="J37" s="21"/>
    </row>
  </sheetData>
  <pageMargins left="0.7" right="0.7" top="0.75" bottom="0.75" header="0.3" footer="0.3"/>
  <pageSetup orientation="portrait" r:id="rId1"/>
  <ignoredErrors>
    <ignoredError sqref="E6:E7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0FEEE-3EBB-44BF-B64D-3C55D6E3BAA1}">
  <sheetPr>
    <tabColor theme="1" tint="0.499984740745262"/>
  </sheetPr>
  <dimension ref="B4:EL15"/>
  <sheetViews>
    <sheetView showGridLines="0" zoomScale="115" zoomScaleNormal="115" workbookViewId="0">
      <selection activeCell="E7" sqref="E7"/>
    </sheetView>
  </sheetViews>
  <sheetFormatPr defaultColWidth="9.1328125" defaultRowHeight="12.75" x14ac:dyDescent="0.45"/>
  <cols>
    <col min="1" max="1" width="9.1328125" style="1"/>
    <col min="2" max="2" width="19.73046875" style="1" bestFit="1" customWidth="1"/>
    <col min="3" max="3" width="9.265625" style="1" bestFit="1" customWidth="1"/>
    <col min="4" max="4" width="11.1328125" style="1" bestFit="1" customWidth="1"/>
    <col min="5" max="5" width="9.3984375" style="6" bestFit="1" customWidth="1"/>
    <col min="6" max="6" width="3.73046875" style="6" customWidth="1"/>
    <col min="7" max="8" width="9.1328125" style="12"/>
    <col min="9" max="9" width="3.73046875" style="1" customWidth="1"/>
    <col min="10" max="109" width="9.1328125" style="1"/>
    <col min="110" max="142" width="9.59765625" style="1" bestFit="1" customWidth="1"/>
    <col min="143" max="16384" width="9.1328125" style="1"/>
  </cols>
  <sheetData>
    <row r="4" spans="2:142" x14ac:dyDescent="0.45">
      <c r="B4" s="8" t="s">
        <v>20</v>
      </c>
      <c r="G4" s="12" t="s">
        <v>7</v>
      </c>
      <c r="H4" s="12" t="s">
        <v>8</v>
      </c>
      <c r="I4" s="20"/>
      <c r="J4" s="20">
        <f>+Model!G4</f>
        <v>0</v>
      </c>
      <c r="K4" s="20">
        <f>+Model!H4</f>
        <v>1</v>
      </c>
      <c r="L4" s="20">
        <f>+Model!I4</f>
        <v>2</v>
      </c>
      <c r="M4" s="20">
        <f>+Model!J4</f>
        <v>3</v>
      </c>
      <c r="N4" s="20">
        <f>+Model!K4</f>
        <v>4</v>
      </c>
      <c r="O4" s="20">
        <f>+Model!L4</f>
        <v>5</v>
      </c>
      <c r="P4" s="20">
        <f>+Model!M4</f>
        <v>6</v>
      </c>
      <c r="Q4" s="20">
        <f>+Model!N4</f>
        <v>7</v>
      </c>
      <c r="R4" s="20">
        <f>+Model!O4</f>
        <v>8</v>
      </c>
      <c r="S4" s="20">
        <f>+Model!P4</f>
        <v>9</v>
      </c>
      <c r="T4" s="20">
        <f>+Model!Q4</f>
        <v>10</v>
      </c>
      <c r="U4" s="20">
        <f>+Model!R4</f>
        <v>11</v>
      </c>
      <c r="V4" s="20">
        <f>+Model!S4</f>
        <v>12</v>
      </c>
      <c r="W4" s="20">
        <f>+Model!T4</f>
        <v>13</v>
      </c>
      <c r="X4" s="20">
        <f>+Model!U4</f>
        <v>14</v>
      </c>
      <c r="Y4" s="20">
        <f>+Model!V4</f>
        <v>15</v>
      </c>
      <c r="Z4" s="20">
        <f>+Model!W4</f>
        <v>16</v>
      </c>
      <c r="AA4" s="20">
        <f>+Model!X4</f>
        <v>17</v>
      </c>
      <c r="AB4" s="20">
        <f>+Model!Y4</f>
        <v>18</v>
      </c>
      <c r="AC4" s="20">
        <f>+Model!Z4</f>
        <v>19</v>
      </c>
      <c r="AD4" s="20">
        <f>+Model!AA4</f>
        <v>20</v>
      </c>
      <c r="AE4" s="20">
        <f>+Model!AB4</f>
        <v>21</v>
      </c>
      <c r="AF4" s="20">
        <f>+Model!AC4</f>
        <v>22</v>
      </c>
      <c r="AG4" s="20">
        <f>+Model!AD4</f>
        <v>23</v>
      </c>
      <c r="AH4" s="20">
        <f>+Model!AE4</f>
        <v>24</v>
      </c>
      <c r="AI4" s="20">
        <f>+Model!AF4</f>
        <v>25</v>
      </c>
      <c r="AJ4" s="20">
        <f>+Model!AG4</f>
        <v>26</v>
      </c>
      <c r="AK4" s="20">
        <f>+Model!AH4</f>
        <v>27</v>
      </c>
      <c r="AL4" s="20">
        <f>+Model!AI4</f>
        <v>28</v>
      </c>
      <c r="AM4" s="20">
        <f>+Model!AJ4</f>
        <v>29</v>
      </c>
      <c r="AN4" s="20">
        <f>+Model!AK4</f>
        <v>30</v>
      </c>
      <c r="AO4" s="20">
        <f>+Model!AL4</f>
        <v>31</v>
      </c>
      <c r="AP4" s="20">
        <f>+Model!AM4</f>
        <v>32</v>
      </c>
      <c r="AQ4" s="20">
        <f>+Model!AN4</f>
        <v>33</v>
      </c>
      <c r="AR4" s="20">
        <f>+Model!AO4</f>
        <v>34</v>
      </c>
      <c r="AS4" s="20">
        <f>+Model!AP4</f>
        <v>35</v>
      </c>
      <c r="AT4" s="20">
        <f>+Model!AQ4</f>
        <v>36</v>
      </c>
      <c r="AU4" s="20">
        <f>+Model!AR4</f>
        <v>37</v>
      </c>
      <c r="AV4" s="20">
        <f>+Model!AS4</f>
        <v>38</v>
      </c>
      <c r="AW4" s="20">
        <f>+Model!AT4</f>
        <v>39</v>
      </c>
      <c r="AX4" s="20">
        <f>+Model!AU4</f>
        <v>40</v>
      </c>
      <c r="AY4" s="20">
        <f>+Model!AV4</f>
        <v>41</v>
      </c>
      <c r="AZ4" s="20">
        <f>+Model!AW4</f>
        <v>42</v>
      </c>
      <c r="BA4" s="20">
        <f>+Model!AX4</f>
        <v>43</v>
      </c>
      <c r="BB4" s="20">
        <f>+Model!AY4</f>
        <v>44</v>
      </c>
      <c r="BC4" s="20">
        <f>+Model!AZ4</f>
        <v>45</v>
      </c>
      <c r="BD4" s="20">
        <f>+Model!BA4</f>
        <v>46</v>
      </c>
      <c r="BE4" s="20">
        <f>+Model!BB4</f>
        <v>47</v>
      </c>
      <c r="BF4" s="20">
        <f>+Model!BC4</f>
        <v>48</v>
      </c>
      <c r="BG4" s="20">
        <f>+Model!BD4</f>
        <v>49</v>
      </c>
      <c r="BH4" s="20">
        <f>+Model!BE4</f>
        <v>50</v>
      </c>
      <c r="BI4" s="20">
        <f>+Model!BF4</f>
        <v>51</v>
      </c>
      <c r="BJ4" s="20">
        <f>+Model!BG4</f>
        <v>52</v>
      </c>
      <c r="BK4" s="20">
        <f>+Model!BH4</f>
        <v>53</v>
      </c>
      <c r="BL4" s="20">
        <f>+Model!BI4</f>
        <v>54</v>
      </c>
      <c r="BM4" s="20">
        <f>+Model!BJ4</f>
        <v>55</v>
      </c>
      <c r="BN4" s="20">
        <f>+Model!BK4</f>
        <v>56</v>
      </c>
      <c r="BO4" s="20">
        <f>+Model!BL4</f>
        <v>57</v>
      </c>
      <c r="BP4" s="20">
        <f>+Model!BM4</f>
        <v>58</v>
      </c>
      <c r="BQ4" s="20">
        <f>+Model!BN4</f>
        <v>59</v>
      </c>
      <c r="BR4" s="20">
        <f>+Model!BO4</f>
        <v>60</v>
      </c>
      <c r="BS4" s="20">
        <f>+Model!BP4</f>
        <v>61</v>
      </c>
      <c r="BT4" s="20">
        <f>+Model!BQ4</f>
        <v>62</v>
      </c>
      <c r="BU4" s="20">
        <f>+Model!BR4</f>
        <v>63</v>
      </c>
      <c r="BV4" s="20">
        <f>+Model!BS4</f>
        <v>64</v>
      </c>
      <c r="BW4" s="20">
        <f>+Model!BT4</f>
        <v>65</v>
      </c>
      <c r="BX4" s="20">
        <f>+Model!BU4</f>
        <v>66</v>
      </c>
      <c r="BY4" s="20">
        <f>+Model!BV4</f>
        <v>67</v>
      </c>
      <c r="BZ4" s="20">
        <f>+Model!BW4</f>
        <v>68</v>
      </c>
      <c r="CA4" s="20">
        <f>+Model!BX4</f>
        <v>69</v>
      </c>
      <c r="CB4" s="20">
        <f>+Model!BY4</f>
        <v>70</v>
      </c>
      <c r="CC4" s="20">
        <f>+Model!BZ4</f>
        <v>71</v>
      </c>
      <c r="CD4" s="20">
        <f>+Model!CA4</f>
        <v>72</v>
      </c>
      <c r="CE4" s="20">
        <f>+Model!CB4</f>
        <v>73</v>
      </c>
      <c r="CF4" s="20">
        <f>+Model!CC4</f>
        <v>74</v>
      </c>
      <c r="CG4" s="20">
        <f>+Model!CD4</f>
        <v>75</v>
      </c>
      <c r="CH4" s="20">
        <f>+Model!CE4</f>
        <v>76</v>
      </c>
      <c r="CI4" s="20">
        <f>+Model!CF4</f>
        <v>77</v>
      </c>
      <c r="CJ4" s="20">
        <f>+Model!CG4</f>
        <v>78</v>
      </c>
      <c r="CK4" s="20">
        <f>+Model!CH4</f>
        <v>79</v>
      </c>
      <c r="CL4" s="20">
        <f>+Model!CI4</f>
        <v>80</v>
      </c>
      <c r="CM4" s="20">
        <f>+Model!CJ4</f>
        <v>81</v>
      </c>
      <c r="CN4" s="20">
        <f>+Model!CK4</f>
        <v>82</v>
      </c>
      <c r="CO4" s="20">
        <f>+Model!CL4</f>
        <v>83</v>
      </c>
      <c r="CP4" s="20">
        <f>+Model!CM4</f>
        <v>84</v>
      </c>
      <c r="CQ4" s="20">
        <f>+Model!CN4</f>
        <v>85</v>
      </c>
      <c r="CR4" s="20">
        <f>+Model!CO4</f>
        <v>86</v>
      </c>
      <c r="CS4" s="20">
        <f>+Model!CP4</f>
        <v>87</v>
      </c>
      <c r="CT4" s="20">
        <f>+Model!CQ4</f>
        <v>88</v>
      </c>
      <c r="CU4" s="20">
        <f>+Model!CR4</f>
        <v>89</v>
      </c>
      <c r="CV4" s="20">
        <f>+Model!CS4</f>
        <v>90</v>
      </c>
      <c r="CW4" s="20">
        <f>+Model!CT4</f>
        <v>91</v>
      </c>
      <c r="CX4" s="20">
        <f>+Model!CU4</f>
        <v>92</v>
      </c>
      <c r="CY4" s="20">
        <f>+Model!CV4</f>
        <v>93</v>
      </c>
      <c r="CZ4" s="20">
        <f>+Model!CW4</f>
        <v>94</v>
      </c>
      <c r="DA4" s="20">
        <f>+Model!CX4</f>
        <v>95</v>
      </c>
      <c r="DB4" s="20">
        <f>+Model!CY4</f>
        <v>96</v>
      </c>
      <c r="DC4" s="20">
        <f>+Model!CZ4</f>
        <v>97</v>
      </c>
      <c r="DD4" s="20">
        <f>+Model!DA4</f>
        <v>98</v>
      </c>
      <c r="DE4" s="20">
        <f>+Model!DB4</f>
        <v>99</v>
      </c>
      <c r="DF4" s="20">
        <f>+Model!DC4</f>
        <v>100</v>
      </c>
      <c r="DG4" s="20">
        <f>+Model!DD4</f>
        <v>101</v>
      </c>
      <c r="DH4" s="20">
        <f>+Model!DE4</f>
        <v>102</v>
      </c>
      <c r="DI4" s="20">
        <f>+Model!DF4</f>
        <v>103</v>
      </c>
      <c r="DJ4" s="20">
        <f>+Model!DG4</f>
        <v>104</v>
      </c>
      <c r="DK4" s="20">
        <f>+Model!DH4</f>
        <v>105</v>
      </c>
      <c r="DL4" s="20">
        <f>+Model!DI4</f>
        <v>106</v>
      </c>
      <c r="DM4" s="20">
        <f>+Model!DJ4</f>
        <v>107</v>
      </c>
      <c r="DN4" s="20">
        <f>+Model!DK4</f>
        <v>108</v>
      </c>
      <c r="DO4" s="20">
        <f>+Model!DL4</f>
        <v>109</v>
      </c>
      <c r="DP4" s="20">
        <f>+Model!DM4</f>
        <v>110</v>
      </c>
      <c r="DQ4" s="20">
        <f>+Model!DN4</f>
        <v>111</v>
      </c>
      <c r="DR4" s="20">
        <f>+Model!DO4</f>
        <v>112</v>
      </c>
      <c r="DS4" s="20">
        <f>+Model!DP4</f>
        <v>113</v>
      </c>
      <c r="DT4" s="20">
        <f>+Model!DQ4</f>
        <v>114</v>
      </c>
      <c r="DU4" s="20">
        <f>+Model!DR4</f>
        <v>115</v>
      </c>
      <c r="DV4" s="20">
        <f>+Model!DS4</f>
        <v>116</v>
      </c>
      <c r="DW4" s="20">
        <f>+Model!DT4</f>
        <v>117</v>
      </c>
      <c r="DX4" s="20">
        <f>+Model!DU4</f>
        <v>118</v>
      </c>
      <c r="DY4" s="20">
        <f>+Model!DV4</f>
        <v>119</v>
      </c>
      <c r="DZ4" s="20">
        <f>+Model!DW4</f>
        <v>120</v>
      </c>
      <c r="EA4" s="20">
        <f>+Model!DX4</f>
        <v>121</v>
      </c>
      <c r="EB4" s="20">
        <f>+Model!DY4</f>
        <v>122</v>
      </c>
      <c r="EC4" s="20">
        <f>+Model!DZ4</f>
        <v>123</v>
      </c>
      <c r="ED4" s="20">
        <f>+Model!EA4</f>
        <v>124</v>
      </c>
      <c r="EE4" s="20">
        <f>+Model!EB4</f>
        <v>125</v>
      </c>
      <c r="EF4" s="20">
        <f>+Model!EC4</f>
        <v>126</v>
      </c>
      <c r="EG4" s="20">
        <f>+Model!ED4</f>
        <v>127</v>
      </c>
      <c r="EH4" s="20">
        <f>+Model!EE4</f>
        <v>128</v>
      </c>
      <c r="EI4" s="20">
        <f>+Model!EF4</f>
        <v>129</v>
      </c>
      <c r="EJ4" s="20">
        <f>+Model!EG4</f>
        <v>130</v>
      </c>
      <c r="EK4" s="20">
        <f>+Model!EH4</f>
        <v>131</v>
      </c>
      <c r="EL4" s="20">
        <f>+Model!EI4</f>
        <v>132</v>
      </c>
    </row>
    <row r="5" spans="2:142" x14ac:dyDescent="0.45">
      <c r="B5" s="1" t="s">
        <v>241</v>
      </c>
      <c r="E5" s="9">
        <v>15000</v>
      </c>
      <c r="F5" s="9"/>
      <c r="G5" s="13">
        <v>0</v>
      </c>
      <c r="H5" s="13">
        <v>0</v>
      </c>
      <c r="I5" s="21"/>
      <c r="J5" s="21">
        <f t="shared" ref="J5:S6" si="0">IF(AND($G5=J$4,$H5=J$4),$E5,IF($G5&gt;J$4,0,IF($H5&lt;J$4,0,$E5/($H5-$G5+1))))</f>
        <v>15000</v>
      </c>
      <c r="K5" s="21">
        <f t="shared" si="0"/>
        <v>0</v>
      </c>
      <c r="L5" s="21">
        <f t="shared" si="0"/>
        <v>0</v>
      </c>
      <c r="M5" s="21">
        <f t="shared" si="0"/>
        <v>0</v>
      </c>
      <c r="N5" s="21">
        <f t="shared" si="0"/>
        <v>0</v>
      </c>
      <c r="O5" s="21">
        <f t="shared" si="0"/>
        <v>0</v>
      </c>
      <c r="P5" s="21">
        <f t="shared" si="0"/>
        <v>0</v>
      </c>
      <c r="Q5" s="21">
        <f t="shared" si="0"/>
        <v>0</v>
      </c>
      <c r="R5" s="21">
        <f t="shared" si="0"/>
        <v>0</v>
      </c>
      <c r="S5" s="21">
        <f t="shared" si="0"/>
        <v>0</v>
      </c>
      <c r="T5" s="21">
        <f t="shared" ref="T5:AC6" si="1">IF(AND($G5=T$4,$H5=T$4),$E5,IF($G5&gt;T$4,0,IF($H5&lt;T$4,0,$E5/($H5-$G5+1))))</f>
        <v>0</v>
      </c>
      <c r="U5" s="21">
        <f t="shared" si="1"/>
        <v>0</v>
      </c>
      <c r="V5" s="21">
        <f t="shared" si="1"/>
        <v>0</v>
      </c>
      <c r="W5" s="21">
        <f t="shared" si="1"/>
        <v>0</v>
      </c>
      <c r="X5" s="21">
        <f t="shared" si="1"/>
        <v>0</v>
      </c>
      <c r="Y5" s="21">
        <f t="shared" si="1"/>
        <v>0</v>
      </c>
      <c r="Z5" s="21">
        <f t="shared" si="1"/>
        <v>0</v>
      </c>
      <c r="AA5" s="21">
        <f t="shared" si="1"/>
        <v>0</v>
      </c>
      <c r="AB5" s="21">
        <f t="shared" si="1"/>
        <v>0</v>
      </c>
      <c r="AC5" s="21">
        <f t="shared" si="1"/>
        <v>0</v>
      </c>
      <c r="AD5" s="21">
        <f t="shared" ref="AD5:AM6" si="2">IF(AND($G5=AD$4,$H5=AD$4),$E5,IF($G5&gt;AD$4,0,IF($H5&lt;AD$4,0,$E5/($H5-$G5+1))))</f>
        <v>0</v>
      </c>
      <c r="AE5" s="21">
        <f t="shared" si="2"/>
        <v>0</v>
      </c>
      <c r="AF5" s="21">
        <f t="shared" si="2"/>
        <v>0</v>
      </c>
      <c r="AG5" s="21">
        <f t="shared" si="2"/>
        <v>0</v>
      </c>
      <c r="AH5" s="21">
        <f t="shared" si="2"/>
        <v>0</v>
      </c>
      <c r="AI5" s="21">
        <f t="shared" si="2"/>
        <v>0</v>
      </c>
      <c r="AJ5" s="21">
        <f t="shared" si="2"/>
        <v>0</v>
      </c>
      <c r="AK5" s="21">
        <f t="shared" si="2"/>
        <v>0</v>
      </c>
      <c r="AL5" s="21">
        <f t="shared" si="2"/>
        <v>0</v>
      </c>
      <c r="AM5" s="21">
        <f t="shared" si="2"/>
        <v>0</v>
      </c>
      <c r="AN5" s="21">
        <f t="shared" ref="AN5:AW6" si="3">IF(AND($G5=AN$4,$H5=AN$4),$E5,IF($G5&gt;AN$4,0,IF($H5&lt;AN$4,0,$E5/($H5-$G5+1))))</f>
        <v>0</v>
      </c>
      <c r="AO5" s="21">
        <f t="shared" si="3"/>
        <v>0</v>
      </c>
      <c r="AP5" s="21">
        <f t="shared" si="3"/>
        <v>0</v>
      </c>
      <c r="AQ5" s="21">
        <f t="shared" si="3"/>
        <v>0</v>
      </c>
      <c r="AR5" s="21">
        <f t="shared" si="3"/>
        <v>0</v>
      </c>
      <c r="AS5" s="21">
        <f t="shared" si="3"/>
        <v>0</v>
      </c>
      <c r="AT5" s="21">
        <f t="shared" si="3"/>
        <v>0</v>
      </c>
      <c r="AU5" s="21">
        <f t="shared" si="3"/>
        <v>0</v>
      </c>
      <c r="AV5" s="21">
        <f t="shared" si="3"/>
        <v>0</v>
      </c>
      <c r="AW5" s="21">
        <f t="shared" si="3"/>
        <v>0</v>
      </c>
      <c r="AX5" s="21">
        <f t="shared" ref="AX5:BG6" si="4">IF(AND($G5=AX$4,$H5=AX$4),$E5,IF($G5&gt;AX$4,0,IF($H5&lt;AX$4,0,$E5/($H5-$G5+1))))</f>
        <v>0</v>
      </c>
      <c r="AY5" s="21">
        <f t="shared" si="4"/>
        <v>0</v>
      </c>
      <c r="AZ5" s="21">
        <f t="shared" si="4"/>
        <v>0</v>
      </c>
      <c r="BA5" s="21">
        <f t="shared" si="4"/>
        <v>0</v>
      </c>
      <c r="BB5" s="21">
        <f t="shared" si="4"/>
        <v>0</v>
      </c>
      <c r="BC5" s="21">
        <f t="shared" si="4"/>
        <v>0</v>
      </c>
      <c r="BD5" s="21">
        <f t="shared" si="4"/>
        <v>0</v>
      </c>
      <c r="BE5" s="21">
        <f t="shared" si="4"/>
        <v>0</v>
      </c>
      <c r="BF5" s="21">
        <f t="shared" si="4"/>
        <v>0</v>
      </c>
      <c r="BG5" s="21">
        <f t="shared" si="4"/>
        <v>0</v>
      </c>
      <c r="BH5" s="21">
        <f t="shared" ref="BH5:BQ6" si="5">IF(AND($G5=BH$4,$H5=BH$4),$E5,IF($G5&gt;BH$4,0,IF($H5&lt;BH$4,0,$E5/($H5-$G5+1))))</f>
        <v>0</v>
      </c>
      <c r="BI5" s="21">
        <f t="shared" si="5"/>
        <v>0</v>
      </c>
      <c r="BJ5" s="21">
        <f t="shared" si="5"/>
        <v>0</v>
      </c>
      <c r="BK5" s="21">
        <f t="shared" si="5"/>
        <v>0</v>
      </c>
      <c r="BL5" s="21">
        <f t="shared" si="5"/>
        <v>0</v>
      </c>
      <c r="BM5" s="21">
        <f t="shared" si="5"/>
        <v>0</v>
      </c>
      <c r="BN5" s="21">
        <f t="shared" si="5"/>
        <v>0</v>
      </c>
      <c r="BO5" s="21">
        <f t="shared" si="5"/>
        <v>0</v>
      </c>
      <c r="BP5" s="21">
        <f t="shared" si="5"/>
        <v>0</v>
      </c>
      <c r="BQ5" s="21">
        <f t="shared" si="5"/>
        <v>0</v>
      </c>
      <c r="BR5" s="21">
        <f t="shared" ref="BR5:CA6" si="6">IF(AND($G5=BR$4,$H5=BR$4),$E5,IF($G5&gt;BR$4,0,IF($H5&lt;BR$4,0,$E5/($H5-$G5+1))))</f>
        <v>0</v>
      </c>
      <c r="BS5" s="21">
        <f t="shared" si="6"/>
        <v>0</v>
      </c>
      <c r="BT5" s="21">
        <f t="shared" si="6"/>
        <v>0</v>
      </c>
      <c r="BU5" s="21">
        <f t="shared" si="6"/>
        <v>0</v>
      </c>
      <c r="BV5" s="21">
        <f t="shared" si="6"/>
        <v>0</v>
      </c>
      <c r="BW5" s="21">
        <f t="shared" si="6"/>
        <v>0</v>
      </c>
      <c r="BX5" s="21">
        <f t="shared" si="6"/>
        <v>0</v>
      </c>
      <c r="BY5" s="21">
        <f t="shared" si="6"/>
        <v>0</v>
      </c>
      <c r="BZ5" s="21">
        <f t="shared" si="6"/>
        <v>0</v>
      </c>
      <c r="CA5" s="21">
        <f t="shared" si="6"/>
        <v>0</v>
      </c>
      <c r="CB5" s="21">
        <f t="shared" ref="CB5:CK6" si="7">IF(AND($G5=CB$4,$H5=CB$4),$E5,IF($G5&gt;CB$4,0,IF($H5&lt;CB$4,0,$E5/($H5-$G5+1))))</f>
        <v>0</v>
      </c>
      <c r="CC5" s="21">
        <f t="shared" si="7"/>
        <v>0</v>
      </c>
      <c r="CD5" s="21">
        <f t="shared" si="7"/>
        <v>0</v>
      </c>
      <c r="CE5" s="21">
        <f t="shared" si="7"/>
        <v>0</v>
      </c>
      <c r="CF5" s="21">
        <f t="shared" si="7"/>
        <v>0</v>
      </c>
      <c r="CG5" s="21">
        <f t="shared" si="7"/>
        <v>0</v>
      </c>
      <c r="CH5" s="21">
        <f t="shared" si="7"/>
        <v>0</v>
      </c>
      <c r="CI5" s="21">
        <f t="shared" si="7"/>
        <v>0</v>
      </c>
      <c r="CJ5" s="21">
        <f t="shared" si="7"/>
        <v>0</v>
      </c>
      <c r="CK5" s="21">
        <f t="shared" si="7"/>
        <v>0</v>
      </c>
      <c r="CL5" s="21">
        <f t="shared" ref="CL5:CU6" si="8">IF(AND($G5=CL$4,$H5=CL$4),$E5,IF($G5&gt;CL$4,0,IF($H5&lt;CL$4,0,$E5/($H5-$G5+1))))</f>
        <v>0</v>
      </c>
      <c r="CM5" s="21">
        <f t="shared" si="8"/>
        <v>0</v>
      </c>
      <c r="CN5" s="21">
        <f t="shared" si="8"/>
        <v>0</v>
      </c>
      <c r="CO5" s="21">
        <f t="shared" si="8"/>
        <v>0</v>
      </c>
      <c r="CP5" s="21">
        <f t="shared" si="8"/>
        <v>0</v>
      </c>
      <c r="CQ5" s="21">
        <f t="shared" si="8"/>
        <v>0</v>
      </c>
      <c r="CR5" s="21">
        <f t="shared" si="8"/>
        <v>0</v>
      </c>
      <c r="CS5" s="21">
        <f t="shared" si="8"/>
        <v>0</v>
      </c>
      <c r="CT5" s="21">
        <f t="shared" si="8"/>
        <v>0</v>
      </c>
      <c r="CU5" s="21">
        <f t="shared" si="8"/>
        <v>0</v>
      </c>
      <c r="CV5" s="21">
        <f t="shared" ref="CV5:DE6" si="9">IF(AND($G5=CV$4,$H5=CV$4),$E5,IF($G5&gt;CV$4,0,IF($H5&lt;CV$4,0,$E5/($H5-$G5+1))))</f>
        <v>0</v>
      </c>
      <c r="CW5" s="21">
        <f t="shared" si="9"/>
        <v>0</v>
      </c>
      <c r="CX5" s="21">
        <f t="shared" si="9"/>
        <v>0</v>
      </c>
      <c r="CY5" s="21">
        <f t="shared" si="9"/>
        <v>0</v>
      </c>
      <c r="CZ5" s="21">
        <f t="shared" si="9"/>
        <v>0</v>
      </c>
      <c r="DA5" s="21">
        <f t="shared" si="9"/>
        <v>0</v>
      </c>
      <c r="DB5" s="21">
        <f t="shared" si="9"/>
        <v>0</v>
      </c>
      <c r="DC5" s="21">
        <f t="shared" si="9"/>
        <v>0</v>
      </c>
      <c r="DD5" s="21">
        <f t="shared" si="9"/>
        <v>0</v>
      </c>
      <c r="DE5" s="21">
        <f t="shared" si="9"/>
        <v>0</v>
      </c>
      <c r="DF5" s="21">
        <f t="shared" ref="DF5:DO6" si="10">IF(AND($G5=DF$4,$H5=DF$4),$E5,IF($G5&gt;DF$4,0,IF($H5&lt;DF$4,0,$E5/($H5-$G5+1))))</f>
        <v>0</v>
      </c>
      <c r="DG5" s="21">
        <f t="shared" si="10"/>
        <v>0</v>
      </c>
      <c r="DH5" s="21">
        <f t="shared" si="10"/>
        <v>0</v>
      </c>
      <c r="DI5" s="21">
        <f t="shared" si="10"/>
        <v>0</v>
      </c>
      <c r="DJ5" s="21">
        <f t="shared" si="10"/>
        <v>0</v>
      </c>
      <c r="DK5" s="21">
        <f t="shared" si="10"/>
        <v>0</v>
      </c>
      <c r="DL5" s="21">
        <f t="shared" si="10"/>
        <v>0</v>
      </c>
      <c r="DM5" s="21">
        <f t="shared" si="10"/>
        <v>0</v>
      </c>
      <c r="DN5" s="21">
        <f t="shared" si="10"/>
        <v>0</v>
      </c>
      <c r="DO5" s="21">
        <f t="shared" si="10"/>
        <v>0</v>
      </c>
      <c r="DP5" s="21">
        <f t="shared" ref="DP5:EL6" si="11">IF(AND($G5=DP$4,$H5=DP$4),$E5,IF($G5&gt;DP$4,0,IF($H5&lt;DP$4,0,$E5/($H5-$G5+1))))</f>
        <v>0</v>
      </c>
      <c r="DQ5" s="21">
        <f t="shared" si="11"/>
        <v>0</v>
      </c>
      <c r="DR5" s="21">
        <f t="shared" si="11"/>
        <v>0</v>
      </c>
      <c r="DS5" s="21">
        <f t="shared" si="11"/>
        <v>0</v>
      </c>
      <c r="DT5" s="21">
        <f t="shared" si="11"/>
        <v>0</v>
      </c>
      <c r="DU5" s="21">
        <f t="shared" si="11"/>
        <v>0</v>
      </c>
      <c r="DV5" s="21">
        <f t="shared" si="11"/>
        <v>0</v>
      </c>
      <c r="DW5" s="21">
        <f t="shared" si="11"/>
        <v>0</v>
      </c>
      <c r="DX5" s="21">
        <f t="shared" si="11"/>
        <v>0</v>
      </c>
      <c r="DY5" s="21">
        <f t="shared" si="11"/>
        <v>0</v>
      </c>
      <c r="DZ5" s="21">
        <f t="shared" si="11"/>
        <v>0</v>
      </c>
      <c r="EA5" s="21">
        <f t="shared" si="11"/>
        <v>0</v>
      </c>
      <c r="EB5" s="21">
        <f t="shared" si="11"/>
        <v>0</v>
      </c>
      <c r="EC5" s="21">
        <f t="shared" si="11"/>
        <v>0</v>
      </c>
      <c r="ED5" s="21">
        <f t="shared" si="11"/>
        <v>0</v>
      </c>
      <c r="EE5" s="21">
        <f t="shared" si="11"/>
        <v>0</v>
      </c>
      <c r="EF5" s="21">
        <f t="shared" si="11"/>
        <v>0</v>
      </c>
      <c r="EG5" s="21">
        <f t="shared" si="11"/>
        <v>0</v>
      </c>
      <c r="EH5" s="21">
        <f t="shared" si="11"/>
        <v>0</v>
      </c>
      <c r="EI5" s="21">
        <f t="shared" si="11"/>
        <v>0</v>
      </c>
      <c r="EJ5" s="21">
        <f t="shared" si="11"/>
        <v>0</v>
      </c>
      <c r="EK5" s="21">
        <f t="shared" si="11"/>
        <v>0</v>
      </c>
      <c r="EL5" s="21">
        <f t="shared" si="11"/>
        <v>0</v>
      </c>
    </row>
    <row r="6" spans="2:142" x14ac:dyDescent="0.45">
      <c r="B6" s="1" t="s">
        <v>242</v>
      </c>
      <c r="E6" s="9">
        <v>500</v>
      </c>
      <c r="G6" s="13">
        <v>0</v>
      </c>
      <c r="H6" s="13">
        <v>0</v>
      </c>
      <c r="I6" s="21"/>
      <c r="J6" s="21">
        <f t="shared" si="0"/>
        <v>500</v>
      </c>
      <c r="K6" s="21">
        <f t="shared" si="0"/>
        <v>0</v>
      </c>
      <c r="L6" s="21">
        <f t="shared" si="0"/>
        <v>0</v>
      </c>
      <c r="M6" s="21">
        <f t="shared" si="0"/>
        <v>0</v>
      </c>
      <c r="N6" s="21">
        <f t="shared" si="0"/>
        <v>0</v>
      </c>
      <c r="O6" s="21">
        <f t="shared" si="0"/>
        <v>0</v>
      </c>
      <c r="P6" s="21">
        <f t="shared" si="0"/>
        <v>0</v>
      </c>
      <c r="Q6" s="21">
        <f t="shared" si="0"/>
        <v>0</v>
      </c>
      <c r="R6" s="21">
        <f t="shared" si="0"/>
        <v>0</v>
      </c>
      <c r="S6" s="21">
        <f t="shared" si="0"/>
        <v>0</v>
      </c>
      <c r="T6" s="21">
        <f t="shared" si="1"/>
        <v>0</v>
      </c>
      <c r="U6" s="21">
        <f t="shared" si="1"/>
        <v>0</v>
      </c>
      <c r="V6" s="21">
        <f t="shared" si="1"/>
        <v>0</v>
      </c>
      <c r="W6" s="21">
        <f t="shared" si="1"/>
        <v>0</v>
      </c>
      <c r="X6" s="21">
        <f t="shared" si="1"/>
        <v>0</v>
      </c>
      <c r="Y6" s="21">
        <f t="shared" si="1"/>
        <v>0</v>
      </c>
      <c r="Z6" s="21">
        <f t="shared" si="1"/>
        <v>0</v>
      </c>
      <c r="AA6" s="21">
        <f t="shared" si="1"/>
        <v>0</v>
      </c>
      <c r="AB6" s="21">
        <f t="shared" si="1"/>
        <v>0</v>
      </c>
      <c r="AC6" s="21">
        <f t="shared" si="1"/>
        <v>0</v>
      </c>
      <c r="AD6" s="21">
        <f t="shared" si="2"/>
        <v>0</v>
      </c>
      <c r="AE6" s="21">
        <f t="shared" si="2"/>
        <v>0</v>
      </c>
      <c r="AF6" s="21">
        <f t="shared" si="2"/>
        <v>0</v>
      </c>
      <c r="AG6" s="21">
        <f t="shared" si="2"/>
        <v>0</v>
      </c>
      <c r="AH6" s="21">
        <f t="shared" si="2"/>
        <v>0</v>
      </c>
      <c r="AI6" s="21">
        <f t="shared" si="2"/>
        <v>0</v>
      </c>
      <c r="AJ6" s="21">
        <f t="shared" si="2"/>
        <v>0</v>
      </c>
      <c r="AK6" s="21">
        <f t="shared" si="2"/>
        <v>0</v>
      </c>
      <c r="AL6" s="21">
        <f t="shared" si="2"/>
        <v>0</v>
      </c>
      <c r="AM6" s="21">
        <f t="shared" si="2"/>
        <v>0</v>
      </c>
      <c r="AN6" s="21">
        <f t="shared" si="3"/>
        <v>0</v>
      </c>
      <c r="AO6" s="21">
        <f t="shared" si="3"/>
        <v>0</v>
      </c>
      <c r="AP6" s="21">
        <f t="shared" si="3"/>
        <v>0</v>
      </c>
      <c r="AQ6" s="21">
        <f t="shared" si="3"/>
        <v>0</v>
      </c>
      <c r="AR6" s="21">
        <f t="shared" si="3"/>
        <v>0</v>
      </c>
      <c r="AS6" s="21">
        <f t="shared" si="3"/>
        <v>0</v>
      </c>
      <c r="AT6" s="21">
        <f t="shared" si="3"/>
        <v>0</v>
      </c>
      <c r="AU6" s="21">
        <f t="shared" si="3"/>
        <v>0</v>
      </c>
      <c r="AV6" s="21">
        <f t="shared" si="3"/>
        <v>0</v>
      </c>
      <c r="AW6" s="21">
        <f t="shared" si="3"/>
        <v>0</v>
      </c>
      <c r="AX6" s="21">
        <f t="shared" si="4"/>
        <v>0</v>
      </c>
      <c r="AY6" s="21">
        <f t="shared" si="4"/>
        <v>0</v>
      </c>
      <c r="AZ6" s="21">
        <f t="shared" si="4"/>
        <v>0</v>
      </c>
      <c r="BA6" s="21">
        <f t="shared" si="4"/>
        <v>0</v>
      </c>
      <c r="BB6" s="21">
        <f t="shared" si="4"/>
        <v>0</v>
      </c>
      <c r="BC6" s="21">
        <f t="shared" si="4"/>
        <v>0</v>
      </c>
      <c r="BD6" s="21">
        <f t="shared" si="4"/>
        <v>0</v>
      </c>
      <c r="BE6" s="21">
        <f t="shared" si="4"/>
        <v>0</v>
      </c>
      <c r="BF6" s="21">
        <f t="shared" si="4"/>
        <v>0</v>
      </c>
      <c r="BG6" s="21">
        <f t="shared" si="4"/>
        <v>0</v>
      </c>
      <c r="BH6" s="21">
        <f t="shared" si="5"/>
        <v>0</v>
      </c>
      <c r="BI6" s="21">
        <f t="shared" si="5"/>
        <v>0</v>
      </c>
      <c r="BJ6" s="21">
        <f t="shared" si="5"/>
        <v>0</v>
      </c>
      <c r="BK6" s="21">
        <f t="shared" si="5"/>
        <v>0</v>
      </c>
      <c r="BL6" s="21">
        <f t="shared" si="5"/>
        <v>0</v>
      </c>
      <c r="BM6" s="21">
        <f t="shared" si="5"/>
        <v>0</v>
      </c>
      <c r="BN6" s="21">
        <f t="shared" si="5"/>
        <v>0</v>
      </c>
      <c r="BO6" s="21">
        <f t="shared" si="5"/>
        <v>0</v>
      </c>
      <c r="BP6" s="21">
        <f t="shared" si="5"/>
        <v>0</v>
      </c>
      <c r="BQ6" s="21">
        <f t="shared" si="5"/>
        <v>0</v>
      </c>
      <c r="BR6" s="21">
        <f t="shared" si="6"/>
        <v>0</v>
      </c>
      <c r="BS6" s="21">
        <f t="shared" si="6"/>
        <v>0</v>
      </c>
      <c r="BT6" s="21">
        <f t="shared" si="6"/>
        <v>0</v>
      </c>
      <c r="BU6" s="21">
        <f t="shared" si="6"/>
        <v>0</v>
      </c>
      <c r="BV6" s="21">
        <f t="shared" si="6"/>
        <v>0</v>
      </c>
      <c r="BW6" s="21">
        <f t="shared" si="6"/>
        <v>0</v>
      </c>
      <c r="BX6" s="21">
        <f t="shared" si="6"/>
        <v>0</v>
      </c>
      <c r="BY6" s="21">
        <f t="shared" si="6"/>
        <v>0</v>
      </c>
      <c r="BZ6" s="21">
        <f t="shared" si="6"/>
        <v>0</v>
      </c>
      <c r="CA6" s="21">
        <f t="shared" si="6"/>
        <v>0</v>
      </c>
      <c r="CB6" s="21">
        <f t="shared" si="7"/>
        <v>0</v>
      </c>
      <c r="CC6" s="21">
        <f t="shared" si="7"/>
        <v>0</v>
      </c>
      <c r="CD6" s="21">
        <f t="shared" si="7"/>
        <v>0</v>
      </c>
      <c r="CE6" s="21">
        <f t="shared" si="7"/>
        <v>0</v>
      </c>
      <c r="CF6" s="21">
        <f t="shared" si="7"/>
        <v>0</v>
      </c>
      <c r="CG6" s="21">
        <f t="shared" si="7"/>
        <v>0</v>
      </c>
      <c r="CH6" s="21">
        <f t="shared" si="7"/>
        <v>0</v>
      </c>
      <c r="CI6" s="21">
        <f t="shared" si="7"/>
        <v>0</v>
      </c>
      <c r="CJ6" s="21">
        <f t="shared" si="7"/>
        <v>0</v>
      </c>
      <c r="CK6" s="21">
        <f t="shared" si="7"/>
        <v>0</v>
      </c>
      <c r="CL6" s="21">
        <f t="shared" si="8"/>
        <v>0</v>
      </c>
      <c r="CM6" s="21">
        <f t="shared" si="8"/>
        <v>0</v>
      </c>
      <c r="CN6" s="21">
        <f t="shared" si="8"/>
        <v>0</v>
      </c>
      <c r="CO6" s="21">
        <f t="shared" si="8"/>
        <v>0</v>
      </c>
      <c r="CP6" s="21">
        <f t="shared" si="8"/>
        <v>0</v>
      </c>
      <c r="CQ6" s="21">
        <f t="shared" si="8"/>
        <v>0</v>
      </c>
      <c r="CR6" s="21">
        <f t="shared" si="8"/>
        <v>0</v>
      </c>
      <c r="CS6" s="21">
        <f t="shared" si="8"/>
        <v>0</v>
      </c>
      <c r="CT6" s="21">
        <f t="shared" si="8"/>
        <v>0</v>
      </c>
      <c r="CU6" s="21">
        <f t="shared" si="8"/>
        <v>0</v>
      </c>
      <c r="CV6" s="21">
        <f t="shared" si="9"/>
        <v>0</v>
      </c>
      <c r="CW6" s="21">
        <f t="shared" si="9"/>
        <v>0</v>
      </c>
      <c r="CX6" s="21">
        <f t="shared" si="9"/>
        <v>0</v>
      </c>
      <c r="CY6" s="21">
        <f t="shared" si="9"/>
        <v>0</v>
      </c>
      <c r="CZ6" s="21">
        <f t="shared" si="9"/>
        <v>0</v>
      </c>
      <c r="DA6" s="21">
        <f t="shared" si="9"/>
        <v>0</v>
      </c>
      <c r="DB6" s="21">
        <f t="shared" si="9"/>
        <v>0</v>
      </c>
      <c r="DC6" s="21">
        <f t="shared" si="9"/>
        <v>0</v>
      </c>
      <c r="DD6" s="21">
        <f t="shared" si="9"/>
        <v>0</v>
      </c>
      <c r="DE6" s="21">
        <f t="shared" si="9"/>
        <v>0</v>
      </c>
      <c r="DF6" s="21">
        <f t="shared" si="10"/>
        <v>0</v>
      </c>
      <c r="DG6" s="21">
        <f t="shared" si="10"/>
        <v>0</v>
      </c>
      <c r="DH6" s="21">
        <f t="shared" si="10"/>
        <v>0</v>
      </c>
      <c r="DI6" s="21">
        <f t="shared" si="10"/>
        <v>0</v>
      </c>
      <c r="DJ6" s="21">
        <f t="shared" si="10"/>
        <v>0</v>
      </c>
      <c r="DK6" s="21">
        <f t="shared" si="10"/>
        <v>0</v>
      </c>
      <c r="DL6" s="21">
        <f t="shared" si="10"/>
        <v>0</v>
      </c>
      <c r="DM6" s="21">
        <f t="shared" si="10"/>
        <v>0</v>
      </c>
      <c r="DN6" s="21">
        <f t="shared" si="10"/>
        <v>0</v>
      </c>
      <c r="DO6" s="21">
        <f t="shared" si="10"/>
        <v>0</v>
      </c>
      <c r="DP6" s="21">
        <f t="shared" si="11"/>
        <v>0</v>
      </c>
      <c r="DQ6" s="21">
        <f t="shared" si="11"/>
        <v>0</v>
      </c>
      <c r="DR6" s="21">
        <f t="shared" si="11"/>
        <v>0</v>
      </c>
      <c r="DS6" s="21">
        <f t="shared" si="11"/>
        <v>0</v>
      </c>
      <c r="DT6" s="21">
        <f t="shared" si="11"/>
        <v>0</v>
      </c>
      <c r="DU6" s="21">
        <f t="shared" si="11"/>
        <v>0</v>
      </c>
      <c r="DV6" s="21">
        <f t="shared" si="11"/>
        <v>0</v>
      </c>
      <c r="DW6" s="21">
        <f t="shared" si="11"/>
        <v>0</v>
      </c>
      <c r="DX6" s="21">
        <f t="shared" si="11"/>
        <v>0</v>
      </c>
      <c r="DY6" s="21">
        <f t="shared" si="11"/>
        <v>0</v>
      </c>
      <c r="DZ6" s="21">
        <f t="shared" si="11"/>
        <v>0</v>
      </c>
      <c r="EA6" s="21">
        <f t="shared" si="11"/>
        <v>0</v>
      </c>
      <c r="EB6" s="21">
        <f t="shared" si="11"/>
        <v>0</v>
      </c>
      <c r="EC6" s="21">
        <f t="shared" si="11"/>
        <v>0</v>
      </c>
      <c r="ED6" s="21">
        <f t="shared" si="11"/>
        <v>0</v>
      </c>
      <c r="EE6" s="21">
        <f t="shared" si="11"/>
        <v>0</v>
      </c>
      <c r="EF6" s="21">
        <f t="shared" si="11"/>
        <v>0</v>
      </c>
      <c r="EG6" s="21">
        <f t="shared" si="11"/>
        <v>0</v>
      </c>
      <c r="EH6" s="21">
        <f t="shared" si="11"/>
        <v>0</v>
      </c>
      <c r="EI6" s="21">
        <f t="shared" si="11"/>
        <v>0</v>
      </c>
      <c r="EJ6" s="21">
        <f t="shared" si="11"/>
        <v>0</v>
      </c>
      <c r="EK6" s="21">
        <f t="shared" si="11"/>
        <v>0</v>
      </c>
      <c r="EL6" s="21">
        <f t="shared" si="11"/>
        <v>0</v>
      </c>
    </row>
    <row r="7" spans="2:142" x14ac:dyDescent="0.45">
      <c r="B7" s="1" t="s">
        <v>336</v>
      </c>
      <c r="E7" s="9">
        <v>1000</v>
      </c>
      <c r="G7" s="13">
        <v>0</v>
      </c>
      <c r="H7" s="13">
        <v>0</v>
      </c>
      <c r="I7" s="21"/>
      <c r="J7" s="21">
        <f>IF(AND($G7=J$4,$H7=J$4),$E7,IF($G7&gt;J$4,0,IF($H7&lt;J$4,0,$E7/($H7-$G7+1))))</f>
        <v>1000</v>
      </c>
      <c r="K7" s="21">
        <f t="shared" ref="K7:T7" si="12">IF(AND($G7=K$4,$H7=K$4),$E7,IF($G7&gt;K$4,0,IF($H7&lt;K$4,0,$E7/($H7-$G7+1))))</f>
        <v>0</v>
      </c>
      <c r="L7" s="21">
        <f t="shared" si="12"/>
        <v>0</v>
      </c>
      <c r="M7" s="21">
        <f t="shared" si="12"/>
        <v>0</v>
      </c>
      <c r="N7" s="21">
        <f t="shared" si="12"/>
        <v>0</v>
      </c>
      <c r="O7" s="21">
        <f t="shared" si="12"/>
        <v>0</v>
      </c>
      <c r="P7" s="21">
        <f t="shared" si="12"/>
        <v>0</v>
      </c>
      <c r="Q7" s="21">
        <f t="shared" si="12"/>
        <v>0</v>
      </c>
      <c r="R7" s="21">
        <f t="shared" si="12"/>
        <v>0</v>
      </c>
      <c r="S7" s="21">
        <f t="shared" si="12"/>
        <v>0</v>
      </c>
      <c r="T7" s="21">
        <f t="shared" si="12"/>
        <v>0</v>
      </c>
      <c r="U7" s="21">
        <f t="shared" ref="K7:Z11" si="13">IF(AND($G7=U$4,$H7=U$4),$E7,IF($G7&gt;U$4,0,IF($H7&lt;U$4,0,$E7/($H7-$G7+1))))</f>
        <v>0</v>
      </c>
      <c r="V7" s="21">
        <f t="shared" si="13"/>
        <v>0</v>
      </c>
      <c r="W7" s="21">
        <f t="shared" si="13"/>
        <v>0</v>
      </c>
      <c r="X7" s="21">
        <f t="shared" si="13"/>
        <v>0</v>
      </c>
      <c r="Y7" s="21">
        <f t="shared" si="13"/>
        <v>0</v>
      </c>
      <c r="Z7" s="21">
        <f t="shared" si="13"/>
        <v>0</v>
      </c>
      <c r="AA7" s="21">
        <f t="shared" ref="O7:AN9" si="14">IF(AND($G7=AA$4,$H7=AA$4),$E7,IF($G7&gt;AA$4,0,IF($H7&lt;AA$4,0,$E7/($H7-$G7+1))))</f>
        <v>0</v>
      </c>
      <c r="AB7" s="21">
        <f t="shared" si="14"/>
        <v>0</v>
      </c>
      <c r="AC7" s="21">
        <f t="shared" si="14"/>
        <v>0</v>
      </c>
      <c r="AD7" s="21">
        <f t="shared" si="14"/>
        <v>0</v>
      </c>
      <c r="AE7" s="21">
        <f t="shared" si="14"/>
        <v>0</v>
      </c>
      <c r="AF7" s="21">
        <f t="shared" si="14"/>
        <v>0</v>
      </c>
      <c r="AG7" s="21">
        <f t="shared" si="14"/>
        <v>0</v>
      </c>
      <c r="AH7" s="21">
        <f t="shared" si="14"/>
        <v>0</v>
      </c>
      <c r="AI7" s="21">
        <f t="shared" si="14"/>
        <v>0</v>
      </c>
      <c r="AJ7" s="21">
        <f t="shared" si="14"/>
        <v>0</v>
      </c>
      <c r="AK7" s="21">
        <f t="shared" si="14"/>
        <v>0</v>
      </c>
      <c r="AL7" s="21">
        <f t="shared" si="14"/>
        <v>0</v>
      </c>
      <c r="AM7" s="21">
        <f t="shared" si="14"/>
        <v>0</v>
      </c>
      <c r="AN7" s="21">
        <f t="shared" si="14"/>
        <v>0</v>
      </c>
      <c r="AO7" s="21">
        <f t="shared" ref="AO7:BW9" si="15">IF(AND($G7=AO$4,$H7=AO$4),$E7,IF($G7&gt;AO$4,0,IF($H7&lt;AO$4,0,$E7/($H7-$G7+1))))</f>
        <v>0</v>
      </c>
      <c r="AP7" s="21">
        <f t="shared" si="15"/>
        <v>0</v>
      </c>
      <c r="AQ7" s="21">
        <f t="shared" si="15"/>
        <v>0</v>
      </c>
      <c r="AR7" s="21">
        <f t="shared" si="15"/>
        <v>0</v>
      </c>
      <c r="AS7" s="21">
        <f t="shared" si="15"/>
        <v>0</v>
      </c>
      <c r="AT7" s="21">
        <f t="shared" si="15"/>
        <v>0</v>
      </c>
      <c r="AU7" s="21">
        <f t="shared" si="15"/>
        <v>0</v>
      </c>
      <c r="AV7" s="21">
        <f t="shared" si="15"/>
        <v>0</v>
      </c>
      <c r="AW7" s="21">
        <f t="shared" si="15"/>
        <v>0</v>
      </c>
      <c r="AX7" s="21">
        <f t="shared" si="15"/>
        <v>0</v>
      </c>
      <c r="AY7" s="21">
        <f t="shared" si="15"/>
        <v>0</v>
      </c>
      <c r="AZ7" s="21">
        <f t="shared" si="15"/>
        <v>0</v>
      </c>
      <c r="BA7" s="21">
        <f t="shared" si="15"/>
        <v>0</v>
      </c>
      <c r="BB7" s="21">
        <f t="shared" si="15"/>
        <v>0</v>
      </c>
      <c r="BC7" s="21">
        <f t="shared" si="15"/>
        <v>0</v>
      </c>
      <c r="BD7" s="21">
        <f t="shared" si="15"/>
        <v>0</v>
      </c>
      <c r="BE7" s="21">
        <f t="shared" si="15"/>
        <v>0</v>
      </c>
      <c r="BF7" s="21">
        <f t="shared" si="15"/>
        <v>0</v>
      </c>
      <c r="BG7" s="21">
        <f t="shared" si="15"/>
        <v>0</v>
      </c>
      <c r="BH7" s="21">
        <f t="shared" si="15"/>
        <v>0</v>
      </c>
      <c r="BI7" s="21">
        <f t="shared" si="15"/>
        <v>0</v>
      </c>
      <c r="BJ7" s="21">
        <f t="shared" si="15"/>
        <v>0</v>
      </c>
      <c r="BK7" s="21">
        <f t="shared" si="15"/>
        <v>0</v>
      </c>
      <c r="BL7" s="21">
        <f t="shared" si="15"/>
        <v>0</v>
      </c>
      <c r="BM7" s="21">
        <f t="shared" si="15"/>
        <v>0</v>
      </c>
      <c r="BN7" s="21">
        <f t="shared" si="15"/>
        <v>0</v>
      </c>
      <c r="BO7" s="21">
        <f t="shared" si="15"/>
        <v>0</v>
      </c>
      <c r="BP7" s="21">
        <f t="shared" si="15"/>
        <v>0</v>
      </c>
      <c r="BQ7" s="21">
        <f t="shared" si="15"/>
        <v>0</v>
      </c>
      <c r="BR7" s="21">
        <f t="shared" si="15"/>
        <v>0</v>
      </c>
      <c r="BS7" s="21">
        <f t="shared" si="15"/>
        <v>0</v>
      </c>
      <c r="BT7" s="21">
        <f t="shared" si="15"/>
        <v>0</v>
      </c>
      <c r="BU7" s="21">
        <f t="shared" si="15"/>
        <v>0</v>
      </c>
      <c r="BV7" s="21">
        <f t="shared" si="15"/>
        <v>0</v>
      </c>
      <c r="BW7" s="21">
        <f t="shared" si="15"/>
        <v>0</v>
      </c>
      <c r="BX7" s="21">
        <f t="shared" ref="BX7:DW9" si="16">IF(AND($G7=BX$4,$H7=BX$4),$E7,IF($G7&gt;BX$4,0,IF($H7&lt;BX$4,0,$E7/($H7-$G7+1))))</f>
        <v>0</v>
      </c>
      <c r="BY7" s="21">
        <f t="shared" si="16"/>
        <v>0</v>
      </c>
      <c r="BZ7" s="21">
        <f t="shared" si="16"/>
        <v>0</v>
      </c>
      <c r="CA7" s="21">
        <f t="shared" si="16"/>
        <v>0</v>
      </c>
      <c r="CB7" s="21">
        <f t="shared" si="16"/>
        <v>0</v>
      </c>
      <c r="CC7" s="21">
        <f t="shared" si="16"/>
        <v>0</v>
      </c>
      <c r="CD7" s="21">
        <f t="shared" si="16"/>
        <v>0</v>
      </c>
      <c r="CE7" s="21">
        <f t="shared" si="16"/>
        <v>0</v>
      </c>
      <c r="CF7" s="21">
        <f t="shared" si="16"/>
        <v>0</v>
      </c>
      <c r="CG7" s="21">
        <f t="shared" si="16"/>
        <v>0</v>
      </c>
      <c r="CH7" s="21">
        <f t="shared" si="16"/>
        <v>0</v>
      </c>
      <c r="CI7" s="21">
        <f t="shared" si="16"/>
        <v>0</v>
      </c>
      <c r="CJ7" s="21">
        <f t="shared" si="16"/>
        <v>0</v>
      </c>
      <c r="CK7" s="21">
        <f t="shared" si="16"/>
        <v>0</v>
      </c>
      <c r="CL7" s="21">
        <f t="shared" si="16"/>
        <v>0</v>
      </c>
      <c r="CM7" s="21">
        <f t="shared" si="16"/>
        <v>0</v>
      </c>
      <c r="CN7" s="21">
        <f t="shared" si="16"/>
        <v>0</v>
      </c>
      <c r="CO7" s="21">
        <f t="shared" si="16"/>
        <v>0</v>
      </c>
      <c r="CP7" s="21">
        <f t="shared" si="16"/>
        <v>0</v>
      </c>
      <c r="CQ7" s="21">
        <f t="shared" si="16"/>
        <v>0</v>
      </c>
      <c r="CR7" s="21">
        <f t="shared" si="16"/>
        <v>0</v>
      </c>
      <c r="CS7" s="21">
        <f t="shared" si="16"/>
        <v>0</v>
      </c>
      <c r="CT7" s="21">
        <f t="shared" si="16"/>
        <v>0</v>
      </c>
      <c r="CU7" s="21">
        <f t="shared" si="16"/>
        <v>0</v>
      </c>
      <c r="CV7" s="21">
        <f t="shared" si="16"/>
        <v>0</v>
      </c>
      <c r="CW7" s="21">
        <f t="shared" si="16"/>
        <v>0</v>
      </c>
      <c r="CX7" s="21">
        <f t="shared" si="16"/>
        <v>0</v>
      </c>
      <c r="CY7" s="21">
        <f t="shared" si="16"/>
        <v>0</v>
      </c>
      <c r="CZ7" s="21">
        <f t="shared" si="16"/>
        <v>0</v>
      </c>
      <c r="DA7" s="21">
        <f t="shared" si="16"/>
        <v>0</v>
      </c>
      <c r="DB7" s="21">
        <f t="shared" si="16"/>
        <v>0</v>
      </c>
      <c r="DC7" s="21">
        <f t="shared" si="16"/>
        <v>0</v>
      </c>
      <c r="DD7" s="21">
        <f t="shared" si="16"/>
        <v>0</v>
      </c>
      <c r="DE7" s="21">
        <f t="shared" si="16"/>
        <v>0</v>
      </c>
      <c r="DF7" s="21">
        <f t="shared" si="16"/>
        <v>0</v>
      </c>
      <c r="DG7" s="21">
        <f t="shared" si="16"/>
        <v>0</v>
      </c>
      <c r="DH7" s="21">
        <f t="shared" si="16"/>
        <v>0</v>
      </c>
      <c r="DI7" s="21">
        <f t="shared" si="16"/>
        <v>0</v>
      </c>
      <c r="DJ7" s="21">
        <f t="shared" si="16"/>
        <v>0</v>
      </c>
      <c r="DK7" s="21">
        <f t="shared" si="16"/>
        <v>0</v>
      </c>
      <c r="DL7" s="21">
        <f t="shared" si="16"/>
        <v>0</v>
      </c>
      <c r="DM7" s="21">
        <f t="shared" si="16"/>
        <v>0</v>
      </c>
      <c r="DN7" s="21">
        <f t="shared" si="16"/>
        <v>0</v>
      </c>
      <c r="DO7" s="21">
        <f t="shared" si="16"/>
        <v>0</v>
      </c>
      <c r="DP7" s="21">
        <f t="shared" si="16"/>
        <v>0</v>
      </c>
      <c r="DQ7" s="21">
        <f t="shared" si="16"/>
        <v>0</v>
      </c>
      <c r="DR7" s="21">
        <f t="shared" si="16"/>
        <v>0</v>
      </c>
      <c r="DS7" s="21">
        <f t="shared" si="16"/>
        <v>0</v>
      </c>
      <c r="DT7" s="21">
        <f t="shared" si="16"/>
        <v>0</v>
      </c>
      <c r="DU7" s="21">
        <f t="shared" si="16"/>
        <v>0</v>
      </c>
      <c r="DV7" s="21">
        <f t="shared" si="16"/>
        <v>0</v>
      </c>
      <c r="DW7" s="21">
        <f t="shared" si="16"/>
        <v>0</v>
      </c>
      <c r="DX7" s="21">
        <f t="shared" ref="DX7:EL9" si="17">IF(AND($G7=DX$4,$H7=DX$4),$E7,IF($G7&gt;DX$4,0,IF($H7&lt;DX$4,0,$E7/($H7-$G7+1))))</f>
        <v>0</v>
      </c>
      <c r="DY7" s="21">
        <f t="shared" si="17"/>
        <v>0</v>
      </c>
      <c r="DZ7" s="21">
        <f t="shared" si="17"/>
        <v>0</v>
      </c>
      <c r="EA7" s="21">
        <f t="shared" si="17"/>
        <v>0</v>
      </c>
      <c r="EB7" s="21">
        <f t="shared" si="17"/>
        <v>0</v>
      </c>
      <c r="EC7" s="21">
        <f t="shared" si="17"/>
        <v>0</v>
      </c>
      <c r="ED7" s="21">
        <f t="shared" si="17"/>
        <v>0</v>
      </c>
      <c r="EE7" s="21">
        <f t="shared" si="17"/>
        <v>0</v>
      </c>
      <c r="EF7" s="21">
        <f t="shared" si="17"/>
        <v>0</v>
      </c>
      <c r="EG7" s="21">
        <f t="shared" si="17"/>
        <v>0</v>
      </c>
      <c r="EH7" s="21">
        <f t="shared" si="17"/>
        <v>0</v>
      </c>
      <c r="EI7" s="21">
        <f t="shared" si="17"/>
        <v>0</v>
      </c>
      <c r="EJ7" s="21">
        <f t="shared" si="17"/>
        <v>0</v>
      </c>
      <c r="EK7" s="21">
        <f t="shared" si="17"/>
        <v>0</v>
      </c>
      <c r="EL7" s="21">
        <f t="shared" si="17"/>
        <v>0</v>
      </c>
    </row>
    <row r="8" spans="2:142" x14ac:dyDescent="0.45">
      <c r="B8" s="1" t="s">
        <v>411</v>
      </c>
      <c r="D8" s="171"/>
      <c r="E8" s="9">
        <v>2500</v>
      </c>
      <c r="F8" s="9"/>
      <c r="G8" s="13">
        <v>0</v>
      </c>
      <c r="H8" s="13">
        <v>0</v>
      </c>
      <c r="I8" s="21"/>
      <c r="J8" s="21">
        <f t="shared" ref="J8:J11" si="18">IF(AND($G8=J$4,$H8=J$4),$E8,IF($G8&gt;J$4,0,IF($H8&lt;J$4,0,$E8/($H8-$G8+1))))</f>
        <v>2500</v>
      </c>
      <c r="K8" s="21">
        <f t="shared" si="13"/>
        <v>0</v>
      </c>
      <c r="L8" s="21">
        <f t="shared" si="13"/>
        <v>0</v>
      </c>
      <c r="M8" s="21">
        <f t="shared" si="13"/>
        <v>0</v>
      </c>
      <c r="N8" s="21">
        <f t="shared" si="13"/>
        <v>0</v>
      </c>
      <c r="O8" s="21">
        <f t="shared" si="14"/>
        <v>0</v>
      </c>
      <c r="P8" s="21">
        <f t="shared" si="14"/>
        <v>0</v>
      </c>
      <c r="Q8" s="21">
        <f t="shared" si="14"/>
        <v>0</v>
      </c>
      <c r="R8" s="21">
        <f t="shared" si="14"/>
        <v>0</v>
      </c>
      <c r="S8" s="21">
        <f t="shared" si="14"/>
        <v>0</v>
      </c>
      <c r="T8" s="21">
        <f t="shared" si="14"/>
        <v>0</v>
      </c>
      <c r="U8" s="21">
        <f t="shared" si="14"/>
        <v>0</v>
      </c>
      <c r="V8" s="21">
        <f t="shared" si="14"/>
        <v>0</v>
      </c>
      <c r="W8" s="21">
        <f t="shared" si="14"/>
        <v>0</v>
      </c>
      <c r="X8" s="21">
        <f t="shared" si="14"/>
        <v>0</v>
      </c>
      <c r="Y8" s="21">
        <f t="shared" si="14"/>
        <v>0</v>
      </c>
      <c r="Z8" s="21">
        <f t="shared" si="14"/>
        <v>0</v>
      </c>
      <c r="AA8" s="21">
        <f t="shared" si="14"/>
        <v>0</v>
      </c>
      <c r="AB8" s="21">
        <f t="shared" si="14"/>
        <v>0</v>
      </c>
      <c r="AC8" s="21">
        <f t="shared" si="14"/>
        <v>0</v>
      </c>
      <c r="AD8" s="21">
        <f t="shared" si="14"/>
        <v>0</v>
      </c>
      <c r="AE8" s="21">
        <f t="shared" si="14"/>
        <v>0</v>
      </c>
      <c r="AF8" s="21">
        <f t="shared" si="14"/>
        <v>0</v>
      </c>
      <c r="AG8" s="21">
        <f t="shared" si="14"/>
        <v>0</v>
      </c>
      <c r="AH8" s="21">
        <f t="shared" si="14"/>
        <v>0</v>
      </c>
      <c r="AI8" s="21">
        <f t="shared" si="14"/>
        <v>0</v>
      </c>
      <c r="AJ8" s="21">
        <f t="shared" si="14"/>
        <v>0</v>
      </c>
      <c r="AK8" s="21">
        <f t="shared" si="14"/>
        <v>0</v>
      </c>
      <c r="AL8" s="21">
        <f t="shared" si="14"/>
        <v>0</v>
      </c>
      <c r="AM8" s="21">
        <f t="shared" si="14"/>
        <v>0</v>
      </c>
      <c r="AN8" s="21">
        <f t="shared" si="14"/>
        <v>0</v>
      </c>
      <c r="AO8" s="21">
        <f t="shared" si="15"/>
        <v>0</v>
      </c>
      <c r="AP8" s="21">
        <f t="shared" si="15"/>
        <v>0</v>
      </c>
      <c r="AQ8" s="21">
        <f t="shared" si="15"/>
        <v>0</v>
      </c>
      <c r="AR8" s="21">
        <f t="shared" si="15"/>
        <v>0</v>
      </c>
      <c r="AS8" s="21">
        <f t="shared" si="15"/>
        <v>0</v>
      </c>
      <c r="AT8" s="21">
        <f t="shared" si="15"/>
        <v>0</v>
      </c>
      <c r="AU8" s="21">
        <f t="shared" si="15"/>
        <v>0</v>
      </c>
      <c r="AV8" s="21">
        <f t="shared" si="15"/>
        <v>0</v>
      </c>
      <c r="AW8" s="21">
        <f t="shared" si="15"/>
        <v>0</v>
      </c>
      <c r="AX8" s="21">
        <f t="shared" si="15"/>
        <v>0</v>
      </c>
      <c r="AY8" s="21">
        <f t="shared" si="15"/>
        <v>0</v>
      </c>
      <c r="AZ8" s="21">
        <f t="shared" si="15"/>
        <v>0</v>
      </c>
      <c r="BA8" s="21">
        <f t="shared" si="15"/>
        <v>0</v>
      </c>
      <c r="BB8" s="21">
        <f t="shared" si="15"/>
        <v>0</v>
      </c>
      <c r="BC8" s="21">
        <f t="shared" si="15"/>
        <v>0</v>
      </c>
      <c r="BD8" s="21">
        <f t="shared" si="15"/>
        <v>0</v>
      </c>
      <c r="BE8" s="21">
        <f t="shared" si="15"/>
        <v>0</v>
      </c>
      <c r="BF8" s="21">
        <f t="shared" si="15"/>
        <v>0</v>
      </c>
      <c r="BG8" s="21">
        <f t="shared" si="15"/>
        <v>0</v>
      </c>
      <c r="BH8" s="21">
        <f t="shared" si="15"/>
        <v>0</v>
      </c>
      <c r="BI8" s="21">
        <f t="shared" si="15"/>
        <v>0</v>
      </c>
      <c r="BJ8" s="21">
        <f t="shared" si="15"/>
        <v>0</v>
      </c>
      <c r="BK8" s="21">
        <f t="shared" si="15"/>
        <v>0</v>
      </c>
      <c r="BL8" s="21">
        <f t="shared" si="15"/>
        <v>0</v>
      </c>
      <c r="BM8" s="21">
        <f t="shared" si="15"/>
        <v>0</v>
      </c>
      <c r="BN8" s="21">
        <f t="shared" si="15"/>
        <v>0</v>
      </c>
      <c r="BO8" s="21">
        <f t="shared" si="15"/>
        <v>0</v>
      </c>
      <c r="BP8" s="21">
        <f t="shared" si="15"/>
        <v>0</v>
      </c>
      <c r="BQ8" s="21">
        <f t="shared" si="15"/>
        <v>0</v>
      </c>
      <c r="BR8" s="21">
        <f t="shared" si="15"/>
        <v>0</v>
      </c>
      <c r="BS8" s="21">
        <f t="shared" si="15"/>
        <v>0</v>
      </c>
      <c r="BT8" s="21">
        <f t="shared" si="15"/>
        <v>0</v>
      </c>
      <c r="BU8" s="21">
        <f t="shared" si="15"/>
        <v>0</v>
      </c>
      <c r="BV8" s="21">
        <f t="shared" si="15"/>
        <v>0</v>
      </c>
      <c r="BW8" s="21">
        <f t="shared" si="15"/>
        <v>0</v>
      </c>
      <c r="BX8" s="21">
        <f t="shared" si="16"/>
        <v>0</v>
      </c>
      <c r="BY8" s="21">
        <f t="shared" si="16"/>
        <v>0</v>
      </c>
      <c r="BZ8" s="21">
        <f t="shared" si="16"/>
        <v>0</v>
      </c>
      <c r="CA8" s="21">
        <f t="shared" si="16"/>
        <v>0</v>
      </c>
      <c r="CB8" s="21">
        <f t="shared" si="16"/>
        <v>0</v>
      </c>
      <c r="CC8" s="21">
        <f t="shared" si="16"/>
        <v>0</v>
      </c>
      <c r="CD8" s="21">
        <f t="shared" si="16"/>
        <v>0</v>
      </c>
      <c r="CE8" s="21">
        <f t="shared" si="16"/>
        <v>0</v>
      </c>
      <c r="CF8" s="21">
        <f t="shared" si="16"/>
        <v>0</v>
      </c>
      <c r="CG8" s="21">
        <f t="shared" si="16"/>
        <v>0</v>
      </c>
      <c r="CH8" s="21">
        <f t="shared" si="16"/>
        <v>0</v>
      </c>
      <c r="CI8" s="21">
        <f t="shared" si="16"/>
        <v>0</v>
      </c>
      <c r="CJ8" s="21">
        <f t="shared" si="16"/>
        <v>0</v>
      </c>
      <c r="CK8" s="21">
        <f t="shared" si="16"/>
        <v>0</v>
      </c>
      <c r="CL8" s="21">
        <f t="shared" si="16"/>
        <v>0</v>
      </c>
      <c r="CM8" s="21">
        <f t="shared" si="16"/>
        <v>0</v>
      </c>
      <c r="CN8" s="21">
        <f t="shared" si="16"/>
        <v>0</v>
      </c>
      <c r="CO8" s="21">
        <f t="shared" si="16"/>
        <v>0</v>
      </c>
      <c r="CP8" s="21">
        <f t="shared" si="16"/>
        <v>0</v>
      </c>
      <c r="CQ8" s="21">
        <f t="shared" si="16"/>
        <v>0</v>
      </c>
      <c r="CR8" s="21">
        <f t="shared" si="16"/>
        <v>0</v>
      </c>
      <c r="CS8" s="21">
        <f t="shared" si="16"/>
        <v>0</v>
      </c>
      <c r="CT8" s="21">
        <f t="shared" si="16"/>
        <v>0</v>
      </c>
      <c r="CU8" s="21">
        <f t="shared" si="16"/>
        <v>0</v>
      </c>
      <c r="CV8" s="21">
        <f t="shared" si="16"/>
        <v>0</v>
      </c>
      <c r="CW8" s="21">
        <f t="shared" si="16"/>
        <v>0</v>
      </c>
      <c r="CX8" s="21">
        <f t="shared" si="16"/>
        <v>0</v>
      </c>
      <c r="CY8" s="21">
        <f t="shared" si="16"/>
        <v>0</v>
      </c>
      <c r="CZ8" s="21">
        <f t="shared" si="16"/>
        <v>0</v>
      </c>
      <c r="DA8" s="21">
        <f t="shared" si="16"/>
        <v>0</v>
      </c>
      <c r="DB8" s="21">
        <f t="shared" si="16"/>
        <v>0</v>
      </c>
      <c r="DC8" s="21">
        <f t="shared" si="16"/>
        <v>0</v>
      </c>
      <c r="DD8" s="21">
        <f t="shared" si="16"/>
        <v>0</v>
      </c>
      <c r="DE8" s="21">
        <f t="shared" si="16"/>
        <v>0</v>
      </c>
      <c r="DF8" s="21">
        <f t="shared" si="16"/>
        <v>0</v>
      </c>
      <c r="DG8" s="21">
        <f t="shared" si="16"/>
        <v>0</v>
      </c>
      <c r="DH8" s="21">
        <f t="shared" si="16"/>
        <v>0</v>
      </c>
      <c r="DI8" s="21">
        <f t="shared" si="16"/>
        <v>0</v>
      </c>
      <c r="DJ8" s="21">
        <f t="shared" si="16"/>
        <v>0</v>
      </c>
      <c r="DK8" s="21">
        <f t="shared" si="16"/>
        <v>0</v>
      </c>
      <c r="DL8" s="21">
        <f t="shared" si="16"/>
        <v>0</v>
      </c>
      <c r="DM8" s="21">
        <f t="shared" si="16"/>
        <v>0</v>
      </c>
      <c r="DN8" s="21">
        <f t="shared" si="16"/>
        <v>0</v>
      </c>
      <c r="DO8" s="21">
        <f t="shared" si="16"/>
        <v>0</v>
      </c>
      <c r="DP8" s="21">
        <f t="shared" si="16"/>
        <v>0</v>
      </c>
      <c r="DQ8" s="21">
        <f t="shared" si="16"/>
        <v>0</v>
      </c>
      <c r="DR8" s="21">
        <f t="shared" si="16"/>
        <v>0</v>
      </c>
      <c r="DS8" s="21">
        <f t="shared" ref="DS8:DW9" si="19">IF(AND($G8=DS$4,$H8=DS$4),$E8,IF($G8&gt;DS$4,0,IF($H8&lt;DS$4,0,$E8/($H8-$G8+1))))</f>
        <v>0</v>
      </c>
      <c r="DT8" s="21">
        <f t="shared" si="19"/>
        <v>0</v>
      </c>
      <c r="DU8" s="21">
        <f t="shared" si="19"/>
        <v>0</v>
      </c>
      <c r="DV8" s="21">
        <f t="shared" si="19"/>
        <v>0</v>
      </c>
      <c r="DW8" s="21">
        <f t="shared" si="19"/>
        <v>0</v>
      </c>
      <c r="DX8" s="21">
        <f t="shared" si="17"/>
        <v>0</v>
      </c>
      <c r="DY8" s="21">
        <f t="shared" si="17"/>
        <v>0</v>
      </c>
      <c r="DZ8" s="21">
        <f t="shared" si="17"/>
        <v>0</v>
      </c>
      <c r="EA8" s="21">
        <f t="shared" si="17"/>
        <v>0</v>
      </c>
      <c r="EB8" s="21">
        <f t="shared" si="17"/>
        <v>0</v>
      </c>
      <c r="EC8" s="21">
        <f t="shared" si="17"/>
        <v>0</v>
      </c>
      <c r="ED8" s="21">
        <f t="shared" si="17"/>
        <v>0</v>
      </c>
      <c r="EE8" s="21">
        <f t="shared" si="17"/>
        <v>0</v>
      </c>
      <c r="EF8" s="21">
        <f t="shared" si="17"/>
        <v>0</v>
      </c>
      <c r="EG8" s="21">
        <f t="shared" si="17"/>
        <v>0</v>
      </c>
      <c r="EH8" s="21">
        <f t="shared" si="17"/>
        <v>0</v>
      </c>
      <c r="EI8" s="21">
        <f t="shared" si="17"/>
        <v>0</v>
      </c>
      <c r="EJ8" s="21">
        <f t="shared" si="17"/>
        <v>0</v>
      </c>
      <c r="EK8" s="21">
        <f t="shared" si="17"/>
        <v>0</v>
      </c>
      <c r="EL8" s="21">
        <f t="shared" si="17"/>
        <v>0</v>
      </c>
    </row>
    <row r="9" spans="2:142" x14ac:dyDescent="0.45">
      <c r="B9" s="1" t="s">
        <v>410</v>
      </c>
      <c r="D9" s="171"/>
      <c r="E9" s="9">
        <v>2500</v>
      </c>
      <c r="F9" s="9"/>
      <c r="G9" s="13">
        <v>0</v>
      </c>
      <c r="H9" s="13">
        <v>0</v>
      </c>
      <c r="I9" s="21"/>
      <c r="J9" s="21">
        <f t="shared" si="18"/>
        <v>2500</v>
      </c>
      <c r="K9" s="21">
        <f t="shared" si="13"/>
        <v>0</v>
      </c>
      <c r="L9" s="21">
        <f t="shared" si="13"/>
        <v>0</v>
      </c>
      <c r="M9" s="21">
        <f t="shared" si="13"/>
        <v>0</v>
      </c>
      <c r="N9" s="21">
        <f t="shared" si="13"/>
        <v>0</v>
      </c>
      <c r="O9" s="21">
        <f t="shared" si="14"/>
        <v>0</v>
      </c>
      <c r="P9" s="21">
        <f t="shared" si="14"/>
        <v>0</v>
      </c>
      <c r="Q9" s="21">
        <f t="shared" si="14"/>
        <v>0</v>
      </c>
      <c r="R9" s="21">
        <f t="shared" si="14"/>
        <v>0</v>
      </c>
      <c r="S9" s="21">
        <f t="shared" si="14"/>
        <v>0</v>
      </c>
      <c r="T9" s="21">
        <f t="shared" si="14"/>
        <v>0</v>
      </c>
      <c r="U9" s="21">
        <f t="shared" si="14"/>
        <v>0</v>
      </c>
      <c r="V9" s="21">
        <f t="shared" si="14"/>
        <v>0</v>
      </c>
      <c r="W9" s="21">
        <f t="shared" si="14"/>
        <v>0</v>
      </c>
      <c r="X9" s="21">
        <f t="shared" si="14"/>
        <v>0</v>
      </c>
      <c r="Y9" s="21">
        <f t="shared" si="14"/>
        <v>0</v>
      </c>
      <c r="Z9" s="21">
        <f t="shared" si="14"/>
        <v>0</v>
      </c>
      <c r="AA9" s="21">
        <f t="shared" si="14"/>
        <v>0</v>
      </c>
      <c r="AB9" s="21">
        <f t="shared" si="14"/>
        <v>0</v>
      </c>
      <c r="AC9" s="21">
        <f t="shared" si="14"/>
        <v>0</v>
      </c>
      <c r="AD9" s="21">
        <f t="shared" si="14"/>
        <v>0</v>
      </c>
      <c r="AE9" s="21">
        <f t="shared" si="14"/>
        <v>0</v>
      </c>
      <c r="AF9" s="21">
        <f t="shared" si="14"/>
        <v>0</v>
      </c>
      <c r="AG9" s="21">
        <f t="shared" si="14"/>
        <v>0</v>
      </c>
      <c r="AH9" s="21">
        <f t="shared" si="14"/>
        <v>0</v>
      </c>
      <c r="AI9" s="21">
        <f t="shared" si="14"/>
        <v>0</v>
      </c>
      <c r="AJ9" s="21">
        <f t="shared" si="14"/>
        <v>0</v>
      </c>
      <c r="AK9" s="21">
        <f t="shared" si="14"/>
        <v>0</v>
      </c>
      <c r="AL9" s="21">
        <f t="shared" si="14"/>
        <v>0</v>
      </c>
      <c r="AM9" s="21">
        <f t="shared" si="14"/>
        <v>0</v>
      </c>
      <c r="AN9" s="21">
        <f t="shared" si="14"/>
        <v>0</v>
      </c>
      <c r="AO9" s="21">
        <f t="shared" si="15"/>
        <v>0</v>
      </c>
      <c r="AP9" s="21">
        <f t="shared" si="15"/>
        <v>0</v>
      </c>
      <c r="AQ9" s="21">
        <f t="shared" si="15"/>
        <v>0</v>
      </c>
      <c r="AR9" s="21">
        <f t="shared" si="15"/>
        <v>0</v>
      </c>
      <c r="AS9" s="21">
        <f t="shared" si="15"/>
        <v>0</v>
      </c>
      <c r="AT9" s="21">
        <f t="shared" si="15"/>
        <v>0</v>
      </c>
      <c r="AU9" s="21">
        <f t="shared" si="15"/>
        <v>0</v>
      </c>
      <c r="AV9" s="21">
        <f t="shared" si="15"/>
        <v>0</v>
      </c>
      <c r="AW9" s="21">
        <f t="shared" si="15"/>
        <v>0</v>
      </c>
      <c r="AX9" s="21">
        <f t="shared" si="15"/>
        <v>0</v>
      </c>
      <c r="AY9" s="21">
        <f t="shared" si="15"/>
        <v>0</v>
      </c>
      <c r="AZ9" s="21">
        <f t="shared" si="15"/>
        <v>0</v>
      </c>
      <c r="BA9" s="21">
        <f t="shared" si="15"/>
        <v>0</v>
      </c>
      <c r="BB9" s="21">
        <f t="shared" si="15"/>
        <v>0</v>
      </c>
      <c r="BC9" s="21">
        <f t="shared" si="15"/>
        <v>0</v>
      </c>
      <c r="BD9" s="21">
        <f t="shared" si="15"/>
        <v>0</v>
      </c>
      <c r="BE9" s="21">
        <f t="shared" si="15"/>
        <v>0</v>
      </c>
      <c r="BF9" s="21">
        <f t="shared" si="15"/>
        <v>0</v>
      </c>
      <c r="BG9" s="21">
        <f t="shared" si="15"/>
        <v>0</v>
      </c>
      <c r="BH9" s="21">
        <f t="shared" si="15"/>
        <v>0</v>
      </c>
      <c r="BI9" s="21">
        <f t="shared" si="15"/>
        <v>0</v>
      </c>
      <c r="BJ9" s="21">
        <f t="shared" si="15"/>
        <v>0</v>
      </c>
      <c r="BK9" s="21">
        <f t="shared" si="15"/>
        <v>0</v>
      </c>
      <c r="BL9" s="21">
        <f t="shared" si="15"/>
        <v>0</v>
      </c>
      <c r="BM9" s="21">
        <f t="shared" si="15"/>
        <v>0</v>
      </c>
      <c r="BN9" s="21">
        <f t="shared" si="15"/>
        <v>0</v>
      </c>
      <c r="BO9" s="21">
        <f t="shared" si="15"/>
        <v>0</v>
      </c>
      <c r="BP9" s="21">
        <f t="shared" si="15"/>
        <v>0</v>
      </c>
      <c r="BQ9" s="21">
        <f t="shared" si="15"/>
        <v>0</v>
      </c>
      <c r="BR9" s="21">
        <f t="shared" si="15"/>
        <v>0</v>
      </c>
      <c r="BS9" s="21">
        <f t="shared" si="15"/>
        <v>0</v>
      </c>
      <c r="BT9" s="21">
        <f t="shared" si="15"/>
        <v>0</v>
      </c>
      <c r="BU9" s="21">
        <f t="shared" si="15"/>
        <v>0</v>
      </c>
      <c r="BV9" s="21">
        <f t="shared" si="15"/>
        <v>0</v>
      </c>
      <c r="BW9" s="21">
        <f t="shared" si="15"/>
        <v>0</v>
      </c>
      <c r="BX9" s="21">
        <f t="shared" si="16"/>
        <v>0</v>
      </c>
      <c r="BY9" s="21">
        <f t="shared" si="16"/>
        <v>0</v>
      </c>
      <c r="BZ9" s="21">
        <f t="shared" si="16"/>
        <v>0</v>
      </c>
      <c r="CA9" s="21">
        <f t="shared" si="16"/>
        <v>0</v>
      </c>
      <c r="CB9" s="21">
        <f t="shared" si="16"/>
        <v>0</v>
      </c>
      <c r="CC9" s="21">
        <f t="shared" si="16"/>
        <v>0</v>
      </c>
      <c r="CD9" s="21">
        <f t="shared" si="16"/>
        <v>0</v>
      </c>
      <c r="CE9" s="21">
        <f t="shared" si="16"/>
        <v>0</v>
      </c>
      <c r="CF9" s="21">
        <f t="shared" si="16"/>
        <v>0</v>
      </c>
      <c r="CG9" s="21">
        <f t="shared" si="16"/>
        <v>0</v>
      </c>
      <c r="CH9" s="21">
        <f t="shared" si="16"/>
        <v>0</v>
      </c>
      <c r="CI9" s="21">
        <f t="shared" si="16"/>
        <v>0</v>
      </c>
      <c r="CJ9" s="21">
        <f t="shared" si="16"/>
        <v>0</v>
      </c>
      <c r="CK9" s="21">
        <f t="shared" si="16"/>
        <v>0</v>
      </c>
      <c r="CL9" s="21">
        <f t="shared" si="16"/>
        <v>0</v>
      </c>
      <c r="CM9" s="21">
        <f t="shared" si="16"/>
        <v>0</v>
      </c>
      <c r="CN9" s="21">
        <f t="shared" si="16"/>
        <v>0</v>
      </c>
      <c r="CO9" s="21">
        <f t="shared" si="16"/>
        <v>0</v>
      </c>
      <c r="CP9" s="21">
        <f t="shared" si="16"/>
        <v>0</v>
      </c>
      <c r="CQ9" s="21">
        <f t="shared" si="16"/>
        <v>0</v>
      </c>
      <c r="CR9" s="21">
        <f t="shared" si="16"/>
        <v>0</v>
      </c>
      <c r="CS9" s="21">
        <f t="shared" si="16"/>
        <v>0</v>
      </c>
      <c r="CT9" s="21">
        <f t="shared" si="16"/>
        <v>0</v>
      </c>
      <c r="CU9" s="21">
        <f t="shared" si="16"/>
        <v>0</v>
      </c>
      <c r="CV9" s="21">
        <f t="shared" si="16"/>
        <v>0</v>
      </c>
      <c r="CW9" s="21">
        <f t="shared" si="16"/>
        <v>0</v>
      </c>
      <c r="CX9" s="21">
        <f t="shared" si="16"/>
        <v>0</v>
      </c>
      <c r="CY9" s="21">
        <f t="shared" si="16"/>
        <v>0</v>
      </c>
      <c r="CZ9" s="21">
        <f t="shared" si="16"/>
        <v>0</v>
      </c>
      <c r="DA9" s="21">
        <f t="shared" si="16"/>
        <v>0</v>
      </c>
      <c r="DB9" s="21">
        <f t="shared" si="16"/>
        <v>0</v>
      </c>
      <c r="DC9" s="21">
        <f t="shared" si="16"/>
        <v>0</v>
      </c>
      <c r="DD9" s="21">
        <f t="shared" si="16"/>
        <v>0</v>
      </c>
      <c r="DE9" s="21">
        <f t="shared" si="16"/>
        <v>0</v>
      </c>
      <c r="DF9" s="21">
        <f t="shared" si="16"/>
        <v>0</v>
      </c>
      <c r="DG9" s="21">
        <f t="shared" si="16"/>
        <v>0</v>
      </c>
      <c r="DH9" s="21">
        <f t="shared" si="16"/>
        <v>0</v>
      </c>
      <c r="DI9" s="21">
        <f t="shared" si="16"/>
        <v>0</v>
      </c>
      <c r="DJ9" s="21">
        <f t="shared" si="16"/>
        <v>0</v>
      </c>
      <c r="DK9" s="21">
        <f t="shared" si="16"/>
        <v>0</v>
      </c>
      <c r="DL9" s="21">
        <f t="shared" si="16"/>
        <v>0</v>
      </c>
      <c r="DM9" s="21">
        <f t="shared" si="16"/>
        <v>0</v>
      </c>
      <c r="DN9" s="21">
        <f t="shared" si="16"/>
        <v>0</v>
      </c>
      <c r="DO9" s="21">
        <f t="shared" si="16"/>
        <v>0</v>
      </c>
      <c r="DP9" s="21">
        <f t="shared" si="16"/>
        <v>0</v>
      </c>
      <c r="DQ9" s="21">
        <f t="shared" si="16"/>
        <v>0</v>
      </c>
      <c r="DR9" s="21">
        <f t="shared" si="16"/>
        <v>0</v>
      </c>
      <c r="DS9" s="21">
        <f t="shared" si="19"/>
        <v>0</v>
      </c>
      <c r="DT9" s="21">
        <f t="shared" si="19"/>
        <v>0</v>
      </c>
      <c r="DU9" s="21">
        <f t="shared" si="19"/>
        <v>0</v>
      </c>
      <c r="DV9" s="21">
        <f t="shared" si="19"/>
        <v>0</v>
      </c>
      <c r="DW9" s="21">
        <f t="shared" si="19"/>
        <v>0</v>
      </c>
      <c r="DX9" s="21">
        <f t="shared" si="17"/>
        <v>0</v>
      </c>
      <c r="DY9" s="21">
        <f t="shared" si="17"/>
        <v>0</v>
      </c>
      <c r="DZ9" s="21">
        <f t="shared" si="17"/>
        <v>0</v>
      </c>
      <c r="EA9" s="21">
        <f t="shared" si="17"/>
        <v>0</v>
      </c>
      <c r="EB9" s="21">
        <f t="shared" si="17"/>
        <v>0</v>
      </c>
      <c r="EC9" s="21">
        <f t="shared" si="17"/>
        <v>0</v>
      </c>
      <c r="ED9" s="21">
        <f t="shared" si="17"/>
        <v>0</v>
      </c>
      <c r="EE9" s="21">
        <f t="shared" si="17"/>
        <v>0</v>
      </c>
      <c r="EF9" s="21">
        <f t="shared" si="17"/>
        <v>0</v>
      </c>
      <c r="EG9" s="21">
        <f t="shared" si="17"/>
        <v>0</v>
      </c>
      <c r="EH9" s="21">
        <f t="shared" si="17"/>
        <v>0</v>
      </c>
      <c r="EI9" s="21">
        <f t="shared" si="17"/>
        <v>0</v>
      </c>
      <c r="EJ9" s="21">
        <f t="shared" si="17"/>
        <v>0</v>
      </c>
      <c r="EK9" s="21">
        <f t="shared" si="17"/>
        <v>0</v>
      </c>
      <c r="EL9" s="21">
        <f t="shared" si="17"/>
        <v>0</v>
      </c>
    </row>
    <row r="10" spans="2:142" x14ac:dyDescent="0.45">
      <c r="B10" s="1" t="s">
        <v>324</v>
      </c>
      <c r="E10" s="9">
        <v>7000</v>
      </c>
      <c r="G10" s="13">
        <v>0</v>
      </c>
      <c r="H10" s="13">
        <v>0</v>
      </c>
      <c r="I10" s="21"/>
      <c r="J10" s="21">
        <f t="shared" si="18"/>
        <v>7000</v>
      </c>
      <c r="K10" s="21">
        <f t="shared" si="13"/>
        <v>0</v>
      </c>
      <c r="L10" s="21">
        <f t="shared" si="13"/>
        <v>0</v>
      </c>
      <c r="M10" s="21">
        <f t="shared" si="13"/>
        <v>0</v>
      </c>
      <c r="N10" s="21">
        <f t="shared" si="13"/>
        <v>0</v>
      </c>
      <c r="O10" s="21">
        <f t="shared" si="13"/>
        <v>0</v>
      </c>
      <c r="P10" s="21">
        <f t="shared" si="13"/>
        <v>0</v>
      </c>
      <c r="Q10" s="21">
        <f t="shared" si="13"/>
        <v>0</v>
      </c>
      <c r="R10" s="21">
        <f t="shared" si="13"/>
        <v>0</v>
      </c>
      <c r="S10" s="21">
        <f t="shared" si="13"/>
        <v>0</v>
      </c>
      <c r="T10" s="21">
        <f t="shared" si="13"/>
        <v>0</v>
      </c>
      <c r="U10" s="21">
        <f t="shared" si="13"/>
        <v>0</v>
      </c>
      <c r="V10" s="21">
        <f t="shared" si="13"/>
        <v>0</v>
      </c>
      <c r="W10" s="21">
        <f t="shared" si="13"/>
        <v>0</v>
      </c>
      <c r="X10" s="21">
        <f t="shared" si="13"/>
        <v>0</v>
      </c>
      <c r="Y10" s="21">
        <f t="shared" si="13"/>
        <v>0</v>
      </c>
      <c r="Z10" s="21">
        <f t="shared" si="13"/>
        <v>0</v>
      </c>
      <c r="AA10" s="21">
        <f t="shared" ref="AA10:AL11" si="20">IF(AND($G10=AA$4,$H10=AA$4),$E10,IF($G10&gt;AA$4,0,IF($H10&lt;AA$4,0,$E10/($H10-$G10+1))))</f>
        <v>0</v>
      </c>
      <c r="AB10" s="21">
        <f t="shared" si="20"/>
        <v>0</v>
      </c>
      <c r="AC10" s="21">
        <f t="shared" si="20"/>
        <v>0</v>
      </c>
      <c r="AD10" s="21">
        <f t="shared" si="20"/>
        <v>0</v>
      </c>
      <c r="AE10" s="21">
        <f t="shared" si="20"/>
        <v>0</v>
      </c>
      <c r="AF10" s="21">
        <f t="shared" si="20"/>
        <v>0</v>
      </c>
      <c r="AG10" s="21">
        <f t="shared" si="20"/>
        <v>0</v>
      </c>
      <c r="AH10" s="21">
        <f t="shared" si="20"/>
        <v>0</v>
      </c>
      <c r="AI10" s="21">
        <f t="shared" si="20"/>
        <v>0</v>
      </c>
      <c r="AJ10" s="21">
        <f t="shared" si="20"/>
        <v>0</v>
      </c>
      <c r="AK10" s="21">
        <f t="shared" si="20"/>
        <v>0</v>
      </c>
      <c r="AL10" s="21">
        <f t="shared" si="20"/>
        <v>0</v>
      </c>
      <c r="AM10" s="21">
        <f t="shared" ref="AM10:DB11" si="21">IF(AND($G10=AM$4,$H10=AM$4),$E10,IF($G10&gt;AM$4,0,IF($H10&lt;AM$4,0,$E10/($H10-$G10+1))))</f>
        <v>0</v>
      </c>
      <c r="AN10" s="21">
        <f t="shared" si="21"/>
        <v>0</v>
      </c>
      <c r="AO10" s="21">
        <f t="shared" si="21"/>
        <v>0</v>
      </c>
      <c r="AP10" s="21">
        <f t="shared" si="21"/>
        <v>0</v>
      </c>
      <c r="AQ10" s="21">
        <f t="shared" si="21"/>
        <v>0</v>
      </c>
      <c r="AR10" s="21">
        <f t="shared" si="21"/>
        <v>0</v>
      </c>
      <c r="AS10" s="21">
        <f t="shared" si="21"/>
        <v>0</v>
      </c>
      <c r="AT10" s="21">
        <f t="shared" si="21"/>
        <v>0</v>
      </c>
      <c r="AU10" s="21">
        <f t="shared" si="21"/>
        <v>0</v>
      </c>
      <c r="AV10" s="21">
        <f t="shared" si="21"/>
        <v>0</v>
      </c>
      <c r="AW10" s="21">
        <f t="shared" si="21"/>
        <v>0</v>
      </c>
      <c r="AX10" s="21">
        <f t="shared" si="21"/>
        <v>0</v>
      </c>
      <c r="AY10" s="21">
        <f t="shared" si="21"/>
        <v>0</v>
      </c>
      <c r="AZ10" s="21">
        <f t="shared" si="21"/>
        <v>0</v>
      </c>
      <c r="BA10" s="21">
        <f t="shared" si="21"/>
        <v>0</v>
      </c>
      <c r="BB10" s="21">
        <f t="shared" si="21"/>
        <v>0</v>
      </c>
      <c r="BC10" s="21">
        <f t="shared" si="21"/>
        <v>0</v>
      </c>
      <c r="BD10" s="21">
        <f t="shared" si="21"/>
        <v>0</v>
      </c>
      <c r="BE10" s="21">
        <f t="shared" si="21"/>
        <v>0</v>
      </c>
      <c r="BF10" s="21">
        <f t="shared" si="21"/>
        <v>0</v>
      </c>
      <c r="BG10" s="21">
        <f t="shared" si="21"/>
        <v>0</v>
      </c>
      <c r="BH10" s="21">
        <f t="shared" si="21"/>
        <v>0</v>
      </c>
      <c r="BI10" s="21">
        <f t="shared" si="21"/>
        <v>0</v>
      </c>
      <c r="BJ10" s="21">
        <f t="shared" si="21"/>
        <v>0</v>
      </c>
      <c r="BK10" s="21">
        <f t="shared" si="21"/>
        <v>0</v>
      </c>
      <c r="BL10" s="21">
        <f t="shared" si="21"/>
        <v>0</v>
      </c>
      <c r="BM10" s="21">
        <f t="shared" si="21"/>
        <v>0</v>
      </c>
      <c r="BN10" s="21">
        <f t="shared" si="21"/>
        <v>0</v>
      </c>
      <c r="BO10" s="21">
        <f t="shared" si="21"/>
        <v>0</v>
      </c>
      <c r="BP10" s="21">
        <f t="shared" si="21"/>
        <v>0</v>
      </c>
      <c r="BQ10" s="21">
        <f t="shared" si="21"/>
        <v>0</v>
      </c>
      <c r="BR10" s="21">
        <f t="shared" si="21"/>
        <v>0</v>
      </c>
      <c r="BS10" s="21">
        <f t="shared" si="21"/>
        <v>0</v>
      </c>
      <c r="BT10" s="21">
        <f t="shared" si="21"/>
        <v>0</v>
      </c>
      <c r="BU10" s="21">
        <f t="shared" si="21"/>
        <v>0</v>
      </c>
      <c r="BV10" s="21">
        <f t="shared" si="21"/>
        <v>0</v>
      </c>
      <c r="BW10" s="21">
        <f t="shared" si="21"/>
        <v>0</v>
      </c>
      <c r="BX10" s="21">
        <f t="shared" si="21"/>
        <v>0</v>
      </c>
      <c r="BY10" s="21">
        <f t="shared" si="21"/>
        <v>0</v>
      </c>
      <c r="BZ10" s="21">
        <f t="shared" si="21"/>
        <v>0</v>
      </c>
      <c r="CA10" s="21">
        <f t="shared" si="21"/>
        <v>0</v>
      </c>
      <c r="CB10" s="21">
        <f t="shared" si="21"/>
        <v>0</v>
      </c>
      <c r="CC10" s="21">
        <f t="shared" si="21"/>
        <v>0</v>
      </c>
      <c r="CD10" s="21">
        <f t="shared" si="21"/>
        <v>0</v>
      </c>
      <c r="CE10" s="21">
        <f t="shared" si="21"/>
        <v>0</v>
      </c>
      <c r="CF10" s="21">
        <f t="shared" si="21"/>
        <v>0</v>
      </c>
      <c r="CG10" s="21">
        <f t="shared" si="21"/>
        <v>0</v>
      </c>
      <c r="CH10" s="21">
        <f t="shared" si="21"/>
        <v>0</v>
      </c>
      <c r="CI10" s="21">
        <f t="shared" si="21"/>
        <v>0</v>
      </c>
      <c r="CJ10" s="21">
        <f t="shared" si="21"/>
        <v>0</v>
      </c>
      <c r="CK10" s="21">
        <f t="shared" si="21"/>
        <v>0</v>
      </c>
      <c r="CL10" s="21">
        <f t="shared" si="21"/>
        <v>0</v>
      </c>
      <c r="CM10" s="21">
        <f t="shared" si="21"/>
        <v>0</v>
      </c>
      <c r="CN10" s="21">
        <f t="shared" si="21"/>
        <v>0</v>
      </c>
      <c r="CO10" s="21">
        <f t="shared" si="21"/>
        <v>0</v>
      </c>
      <c r="CP10" s="21">
        <f t="shared" si="21"/>
        <v>0</v>
      </c>
      <c r="CQ10" s="21">
        <f t="shared" si="21"/>
        <v>0</v>
      </c>
      <c r="CR10" s="21">
        <f t="shared" si="21"/>
        <v>0</v>
      </c>
      <c r="CS10" s="21">
        <f t="shared" si="21"/>
        <v>0</v>
      </c>
      <c r="CT10" s="21">
        <f t="shared" si="21"/>
        <v>0</v>
      </c>
      <c r="CU10" s="21">
        <f t="shared" si="21"/>
        <v>0</v>
      </c>
      <c r="CV10" s="21">
        <f t="shared" si="21"/>
        <v>0</v>
      </c>
      <c r="CW10" s="21">
        <f t="shared" si="21"/>
        <v>0</v>
      </c>
      <c r="CX10" s="21">
        <f t="shared" si="21"/>
        <v>0</v>
      </c>
      <c r="CY10" s="21">
        <f t="shared" si="21"/>
        <v>0</v>
      </c>
      <c r="CZ10" s="21">
        <f t="shared" si="21"/>
        <v>0</v>
      </c>
      <c r="DA10" s="21">
        <f t="shared" si="21"/>
        <v>0</v>
      </c>
      <c r="DB10" s="21">
        <f t="shared" si="21"/>
        <v>0</v>
      </c>
      <c r="DC10" s="21">
        <f t="shared" ref="DC10:DR11" si="22">IF(AND($G10=DC$4,$H10=DC$4),$E10,IF($G10&gt;DC$4,0,IF($H10&lt;DC$4,0,$E10/($H10-$G10+1))))</f>
        <v>0</v>
      </c>
      <c r="DD10" s="21">
        <f t="shared" si="22"/>
        <v>0</v>
      </c>
      <c r="DE10" s="21">
        <f t="shared" si="22"/>
        <v>0</v>
      </c>
      <c r="DF10" s="21">
        <f t="shared" si="22"/>
        <v>0</v>
      </c>
      <c r="DG10" s="21">
        <f t="shared" si="22"/>
        <v>0</v>
      </c>
      <c r="DH10" s="21">
        <f t="shared" si="22"/>
        <v>0</v>
      </c>
      <c r="DI10" s="21">
        <f t="shared" si="22"/>
        <v>0</v>
      </c>
      <c r="DJ10" s="21">
        <f t="shared" si="22"/>
        <v>0</v>
      </c>
      <c r="DK10" s="21">
        <f t="shared" si="22"/>
        <v>0</v>
      </c>
      <c r="DL10" s="21">
        <f t="shared" si="22"/>
        <v>0</v>
      </c>
      <c r="DM10" s="21">
        <f t="shared" si="22"/>
        <v>0</v>
      </c>
      <c r="DN10" s="21">
        <f t="shared" si="22"/>
        <v>0</v>
      </c>
      <c r="DO10" s="21">
        <f t="shared" si="22"/>
        <v>0</v>
      </c>
      <c r="DP10" s="21">
        <f t="shared" si="22"/>
        <v>0</v>
      </c>
      <c r="DQ10" s="21">
        <f t="shared" si="22"/>
        <v>0</v>
      </c>
      <c r="DR10" s="21">
        <f t="shared" si="22"/>
        <v>0</v>
      </c>
      <c r="DS10" s="21">
        <f t="shared" ref="DS10:EL11" si="23">IF(AND($G10=DS$4,$H10=DS$4),$E10,IF($G10&gt;DS$4,0,IF($H10&lt;DS$4,0,$E10/($H10-$G10+1))))</f>
        <v>0</v>
      </c>
      <c r="DT10" s="21">
        <f t="shared" si="23"/>
        <v>0</v>
      </c>
      <c r="DU10" s="21">
        <f t="shared" si="23"/>
        <v>0</v>
      </c>
      <c r="DV10" s="21">
        <f t="shared" si="23"/>
        <v>0</v>
      </c>
      <c r="DW10" s="21">
        <f t="shared" si="23"/>
        <v>0</v>
      </c>
      <c r="DX10" s="21">
        <f t="shared" si="23"/>
        <v>0</v>
      </c>
      <c r="DY10" s="21">
        <f t="shared" si="23"/>
        <v>0</v>
      </c>
      <c r="DZ10" s="21">
        <f t="shared" si="23"/>
        <v>0</v>
      </c>
      <c r="EA10" s="21">
        <f t="shared" si="23"/>
        <v>0</v>
      </c>
      <c r="EB10" s="21">
        <f t="shared" si="23"/>
        <v>0</v>
      </c>
      <c r="EC10" s="21">
        <f t="shared" si="23"/>
        <v>0</v>
      </c>
      <c r="ED10" s="21">
        <f t="shared" si="23"/>
        <v>0</v>
      </c>
      <c r="EE10" s="21">
        <f t="shared" si="23"/>
        <v>0</v>
      </c>
      <c r="EF10" s="21">
        <f t="shared" si="23"/>
        <v>0</v>
      </c>
      <c r="EG10" s="21">
        <f t="shared" si="23"/>
        <v>0</v>
      </c>
      <c r="EH10" s="21">
        <f t="shared" si="23"/>
        <v>0</v>
      </c>
      <c r="EI10" s="21">
        <f t="shared" si="23"/>
        <v>0</v>
      </c>
      <c r="EJ10" s="21">
        <f t="shared" si="23"/>
        <v>0</v>
      </c>
      <c r="EK10" s="21">
        <f t="shared" si="23"/>
        <v>0</v>
      </c>
      <c r="EL10" s="21">
        <f t="shared" si="23"/>
        <v>0</v>
      </c>
    </row>
    <row r="11" spans="2:142" x14ac:dyDescent="0.45">
      <c r="B11" s="1" t="s">
        <v>6</v>
      </c>
      <c r="D11" s="14">
        <v>0.05</v>
      </c>
      <c r="E11" s="6">
        <f>+D11*SUM(E5:E10)</f>
        <v>1425</v>
      </c>
      <c r="G11" s="22">
        <f>+H11</f>
        <v>0</v>
      </c>
      <c r="H11" s="22">
        <f>MAX(H5:H10)</f>
        <v>0</v>
      </c>
      <c r="I11" s="21"/>
      <c r="J11" s="21">
        <f t="shared" si="18"/>
        <v>1425</v>
      </c>
      <c r="K11" s="21">
        <f t="shared" si="13"/>
        <v>0</v>
      </c>
      <c r="L11" s="21">
        <f t="shared" si="13"/>
        <v>0</v>
      </c>
      <c r="M11" s="21">
        <f t="shared" si="13"/>
        <v>0</v>
      </c>
      <c r="N11" s="21">
        <f t="shared" si="13"/>
        <v>0</v>
      </c>
      <c r="O11" s="21">
        <f t="shared" si="13"/>
        <v>0</v>
      </c>
      <c r="P11" s="21">
        <f t="shared" si="13"/>
        <v>0</v>
      </c>
      <c r="Q11" s="21">
        <f t="shared" si="13"/>
        <v>0</v>
      </c>
      <c r="R11" s="21">
        <f t="shared" si="13"/>
        <v>0</v>
      </c>
      <c r="S11" s="21">
        <f t="shared" si="13"/>
        <v>0</v>
      </c>
      <c r="T11" s="21">
        <f t="shared" si="13"/>
        <v>0</v>
      </c>
      <c r="U11" s="21">
        <f t="shared" si="13"/>
        <v>0</v>
      </c>
      <c r="V11" s="21">
        <f t="shared" si="13"/>
        <v>0</v>
      </c>
      <c r="W11" s="21">
        <f t="shared" si="13"/>
        <v>0</v>
      </c>
      <c r="X11" s="21">
        <f t="shared" si="13"/>
        <v>0</v>
      </c>
      <c r="Y11" s="21">
        <f t="shared" si="13"/>
        <v>0</v>
      </c>
      <c r="Z11" s="21">
        <f t="shared" si="13"/>
        <v>0</v>
      </c>
      <c r="AA11" s="21">
        <f t="shared" si="20"/>
        <v>0</v>
      </c>
      <c r="AB11" s="21">
        <f t="shared" si="20"/>
        <v>0</v>
      </c>
      <c r="AC11" s="21">
        <f t="shared" si="20"/>
        <v>0</v>
      </c>
      <c r="AD11" s="21">
        <f t="shared" si="20"/>
        <v>0</v>
      </c>
      <c r="AE11" s="21">
        <f t="shared" si="20"/>
        <v>0</v>
      </c>
      <c r="AF11" s="21">
        <f t="shared" si="20"/>
        <v>0</v>
      </c>
      <c r="AG11" s="21">
        <f t="shared" si="20"/>
        <v>0</v>
      </c>
      <c r="AH11" s="21">
        <f t="shared" si="20"/>
        <v>0</v>
      </c>
      <c r="AI11" s="21">
        <f t="shared" si="20"/>
        <v>0</v>
      </c>
      <c r="AJ11" s="21">
        <f t="shared" si="20"/>
        <v>0</v>
      </c>
      <c r="AK11" s="21">
        <f t="shared" si="20"/>
        <v>0</v>
      </c>
      <c r="AL11" s="21">
        <f t="shared" si="20"/>
        <v>0</v>
      </c>
      <c r="AM11" s="21">
        <f t="shared" si="21"/>
        <v>0</v>
      </c>
      <c r="AN11" s="21">
        <f t="shared" si="21"/>
        <v>0</v>
      </c>
      <c r="AO11" s="21">
        <f t="shared" si="21"/>
        <v>0</v>
      </c>
      <c r="AP11" s="21">
        <f t="shared" si="21"/>
        <v>0</v>
      </c>
      <c r="AQ11" s="21">
        <f t="shared" si="21"/>
        <v>0</v>
      </c>
      <c r="AR11" s="21">
        <f t="shared" si="21"/>
        <v>0</v>
      </c>
      <c r="AS11" s="21">
        <f t="shared" si="21"/>
        <v>0</v>
      </c>
      <c r="AT11" s="21">
        <f t="shared" si="21"/>
        <v>0</v>
      </c>
      <c r="AU11" s="21">
        <f t="shared" si="21"/>
        <v>0</v>
      </c>
      <c r="AV11" s="21">
        <f t="shared" si="21"/>
        <v>0</v>
      </c>
      <c r="AW11" s="21">
        <f t="shared" si="21"/>
        <v>0</v>
      </c>
      <c r="AX11" s="21">
        <f t="shared" si="21"/>
        <v>0</v>
      </c>
      <c r="AY11" s="21">
        <f t="shared" si="21"/>
        <v>0</v>
      </c>
      <c r="AZ11" s="21">
        <f t="shared" si="21"/>
        <v>0</v>
      </c>
      <c r="BA11" s="21">
        <f t="shared" si="21"/>
        <v>0</v>
      </c>
      <c r="BB11" s="21">
        <f t="shared" si="21"/>
        <v>0</v>
      </c>
      <c r="BC11" s="21">
        <f t="shared" si="21"/>
        <v>0</v>
      </c>
      <c r="BD11" s="21">
        <f t="shared" si="21"/>
        <v>0</v>
      </c>
      <c r="BE11" s="21">
        <f t="shared" si="21"/>
        <v>0</v>
      </c>
      <c r="BF11" s="21">
        <f t="shared" si="21"/>
        <v>0</v>
      </c>
      <c r="BG11" s="21">
        <f t="shared" si="21"/>
        <v>0</v>
      </c>
      <c r="BH11" s="21">
        <f t="shared" si="21"/>
        <v>0</v>
      </c>
      <c r="BI11" s="21">
        <f t="shared" si="21"/>
        <v>0</v>
      </c>
      <c r="BJ11" s="21">
        <f t="shared" si="21"/>
        <v>0</v>
      </c>
      <c r="BK11" s="21">
        <f t="shared" si="21"/>
        <v>0</v>
      </c>
      <c r="BL11" s="21">
        <f t="shared" si="21"/>
        <v>0</v>
      </c>
      <c r="BM11" s="21">
        <f t="shared" si="21"/>
        <v>0</v>
      </c>
      <c r="BN11" s="21">
        <f t="shared" ref="BN11:DB11" si="24">IF(AND($G11=BN$4,$H11=BN$4),$E11,IF($G11&gt;BN$4,0,IF($H11&lt;BN$4,0,$E11/($H11-$G11+1))))</f>
        <v>0</v>
      </c>
      <c r="BO11" s="21">
        <f t="shared" si="24"/>
        <v>0</v>
      </c>
      <c r="BP11" s="21">
        <f t="shared" si="24"/>
        <v>0</v>
      </c>
      <c r="BQ11" s="21">
        <f t="shared" si="24"/>
        <v>0</v>
      </c>
      <c r="BR11" s="21">
        <f t="shared" si="24"/>
        <v>0</v>
      </c>
      <c r="BS11" s="21">
        <f t="shared" si="24"/>
        <v>0</v>
      </c>
      <c r="BT11" s="21">
        <f t="shared" si="24"/>
        <v>0</v>
      </c>
      <c r="BU11" s="21">
        <f t="shared" si="24"/>
        <v>0</v>
      </c>
      <c r="BV11" s="21">
        <f t="shared" si="24"/>
        <v>0</v>
      </c>
      <c r="BW11" s="21">
        <f t="shared" si="24"/>
        <v>0</v>
      </c>
      <c r="BX11" s="21">
        <f t="shared" si="24"/>
        <v>0</v>
      </c>
      <c r="BY11" s="21">
        <f t="shared" si="24"/>
        <v>0</v>
      </c>
      <c r="BZ11" s="21">
        <f t="shared" si="24"/>
        <v>0</v>
      </c>
      <c r="CA11" s="21">
        <f t="shared" si="24"/>
        <v>0</v>
      </c>
      <c r="CB11" s="21">
        <f t="shared" si="24"/>
        <v>0</v>
      </c>
      <c r="CC11" s="21">
        <f t="shared" si="24"/>
        <v>0</v>
      </c>
      <c r="CD11" s="21">
        <f t="shared" si="24"/>
        <v>0</v>
      </c>
      <c r="CE11" s="21">
        <f t="shared" si="24"/>
        <v>0</v>
      </c>
      <c r="CF11" s="21">
        <f t="shared" si="24"/>
        <v>0</v>
      </c>
      <c r="CG11" s="21">
        <f t="shared" si="24"/>
        <v>0</v>
      </c>
      <c r="CH11" s="21">
        <f t="shared" si="24"/>
        <v>0</v>
      </c>
      <c r="CI11" s="21">
        <f t="shared" si="24"/>
        <v>0</v>
      </c>
      <c r="CJ11" s="21">
        <f t="shared" si="24"/>
        <v>0</v>
      </c>
      <c r="CK11" s="21">
        <f t="shared" si="24"/>
        <v>0</v>
      </c>
      <c r="CL11" s="21">
        <f t="shared" si="24"/>
        <v>0</v>
      </c>
      <c r="CM11" s="21">
        <f t="shared" si="24"/>
        <v>0</v>
      </c>
      <c r="CN11" s="21">
        <f t="shared" si="24"/>
        <v>0</v>
      </c>
      <c r="CO11" s="21">
        <f t="shared" si="24"/>
        <v>0</v>
      </c>
      <c r="CP11" s="21">
        <f t="shared" si="24"/>
        <v>0</v>
      </c>
      <c r="CQ11" s="21">
        <f t="shared" si="24"/>
        <v>0</v>
      </c>
      <c r="CR11" s="21">
        <f t="shared" si="24"/>
        <v>0</v>
      </c>
      <c r="CS11" s="21">
        <f t="shared" si="24"/>
        <v>0</v>
      </c>
      <c r="CT11" s="21">
        <f t="shared" si="24"/>
        <v>0</v>
      </c>
      <c r="CU11" s="21">
        <f t="shared" si="24"/>
        <v>0</v>
      </c>
      <c r="CV11" s="21">
        <f t="shared" si="24"/>
        <v>0</v>
      </c>
      <c r="CW11" s="21">
        <f t="shared" si="24"/>
        <v>0</v>
      </c>
      <c r="CX11" s="21">
        <f t="shared" si="24"/>
        <v>0</v>
      </c>
      <c r="CY11" s="21">
        <f t="shared" si="24"/>
        <v>0</v>
      </c>
      <c r="CZ11" s="21">
        <f t="shared" si="24"/>
        <v>0</v>
      </c>
      <c r="DA11" s="21">
        <f t="shared" si="24"/>
        <v>0</v>
      </c>
      <c r="DB11" s="21">
        <f t="shared" si="24"/>
        <v>0</v>
      </c>
      <c r="DC11" s="21">
        <f t="shared" si="22"/>
        <v>0</v>
      </c>
      <c r="DD11" s="21">
        <f t="shared" si="22"/>
        <v>0</v>
      </c>
      <c r="DE11" s="21">
        <f t="shared" si="22"/>
        <v>0</v>
      </c>
      <c r="DF11" s="21">
        <f t="shared" si="22"/>
        <v>0</v>
      </c>
      <c r="DG11" s="21">
        <f t="shared" si="22"/>
        <v>0</v>
      </c>
      <c r="DH11" s="21">
        <f t="shared" si="22"/>
        <v>0</v>
      </c>
      <c r="DI11" s="21">
        <f t="shared" si="22"/>
        <v>0</v>
      </c>
      <c r="DJ11" s="21">
        <f t="shared" si="22"/>
        <v>0</v>
      </c>
      <c r="DK11" s="21">
        <f t="shared" si="22"/>
        <v>0</v>
      </c>
      <c r="DL11" s="21">
        <f t="shared" si="22"/>
        <v>0</v>
      </c>
      <c r="DM11" s="21">
        <f t="shared" si="22"/>
        <v>0</v>
      </c>
      <c r="DN11" s="21">
        <f t="shared" si="22"/>
        <v>0</v>
      </c>
      <c r="DO11" s="21">
        <f t="shared" si="22"/>
        <v>0</v>
      </c>
      <c r="DP11" s="21">
        <f t="shared" si="22"/>
        <v>0</v>
      </c>
      <c r="DQ11" s="21">
        <f t="shared" si="22"/>
        <v>0</v>
      </c>
      <c r="DR11" s="21">
        <f t="shared" si="22"/>
        <v>0</v>
      </c>
      <c r="DS11" s="21">
        <f t="shared" si="23"/>
        <v>0</v>
      </c>
      <c r="DT11" s="21">
        <f t="shared" si="23"/>
        <v>0</v>
      </c>
      <c r="DU11" s="21">
        <f t="shared" si="23"/>
        <v>0</v>
      </c>
      <c r="DV11" s="21">
        <f t="shared" si="23"/>
        <v>0</v>
      </c>
      <c r="DW11" s="21">
        <f t="shared" si="23"/>
        <v>0</v>
      </c>
      <c r="DX11" s="21">
        <f t="shared" si="23"/>
        <v>0</v>
      </c>
      <c r="DY11" s="21">
        <f t="shared" si="23"/>
        <v>0</v>
      </c>
      <c r="DZ11" s="21">
        <f t="shared" si="23"/>
        <v>0</v>
      </c>
      <c r="EA11" s="21">
        <f t="shared" si="23"/>
        <v>0</v>
      </c>
      <c r="EB11" s="21">
        <f t="shared" si="23"/>
        <v>0</v>
      </c>
      <c r="EC11" s="21">
        <f t="shared" si="23"/>
        <v>0</v>
      </c>
      <c r="ED11" s="21">
        <f t="shared" si="23"/>
        <v>0</v>
      </c>
      <c r="EE11" s="21">
        <f t="shared" si="23"/>
        <v>0</v>
      </c>
      <c r="EF11" s="21">
        <f t="shared" si="23"/>
        <v>0</v>
      </c>
      <c r="EG11" s="21">
        <f t="shared" si="23"/>
        <v>0</v>
      </c>
      <c r="EH11" s="21">
        <f t="shared" si="23"/>
        <v>0</v>
      </c>
      <c r="EI11" s="21">
        <f t="shared" si="23"/>
        <v>0</v>
      </c>
      <c r="EJ11" s="21">
        <f t="shared" si="23"/>
        <v>0</v>
      </c>
      <c r="EK11" s="21">
        <f t="shared" si="23"/>
        <v>0</v>
      </c>
      <c r="EL11" s="21">
        <f t="shared" si="23"/>
        <v>0</v>
      </c>
    </row>
    <row r="12" spans="2:142" x14ac:dyDescent="0.45">
      <c r="B12" s="4" t="s">
        <v>22</v>
      </c>
      <c r="C12" s="4"/>
      <c r="D12" s="4"/>
      <c r="E12" s="7">
        <f>SUM(E5:E11)</f>
        <v>29925</v>
      </c>
      <c r="F12" s="11"/>
      <c r="I12" s="21"/>
      <c r="J12" s="23">
        <f t="shared" ref="J12:AO12" si="25">SUM(J5:J11)</f>
        <v>29925</v>
      </c>
      <c r="K12" s="23">
        <f t="shared" si="25"/>
        <v>0</v>
      </c>
      <c r="L12" s="23">
        <f t="shared" si="25"/>
        <v>0</v>
      </c>
      <c r="M12" s="23">
        <f t="shared" si="25"/>
        <v>0</v>
      </c>
      <c r="N12" s="23">
        <f t="shared" si="25"/>
        <v>0</v>
      </c>
      <c r="O12" s="23">
        <f t="shared" si="25"/>
        <v>0</v>
      </c>
      <c r="P12" s="23">
        <f t="shared" si="25"/>
        <v>0</v>
      </c>
      <c r="Q12" s="23">
        <f t="shared" si="25"/>
        <v>0</v>
      </c>
      <c r="R12" s="23">
        <f t="shared" si="25"/>
        <v>0</v>
      </c>
      <c r="S12" s="23">
        <f t="shared" si="25"/>
        <v>0</v>
      </c>
      <c r="T12" s="23">
        <f t="shared" si="25"/>
        <v>0</v>
      </c>
      <c r="U12" s="23">
        <f t="shared" si="25"/>
        <v>0</v>
      </c>
      <c r="V12" s="23">
        <f t="shared" si="25"/>
        <v>0</v>
      </c>
      <c r="W12" s="23">
        <f t="shared" si="25"/>
        <v>0</v>
      </c>
      <c r="X12" s="23">
        <f t="shared" si="25"/>
        <v>0</v>
      </c>
      <c r="Y12" s="23">
        <f t="shared" si="25"/>
        <v>0</v>
      </c>
      <c r="Z12" s="23">
        <f t="shared" si="25"/>
        <v>0</v>
      </c>
      <c r="AA12" s="23">
        <f t="shared" si="25"/>
        <v>0</v>
      </c>
      <c r="AB12" s="23">
        <f t="shared" si="25"/>
        <v>0</v>
      </c>
      <c r="AC12" s="23">
        <f t="shared" si="25"/>
        <v>0</v>
      </c>
      <c r="AD12" s="23">
        <f t="shared" si="25"/>
        <v>0</v>
      </c>
      <c r="AE12" s="23">
        <f t="shared" si="25"/>
        <v>0</v>
      </c>
      <c r="AF12" s="23">
        <f t="shared" si="25"/>
        <v>0</v>
      </c>
      <c r="AG12" s="23">
        <f t="shared" si="25"/>
        <v>0</v>
      </c>
      <c r="AH12" s="23">
        <f t="shared" si="25"/>
        <v>0</v>
      </c>
      <c r="AI12" s="23">
        <f t="shared" si="25"/>
        <v>0</v>
      </c>
      <c r="AJ12" s="23">
        <f t="shared" si="25"/>
        <v>0</v>
      </c>
      <c r="AK12" s="23">
        <f t="shared" si="25"/>
        <v>0</v>
      </c>
      <c r="AL12" s="23">
        <f t="shared" si="25"/>
        <v>0</v>
      </c>
      <c r="AM12" s="23">
        <f t="shared" si="25"/>
        <v>0</v>
      </c>
      <c r="AN12" s="23">
        <f t="shared" si="25"/>
        <v>0</v>
      </c>
      <c r="AO12" s="23">
        <f t="shared" si="25"/>
        <v>0</v>
      </c>
      <c r="AP12" s="23">
        <f t="shared" ref="AP12:BU12" si="26">SUM(AP5:AP11)</f>
        <v>0</v>
      </c>
      <c r="AQ12" s="23">
        <f t="shared" si="26"/>
        <v>0</v>
      </c>
      <c r="AR12" s="23">
        <f t="shared" si="26"/>
        <v>0</v>
      </c>
      <c r="AS12" s="23">
        <f t="shared" si="26"/>
        <v>0</v>
      </c>
      <c r="AT12" s="23">
        <f t="shared" si="26"/>
        <v>0</v>
      </c>
      <c r="AU12" s="23">
        <f t="shared" si="26"/>
        <v>0</v>
      </c>
      <c r="AV12" s="23">
        <f t="shared" si="26"/>
        <v>0</v>
      </c>
      <c r="AW12" s="23">
        <f t="shared" si="26"/>
        <v>0</v>
      </c>
      <c r="AX12" s="23">
        <f t="shared" si="26"/>
        <v>0</v>
      </c>
      <c r="AY12" s="23">
        <f t="shared" si="26"/>
        <v>0</v>
      </c>
      <c r="AZ12" s="23">
        <f t="shared" si="26"/>
        <v>0</v>
      </c>
      <c r="BA12" s="23">
        <f t="shared" si="26"/>
        <v>0</v>
      </c>
      <c r="BB12" s="23">
        <f t="shared" si="26"/>
        <v>0</v>
      </c>
      <c r="BC12" s="23">
        <f t="shared" si="26"/>
        <v>0</v>
      </c>
      <c r="BD12" s="23">
        <f t="shared" si="26"/>
        <v>0</v>
      </c>
      <c r="BE12" s="23">
        <f t="shared" si="26"/>
        <v>0</v>
      </c>
      <c r="BF12" s="23">
        <f t="shared" si="26"/>
        <v>0</v>
      </c>
      <c r="BG12" s="23">
        <f t="shared" si="26"/>
        <v>0</v>
      </c>
      <c r="BH12" s="23">
        <f t="shared" si="26"/>
        <v>0</v>
      </c>
      <c r="BI12" s="23">
        <f t="shared" si="26"/>
        <v>0</v>
      </c>
      <c r="BJ12" s="23">
        <f t="shared" si="26"/>
        <v>0</v>
      </c>
      <c r="BK12" s="23">
        <f t="shared" si="26"/>
        <v>0</v>
      </c>
      <c r="BL12" s="23">
        <f t="shared" si="26"/>
        <v>0</v>
      </c>
      <c r="BM12" s="23">
        <f t="shared" si="26"/>
        <v>0</v>
      </c>
      <c r="BN12" s="23">
        <f t="shared" si="26"/>
        <v>0</v>
      </c>
      <c r="BO12" s="23">
        <f t="shared" si="26"/>
        <v>0</v>
      </c>
      <c r="BP12" s="23">
        <f t="shared" si="26"/>
        <v>0</v>
      </c>
      <c r="BQ12" s="23">
        <f t="shared" si="26"/>
        <v>0</v>
      </c>
      <c r="BR12" s="23">
        <f t="shared" si="26"/>
        <v>0</v>
      </c>
      <c r="BS12" s="23">
        <f t="shared" si="26"/>
        <v>0</v>
      </c>
      <c r="BT12" s="23">
        <f t="shared" si="26"/>
        <v>0</v>
      </c>
      <c r="BU12" s="23">
        <f t="shared" si="26"/>
        <v>0</v>
      </c>
      <c r="BV12" s="23">
        <f t="shared" ref="BV12:DA12" si="27">SUM(BV5:BV11)</f>
        <v>0</v>
      </c>
      <c r="BW12" s="23">
        <f t="shared" si="27"/>
        <v>0</v>
      </c>
      <c r="BX12" s="23">
        <f t="shared" si="27"/>
        <v>0</v>
      </c>
      <c r="BY12" s="23">
        <f t="shared" si="27"/>
        <v>0</v>
      </c>
      <c r="BZ12" s="23">
        <f t="shared" si="27"/>
        <v>0</v>
      </c>
      <c r="CA12" s="23">
        <f t="shared" si="27"/>
        <v>0</v>
      </c>
      <c r="CB12" s="23">
        <f t="shared" si="27"/>
        <v>0</v>
      </c>
      <c r="CC12" s="23">
        <f t="shared" si="27"/>
        <v>0</v>
      </c>
      <c r="CD12" s="23">
        <f t="shared" si="27"/>
        <v>0</v>
      </c>
      <c r="CE12" s="23">
        <f t="shared" si="27"/>
        <v>0</v>
      </c>
      <c r="CF12" s="23">
        <f t="shared" si="27"/>
        <v>0</v>
      </c>
      <c r="CG12" s="23">
        <f t="shared" si="27"/>
        <v>0</v>
      </c>
      <c r="CH12" s="23">
        <f t="shared" si="27"/>
        <v>0</v>
      </c>
      <c r="CI12" s="23">
        <f t="shared" si="27"/>
        <v>0</v>
      </c>
      <c r="CJ12" s="23">
        <f t="shared" si="27"/>
        <v>0</v>
      </c>
      <c r="CK12" s="23">
        <f t="shared" si="27"/>
        <v>0</v>
      </c>
      <c r="CL12" s="23">
        <f t="shared" si="27"/>
        <v>0</v>
      </c>
      <c r="CM12" s="23">
        <f t="shared" si="27"/>
        <v>0</v>
      </c>
      <c r="CN12" s="23">
        <f t="shared" si="27"/>
        <v>0</v>
      </c>
      <c r="CO12" s="23">
        <f t="shared" si="27"/>
        <v>0</v>
      </c>
      <c r="CP12" s="23">
        <f t="shared" si="27"/>
        <v>0</v>
      </c>
      <c r="CQ12" s="23">
        <f t="shared" si="27"/>
        <v>0</v>
      </c>
      <c r="CR12" s="23">
        <f t="shared" si="27"/>
        <v>0</v>
      </c>
      <c r="CS12" s="23">
        <f t="shared" si="27"/>
        <v>0</v>
      </c>
      <c r="CT12" s="23">
        <f t="shared" si="27"/>
        <v>0</v>
      </c>
      <c r="CU12" s="23">
        <f t="shared" si="27"/>
        <v>0</v>
      </c>
      <c r="CV12" s="23">
        <f t="shared" si="27"/>
        <v>0</v>
      </c>
      <c r="CW12" s="23">
        <f t="shared" si="27"/>
        <v>0</v>
      </c>
      <c r="CX12" s="23">
        <f t="shared" si="27"/>
        <v>0</v>
      </c>
      <c r="CY12" s="23">
        <f t="shared" si="27"/>
        <v>0</v>
      </c>
      <c r="CZ12" s="23">
        <f t="shared" si="27"/>
        <v>0</v>
      </c>
      <c r="DA12" s="23">
        <f t="shared" si="27"/>
        <v>0</v>
      </c>
      <c r="DB12" s="23">
        <f t="shared" ref="DB12:DY12" si="28">SUM(DB5:DB11)</f>
        <v>0</v>
      </c>
      <c r="DC12" s="23">
        <f t="shared" si="28"/>
        <v>0</v>
      </c>
      <c r="DD12" s="23">
        <f t="shared" si="28"/>
        <v>0</v>
      </c>
      <c r="DE12" s="23">
        <f t="shared" si="28"/>
        <v>0</v>
      </c>
      <c r="DF12" s="23">
        <f t="shared" si="28"/>
        <v>0</v>
      </c>
      <c r="DG12" s="23">
        <f t="shared" si="28"/>
        <v>0</v>
      </c>
      <c r="DH12" s="23">
        <f t="shared" si="28"/>
        <v>0</v>
      </c>
      <c r="DI12" s="23">
        <f t="shared" si="28"/>
        <v>0</v>
      </c>
      <c r="DJ12" s="23">
        <f t="shared" si="28"/>
        <v>0</v>
      </c>
      <c r="DK12" s="23">
        <f t="shared" si="28"/>
        <v>0</v>
      </c>
      <c r="DL12" s="23">
        <f t="shared" si="28"/>
        <v>0</v>
      </c>
      <c r="DM12" s="23">
        <f t="shared" si="28"/>
        <v>0</v>
      </c>
      <c r="DN12" s="23">
        <f t="shared" si="28"/>
        <v>0</v>
      </c>
      <c r="DO12" s="23">
        <f t="shared" si="28"/>
        <v>0</v>
      </c>
      <c r="DP12" s="23">
        <f t="shared" si="28"/>
        <v>0</v>
      </c>
      <c r="DQ12" s="23">
        <f t="shared" si="28"/>
        <v>0</v>
      </c>
      <c r="DR12" s="23">
        <f t="shared" si="28"/>
        <v>0</v>
      </c>
      <c r="DS12" s="23">
        <f t="shared" si="28"/>
        <v>0</v>
      </c>
      <c r="DT12" s="23">
        <f t="shared" si="28"/>
        <v>0</v>
      </c>
      <c r="DU12" s="23">
        <f t="shared" si="28"/>
        <v>0</v>
      </c>
      <c r="DV12" s="23">
        <f t="shared" si="28"/>
        <v>0</v>
      </c>
      <c r="DW12" s="23">
        <f t="shared" si="28"/>
        <v>0</v>
      </c>
      <c r="DX12" s="23">
        <f t="shared" si="28"/>
        <v>0</v>
      </c>
      <c r="DY12" s="23">
        <f t="shared" si="28"/>
        <v>0</v>
      </c>
      <c r="DZ12" s="23">
        <f t="shared" ref="DZ12:EL12" si="29">SUM(DZ5:DZ11)</f>
        <v>0</v>
      </c>
      <c r="EA12" s="23">
        <f t="shared" si="29"/>
        <v>0</v>
      </c>
      <c r="EB12" s="23">
        <f t="shared" si="29"/>
        <v>0</v>
      </c>
      <c r="EC12" s="23">
        <f t="shared" si="29"/>
        <v>0</v>
      </c>
      <c r="ED12" s="23">
        <f t="shared" si="29"/>
        <v>0</v>
      </c>
      <c r="EE12" s="23">
        <f t="shared" si="29"/>
        <v>0</v>
      </c>
      <c r="EF12" s="23">
        <f t="shared" si="29"/>
        <v>0</v>
      </c>
      <c r="EG12" s="23">
        <f t="shared" si="29"/>
        <v>0</v>
      </c>
      <c r="EH12" s="23">
        <f t="shared" si="29"/>
        <v>0</v>
      </c>
      <c r="EI12" s="23">
        <f t="shared" si="29"/>
        <v>0</v>
      </c>
      <c r="EJ12" s="23">
        <f t="shared" si="29"/>
        <v>0</v>
      </c>
      <c r="EK12" s="23">
        <f t="shared" si="29"/>
        <v>0</v>
      </c>
      <c r="EL12" s="23">
        <f t="shared" si="29"/>
        <v>0</v>
      </c>
    </row>
    <row r="13" spans="2:142" x14ac:dyDescent="0.45"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</row>
    <row r="14" spans="2:142" x14ac:dyDescent="0.45"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</row>
    <row r="15" spans="2:142" x14ac:dyDescent="0.45"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EBB6F-5726-4DC6-8C5A-2E8B4AB3FACC}">
  <sheetPr>
    <tabColor theme="1" tint="0.499984740745262"/>
  </sheetPr>
  <dimension ref="B4:EL15"/>
  <sheetViews>
    <sheetView showGridLines="0" zoomScale="145" zoomScaleNormal="145" workbookViewId="0">
      <selection activeCell="C9" sqref="C9"/>
    </sheetView>
  </sheetViews>
  <sheetFormatPr defaultColWidth="9.1328125" defaultRowHeight="12.75" x14ac:dyDescent="0.45"/>
  <cols>
    <col min="1" max="1" width="9.1328125" style="1"/>
    <col min="2" max="2" width="23.1328125" style="1" bestFit="1" customWidth="1"/>
    <col min="3" max="3" width="9.1328125" style="1"/>
    <col min="4" max="4" width="10" style="1" bestFit="1" customWidth="1"/>
    <col min="5" max="5" width="11.3984375" style="6" bestFit="1" customWidth="1"/>
    <col min="6" max="6" width="3.73046875" style="6" customWidth="1"/>
    <col min="7" max="8" width="9.1328125" style="12"/>
    <col min="9" max="9" width="3.73046875" style="1" customWidth="1"/>
    <col min="10" max="10" width="9.86328125" style="1" bestFit="1" customWidth="1"/>
    <col min="11" max="14" width="9.1328125" style="1"/>
    <col min="15" max="15" width="9.86328125" style="1" bestFit="1" customWidth="1"/>
    <col min="16" max="109" width="9.1328125" style="1"/>
    <col min="110" max="110" width="9.59765625" style="1" bestFit="1" customWidth="1"/>
    <col min="111" max="142" width="9.59765625" style="1" customWidth="1"/>
    <col min="143" max="16384" width="9.1328125" style="1"/>
  </cols>
  <sheetData>
    <row r="4" spans="2:142" x14ac:dyDescent="0.45">
      <c r="B4" s="8" t="s">
        <v>89</v>
      </c>
      <c r="G4" s="12" t="s">
        <v>7</v>
      </c>
      <c r="H4" s="12" t="s">
        <v>8</v>
      </c>
      <c r="I4" s="20"/>
      <c r="J4" s="20">
        <f>+Model!G4</f>
        <v>0</v>
      </c>
      <c r="K4" s="20">
        <f>+Model!H4</f>
        <v>1</v>
      </c>
      <c r="L4" s="20">
        <f>+Model!I4</f>
        <v>2</v>
      </c>
      <c r="M4" s="20">
        <f>+Model!J4</f>
        <v>3</v>
      </c>
      <c r="N4" s="20">
        <f>+Model!K4</f>
        <v>4</v>
      </c>
      <c r="O4" s="20">
        <f>+Model!L4</f>
        <v>5</v>
      </c>
      <c r="P4" s="20">
        <f>+Model!M4</f>
        <v>6</v>
      </c>
      <c r="Q4" s="20">
        <f>+Model!N4</f>
        <v>7</v>
      </c>
      <c r="R4" s="20">
        <f>+Model!O4</f>
        <v>8</v>
      </c>
      <c r="S4" s="20">
        <f>+Model!P4</f>
        <v>9</v>
      </c>
      <c r="T4" s="20">
        <f>+Model!Q4</f>
        <v>10</v>
      </c>
      <c r="U4" s="20">
        <f>+Model!R4</f>
        <v>11</v>
      </c>
      <c r="V4" s="20">
        <f>+Model!S4</f>
        <v>12</v>
      </c>
      <c r="W4" s="20">
        <f>+Model!T4</f>
        <v>13</v>
      </c>
      <c r="X4" s="20">
        <f>+Model!U4</f>
        <v>14</v>
      </c>
      <c r="Y4" s="20">
        <f>+Model!V4</f>
        <v>15</v>
      </c>
      <c r="Z4" s="20">
        <f>+Model!W4</f>
        <v>16</v>
      </c>
      <c r="AA4" s="20">
        <f>+Model!X4</f>
        <v>17</v>
      </c>
      <c r="AB4" s="20">
        <f>+Model!Y4</f>
        <v>18</v>
      </c>
      <c r="AC4" s="20">
        <f>+Model!Z4</f>
        <v>19</v>
      </c>
      <c r="AD4" s="20">
        <f>+Model!AA4</f>
        <v>20</v>
      </c>
      <c r="AE4" s="20">
        <f>+Model!AB4</f>
        <v>21</v>
      </c>
      <c r="AF4" s="20">
        <f>+Model!AC4</f>
        <v>22</v>
      </c>
      <c r="AG4" s="20">
        <f>+Model!AD4</f>
        <v>23</v>
      </c>
      <c r="AH4" s="20">
        <f>+Model!AE4</f>
        <v>24</v>
      </c>
      <c r="AI4" s="20">
        <f>+Model!AF4</f>
        <v>25</v>
      </c>
      <c r="AJ4" s="20">
        <f>+Model!AG4</f>
        <v>26</v>
      </c>
      <c r="AK4" s="20">
        <f>+Model!AH4</f>
        <v>27</v>
      </c>
      <c r="AL4" s="20">
        <f>+Model!AI4</f>
        <v>28</v>
      </c>
      <c r="AM4" s="20">
        <f>+Model!AJ4</f>
        <v>29</v>
      </c>
      <c r="AN4" s="20">
        <f>+Model!AK4</f>
        <v>30</v>
      </c>
      <c r="AO4" s="20">
        <f>+Model!AL4</f>
        <v>31</v>
      </c>
      <c r="AP4" s="20">
        <f>+Model!AM4</f>
        <v>32</v>
      </c>
      <c r="AQ4" s="20">
        <f>+Model!AN4</f>
        <v>33</v>
      </c>
      <c r="AR4" s="20">
        <f>+Model!AO4</f>
        <v>34</v>
      </c>
      <c r="AS4" s="20">
        <f>+Model!AP4</f>
        <v>35</v>
      </c>
      <c r="AT4" s="20">
        <f>+Model!AQ4</f>
        <v>36</v>
      </c>
      <c r="AU4" s="20">
        <f>+Model!AR4</f>
        <v>37</v>
      </c>
      <c r="AV4" s="20">
        <f>+Model!AS4</f>
        <v>38</v>
      </c>
      <c r="AW4" s="20">
        <f>+Model!AT4</f>
        <v>39</v>
      </c>
      <c r="AX4" s="20">
        <f>+Model!AU4</f>
        <v>40</v>
      </c>
      <c r="AY4" s="20">
        <f>+Model!AV4</f>
        <v>41</v>
      </c>
      <c r="AZ4" s="20">
        <f>+Model!AW4</f>
        <v>42</v>
      </c>
      <c r="BA4" s="20">
        <f>+Model!AX4</f>
        <v>43</v>
      </c>
      <c r="BB4" s="20">
        <f>+Model!AY4</f>
        <v>44</v>
      </c>
      <c r="BC4" s="20">
        <f>+Model!AZ4</f>
        <v>45</v>
      </c>
      <c r="BD4" s="20">
        <f>+Model!BA4</f>
        <v>46</v>
      </c>
      <c r="BE4" s="20">
        <f>+Model!BB4</f>
        <v>47</v>
      </c>
      <c r="BF4" s="20">
        <f>+Model!BC4</f>
        <v>48</v>
      </c>
      <c r="BG4" s="20">
        <f>+Model!BD4</f>
        <v>49</v>
      </c>
      <c r="BH4" s="20">
        <f>+Model!BE4</f>
        <v>50</v>
      </c>
      <c r="BI4" s="20">
        <f>+Model!BF4</f>
        <v>51</v>
      </c>
      <c r="BJ4" s="20">
        <f>+Model!BG4</f>
        <v>52</v>
      </c>
      <c r="BK4" s="20">
        <f>+Model!BH4</f>
        <v>53</v>
      </c>
      <c r="BL4" s="20">
        <f>+Model!BI4</f>
        <v>54</v>
      </c>
      <c r="BM4" s="20">
        <f>+Model!BJ4</f>
        <v>55</v>
      </c>
      <c r="BN4" s="20">
        <f>+Model!BK4</f>
        <v>56</v>
      </c>
      <c r="BO4" s="20">
        <f>+Model!BL4</f>
        <v>57</v>
      </c>
      <c r="BP4" s="20">
        <f>+Model!BM4</f>
        <v>58</v>
      </c>
      <c r="BQ4" s="20">
        <f>+Model!BN4</f>
        <v>59</v>
      </c>
      <c r="BR4" s="20">
        <f>+Model!BO4</f>
        <v>60</v>
      </c>
      <c r="BS4" s="20">
        <f>+Model!BP4</f>
        <v>61</v>
      </c>
      <c r="BT4" s="20">
        <f>+Model!BQ4</f>
        <v>62</v>
      </c>
      <c r="BU4" s="20">
        <f>+Model!BR4</f>
        <v>63</v>
      </c>
      <c r="BV4" s="20">
        <f>+Model!BS4</f>
        <v>64</v>
      </c>
      <c r="BW4" s="20">
        <f>+Model!BT4</f>
        <v>65</v>
      </c>
      <c r="BX4" s="20">
        <f>+Model!BU4</f>
        <v>66</v>
      </c>
      <c r="BY4" s="20">
        <f>+Model!BV4</f>
        <v>67</v>
      </c>
      <c r="BZ4" s="20">
        <f>+Model!BW4</f>
        <v>68</v>
      </c>
      <c r="CA4" s="20">
        <f>+Model!BX4</f>
        <v>69</v>
      </c>
      <c r="CB4" s="20">
        <f>+Model!BY4</f>
        <v>70</v>
      </c>
      <c r="CC4" s="20">
        <f>+Model!BZ4</f>
        <v>71</v>
      </c>
      <c r="CD4" s="20">
        <f>+Model!CA4</f>
        <v>72</v>
      </c>
      <c r="CE4" s="20">
        <f>+Model!CB4</f>
        <v>73</v>
      </c>
      <c r="CF4" s="20">
        <f>+Model!CC4</f>
        <v>74</v>
      </c>
      <c r="CG4" s="20">
        <f>+Model!CD4</f>
        <v>75</v>
      </c>
      <c r="CH4" s="20">
        <f>+Model!CE4</f>
        <v>76</v>
      </c>
      <c r="CI4" s="20">
        <f>+Model!CF4</f>
        <v>77</v>
      </c>
      <c r="CJ4" s="20">
        <f>+Model!CG4</f>
        <v>78</v>
      </c>
      <c r="CK4" s="20">
        <f>+Model!CH4</f>
        <v>79</v>
      </c>
      <c r="CL4" s="20">
        <f>+Model!CI4</f>
        <v>80</v>
      </c>
      <c r="CM4" s="20">
        <f>+Model!CJ4</f>
        <v>81</v>
      </c>
      <c r="CN4" s="20">
        <f>+Model!CK4</f>
        <v>82</v>
      </c>
      <c r="CO4" s="20">
        <f>+Model!CL4</f>
        <v>83</v>
      </c>
      <c r="CP4" s="20">
        <f>+Model!CM4</f>
        <v>84</v>
      </c>
      <c r="CQ4" s="20">
        <f>+Model!CN4</f>
        <v>85</v>
      </c>
      <c r="CR4" s="20">
        <f>+Model!CO4</f>
        <v>86</v>
      </c>
      <c r="CS4" s="20">
        <f>+Model!CP4</f>
        <v>87</v>
      </c>
      <c r="CT4" s="20">
        <f>+Model!CQ4</f>
        <v>88</v>
      </c>
      <c r="CU4" s="20">
        <f>+Model!CR4</f>
        <v>89</v>
      </c>
      <c r="CV4" s="20">
        <f>+Model!CS4</f>
        <v>90</v>
      </c>
      <c r="CW4" s="20">
        <f>+Model!CT4</f>
        <v>91</v>
      </c>
      <c r="CX4" s="20">
        <f>+Model!CU4</f>
        <v>92</v>
      </c>
      <c r="CY4" s="20">
        <f>+Model!CV4</f>
        <v>93</v>
      </c>
      <c r="CZ4" s="20">
        <f>+Model!CW4</f>
        <v>94</v>
      </c>
      <c r="DA4" s="20">
        <f>+Model!CX4</f>
        <v>95</v>
      </c>
      <c r="DB4" s="20">
        <f>+Model!CY4</f>
        <v>96</v>
      </c>
      <c r="DC4" s="20">
        <f>+Model!CZ4</f>
        <v>97</v>
      </c>
      <c r="DD4" s="20">
        <f>+Model!DA4</f>
        <v>98</v>
      </c>
      <c r="DE4" s="20">
        <f>+Model!DB4</f>
        <v>99</v>
      </c>
      <c r="DF4" s="20">
        <f>+Model!DC4</f>
        <v>100</v>
      </c>
      <c r="DG4" s="20">
        <f>+Model!DD4</f>
        <v>101</v>
      </c>
      <c r="DH4" s="20">
        <f>+Model!DE4</f>
        <v>102</v>
      </c>
      <c r="DI4" s="20">
        <f>+Model!DF4</f>
        <v>103</v>
      </c>
      <c r="DJ4" s="20">
        <f>+Model!DG4</f>
        <v>104</v>
      </c>
      <c r="DK4" s="20">
        <f>+Model!DH4</f>
        <v>105</v>
      </c>
      <c r="DL4" s="20">
        <f>+Model!DI4</f>
        <v>106</v>
      </c>
      <c r="DM4" s="20">
        <f>+Model!DJ4</f>
        <v>107</v>
      </c>
      <c r="DN4" s="20">
        <f>+Model!DK4</f>
        <v>108</v>
      </c>
      <c r="DO4" s="20">
        <f>+Model!DL4</f>
        <v>109</v>
      </c>
      <c r="DP4" s="20">
        <f>+Model!DM4</f>
        <v>110</v>
      </c>
      <c r="DQ4" s="20">
        <f>+Model!DN4</f>
        <v>111</v>
      </c>
      <c r="DR4" s="20">
        <f>+Model!DO4</f>
        <v>112</v>
      </c>
      <c r="DS4" s="20">
        <f>+Model!DP4</f>
        <v>113</v>
      </c>
      <c r="DT4" s="20">
        <f>+Model!DQ4</f>
        <v>114</v>
      </c>
      <c r="DU4" s="20">
        <f>+Model!DR4</f>
        <v>115</v>
      </c>
      <c r="DV4" s="20">
        <f>+Model!DS4</f>
        <v>116</v>
      </c>
      <c r="DW4" s="20">
        <f>+Model!DT4</f>
        <v>117</v>
      </c>
      <c r="DX4" s="20">
        <f>+Model!DU4</f>
        <v>118</v>
      </c>
      <c r="DY4" s="20">
        <f>+Model!DV4</f>
        <v>119</v>
      </c>
      <c r="DZ4" s="20">
        <f>+Model!DW4</f>
        <v>120</v>
      </c>
      <c r="EA4" s="20">
        <f>+Model!DX4</f>
        <v>121</v>
      </c>
      <c r="EB4" s="20">
        <f>+Model!DY4</f>
        <v>122</v>
      </c>
      <c r="EC4" s="20">
        <f>+Model!DZ4</f>
        <v>123</v>
      </c>
      <c r="ED4" s="20">
        <f>+Model!EA4</f>
        <v>124</v>
      </c>
      <c r="EE4" s="20">
        <f>+Model!EB4</f>
        <v>125</v>
      </c>
      <c r="EF4" s="20">
        <f>+Model!EC4</f>
        <v>126</v>
      </c>
      <c r="EG4" s="20">
        <f>+Model!ED4</f>
        <v>127</v>
      </c>
      <c r="EH4" s="20">
        <f>+Model!EE4</f>
        <v>128</v>
      </c>
      <c r="EI4" s="20">
        <f>+Model!EF4</f>
        <v>129</v>
      </c>
      <c r="EJ4" s="20">
        <f>+Model!EG4</f>
        <v>130</v>
      </c>
      <c r="EK4" s="20">
        <f>+Model!EH4</f>
        <v>131</v>
      </c>
      <c r="EL4" s="20">
        <f>+Model!EI4</f>
        <v>132</v>
      </c>
    </row>
    <row r="5" spans="2:142" x14ac:dyDescent="0.45">
      <c r="B5" s="1" t="s">
        <v>285</v>
      </c>
      <c r="E5" s="9">
        <v>0</v>
      </c>
      <c r="G5" s="13">
        <v>0</v>
      </c>
      <c r="H5" s="13">
        <v>0</v>
      </c>
      <c r="I5" s="21"/>
      <c r="J5" s="21">
        <f t="shared" ref="J5:AO5" si="0">IF(AND($G5=J$4,$H5=J$4),$E5,IF($G5&gt;J$4,0,IF($H5&lt;J$4,0,$E5/($H5-$G5+1))))</f>
        <v>0</v>
      </c>
      <c r="K5" s="21">
        <f t="shared" si="0"/>
        <v>0</v>
      </c>
      <c r="L5" s="21">
        <f t="shared" si="0"/>
        <v>0</v>
      </c>
      <c r="M5" s="21">
        <f t="shared" si="0"/>
        <v>0</v>
      </c>
      <c r="N5" s="21">
        <f t="shared" si="0"/>
        <v>0</v>
      </c>
      <c r="O5" s="21">
        <f t="shared" si="0"/>
        <v>0</v>
      </c>
      <c r="P5" s="21">
        <f t="shared" si="0"/>
        <v>0</v>
      </c>
      <c r="Q5" s="21">
        <f t="shared" si="0"/>
        <v>0</v>
      </c>
      <c r="R5" s="21">
        <f t="shared" si="0"/>
        <v>0</v>
      </c>
      <c r="S5" s="21">
        <f t="shared" si="0"/>
        <v>0</v>
      </c>
      <c r="T5" s="21">
        <f t="shared" si="0"/>
        <v>0</v>
      </c>
      <c r="U5" s="21">
        <f t="shared" si="0"/>
        <v>0</v>
      </c>
      <c r="V5" s="21">
        <f t="shared" si="0"/>
        <v>0</v>
      </c>
      <c r="W5" s="21">
        <f t="shared" si="0"/>
        <v>0</v>
      </c>
      <c r="X5" s="21">
        <f t="shared" si="0"/>
        <v>0</v>
      </c>
      <c r="Y5" s="21">
        <f t="shared" si="0"/>
        <v>0</v>
      </c>
      <c r="Z5" s="21">
        <f t="shared" si="0"/>
        <v>0</v>
      </c>
      <c r="AA5" s="21">
        <f t="shared" si="0"/>
        <v>0</v>
      </c>
      <c r="AB5" s="21">
        <f t="shared" si="0"/>
        <v>0</v>
      </c>
      <c r="AC5" s="21">
        <f t="shared" si="0"/>
        <v>0</v>
      </c>
      <c r="AD5" s="21">
        <f t="shared" si="0"/>
        <v>0</v>
      </c>
      <c r="AE5" s="21">
        <f t="shared" si="0"/>
        <v>0</v>
      </c>
      <c r="AF5" s="21">
        <f t="shared" si="0"/>
        <v>0</v>
      </c>
      <c r="AG5" s="21">
        <f t="shared" si="0"/>
        <v>0</v>
      </c>
      <c r="AH5" s="21">
        <f t="shared" si="0"/>
        <v>0</v>
      </c>
      <c r="AI5" s="21">
        <f t="shared" si="0"/>
        <v>0</v>
      </c>
      <c r="AJ5" s="21">
        <f t="shared" si="0"/>
        <v>0</v>
      </c>
      <c r="AK5" s="21">
        <f t="shared" si="0"/>
        <v>0</v>
      </c>
      <c r="AL5" s="21">
        <f t="shared" si="0"/>
        <v>0</v>
      </c>
      <c r="AM5" s="21">
        <f t="shared" si="0"/>
        <v>0</v>
      </c>
      <c r="AN5" s="21">
        <f t="shared" si="0"/>
        <v>0</v>
      </c>
      <c r="AO5" s="21">
        <f t="shared" si="0"/>
        <v>0</v>
      </c>
      <c r="AP5" s="21">
        <f t="shared" ref="AP5:BU5" si="1">IF(AND($G5=AP$4,$H5=AP$4),$E5,IF($G5&gt;AP$4,0,IF($H5&lt;AP$4,0,$E5/($H5-$G5+1))))</f>
        <v>0</v>
      </c>
      <c r="AQ5" s="21">
        <f t="shared" si="1"/>
        <v>0</v>
      </c>
      <c r="AR5" s="21">
        <f t="shared" si="1"/>
        <v>0</v>
      </c>
      <c r="AS5" s="21">
        <f t="shared" si="1"/>
        <v>0</v>
      </c>
      <c r="AT5" s="21">
        <f t="shared" si="1"/>
        <v>0</v>
      </c>
      <c r="AU5" s="21">
        <f t="shared" si="1"/>
        <v>0</v>
      </c>
      <c r="AV5" s="21">
        <f t="shared" si="1"/>
        <v>0</v>
      </c>
      <c r="AW5" s="21">
        <f t="shared" si="1"/>
        <v>0</v>
      </c>
      <c r="AX5" s="21">
        <f t="shared" si="1"/>
        <v>0</v>
      </c>
      <c r="AY5" s="21">
        <f t="shared" si="1"/>
        <v>0</v>
      </c>
      <c r="AZ5" s="21">
        <f t="shared" si="1"/>
        <v>0</v>
      </c>
      <c r="BA5" s="21">
        <f t="shared" si="1"/>
        <v>0</v>
      </c>
      <c r="BB5" s="21">
        <f t="shared" si="1"/>
        <v>0</v>
      </c>
      <c r="BC5" s="21">
        <f t="shared" si="1"/>
        <v>0</v>
      </c>
      <c r="BD5" s="21">
        <f t="shared" si="1"/>
        <v>0</v>
      </c>
      <c r="BE5" s="21">
        <f t="shared" si="1"/>
        <v>0</v>
      </c>
      <c r="BF5" s="21">
        <f t="shared" si="1"/>
        <v>0</v>
      </c>
      <c r="BG5" s="21">
        <f t="shared" si="1"/>
        <v>0</v>
      </c>
      <c r="BH5" s="21">
        <f t="shared" si="1"/>
        <v>0</v>
      </c>
      <c r="BI5" s="21">
        <f t="shared" si="1"/>
        <v>0</v>
      </c>
      <c r="BJ5" s="21">
        <f t="shared" si="1"/>
        <v>0</v>
      </c>
      <c r="BK5" s="21">
        <f t="shared" si="1"/>
        <v>0</v>
      </c>
      <c r="BL5" s="21">
        <f t="shared" si="1"/>
        <v>0</v>
      </c>
      <c r="BM5" s="21">
        <f t="shared" si="1"/>
        <v>0</v>
      </c>
      <c r="BN5" s="21">
        <f t="shared" si="1"/>
        <v>0</v>
      </c>
      <c r="BO5" s="21">
        <f t="shared" si="1"/>
        <v>0</v>
      </c>
      <c r="BP5" s="21">
        <f t="shared" si="1"/>
        <v>0</v>
      </c>
      <c r="BQ5" s="21">
        <f t="shared" si="1"/>
        <v>0</v>
      </c>
      <c r="BR5" s="21">
        <f t="shared" si="1"/>
        <v>0</v>
      </c>
      <c r="BS5" s="21">
        <f t="shared" si="1"/>
        <v>0</v>
      </c>
      <c r="BT5" s="21">
        <f t="shared" si="1"/>
        <v>0</v>
      </c>
      <c r="BU5" s="21">
        <f t="shared" si="1"/>
        <v>0</v>
      </c>
      <c r="BV5" s="21">
        <f t="shared" ref="BV5:DA5" si="2">IF(AND($G5=BV$4,$H5=BV$4),$E5,IF($G5&gt;BV$4,0,IF($H5&lt;BV$4,0,$E5/($H5-$G5+1))))</f>
        <v>0</v>
      </c>
      <c r="BW5" s="21">
        <f t="shared" si="2"/>
        <v>0</v>
      </c>
      <c r="BX5" s="21">
        <f t="shared" si="2"/>
        <v>0</v>
      </c>
      <c r="BY5" s="21">
        <f t="shared" si="2"/>
        <v>0</v>
      </c>
      <c r="BZ5" s="21">
        <f t="shared" si="2"/>
        <v>0</v>
      </c>
      <c r="CA5" s="21">
        <f t="shared" si="2"/>
        <v>0</v>
      </c>
      <c r="CB5" s="21">
        <f t="shared" si="2"/>
        <v>0</v>
      </c>
      <c r="CC5" s="21">
        <f t="shared" si="2"/>
        <v>0</v>
      </c>
      <c r="CD5" s="21">
        <f t="shared" si="2"/>
        <v>0</v>
      </c>
      <c r="CE5" s="21">
        <f t="shared" si="2"/>
        <v>0</v>
      </c>
      <c r="CF5" s="21">
        <f t="shared" si="2"/>
        <v>0</v>
      </c>
      <c r="CG5" s="21">
        <f t="shared" si="2"/>
        <v>0</v>
      </c>
      <c r="CH5" s="21">
        <f t="shared" si="2"/>
        <v>0</v>
      </c>
      <c r="CI5" s="21">
        <f t="shared" si="2"/>
        <v>0</v>
      </c>
      <c r="CJ5" s="21">
        <f t="shared" si="2"/>
        <v>0</v>
      </c>
      <c r="CK5" s="21">
        <f t="shared" si="2"/>
        <v>0</v>
      </c>
      <c r="CL5" s="21">
        <f t="shared" si="2"/>
        <v>0</v>
      </c>
      <c r="CM5" s="21">
        <f t="shared" si="2"/>
        <v>0</v>
      </c>
      <c r="CN5" s="21">
        <f t="shared" si="2"/>
        <v>0</v>
      </c>
      <c r="CO5" s="21">
        <f t="shared" si="2"/>
        <v>0</v>
      </c>
      <c r="CP5" s="21">
        <f t="shared" si="2"/>
        <v>0</v>
      </c>
      <c r="CQ5" s="21">
        <f t="shared" si="2"/>
        <v>0</v>
      </c>
      <c r="CR5" s="21">
        <f t="shared" si="2"/>
        <v>0</v>
      </c>
      <c r="CS5" s="21">
        <f t="shared" si="2"/>
        <v>0</v>
      </c>
      <c r="CT5" s="21">
        <f t="shared" si="2"/>
        <v>0</v>
      </c>
      <c r="CU5" s="21">
        <f t="shared" si="2"/>
        <v>0</v>
      </c>
      <c r="CV5" s="21">
        <f t="shared" si="2"/>
        <v>0</v>
      </c>
      <c r="CW5" s="21">
        <f t="shared" si="2"/>
        <v>0</v>
      </c>
      <c r="CX5" s="21">
        <f t="shared" si="2"/>
        <v>0</v>
      </c>
      <c r="CY5" s="21">
        <f t="shared" si="2"/>
        <v>0</v>
      </c>
      <c r="CZ5" s="21">
        <f t="shared" si="2"/>
        <v>0</v>
      </c>
      <c r="DA5" s="21">
        <f t="shared" si="2"/>
        <v>0</v>
      </c>
      <c r="DB5" s="21">
        <f t="shared" ref="DB5:EL5" si="3">IF(AND($G5=DB$4,$H5=DB$4),$E5,IF($G5&gt;DB$4,0,IF($H5&lt;DB$4,0,$E5/($H5-$G5+1))))</f>
        <v>0</v>
      </c>
      <c r="DC5" s="21">
        <f t="shared" si="3"/>
        <v>0</v>
      </c>
      <c r="DD5" s="21">
        <f t="shared" si="3"/>
        <v>0</v>
      </c>
      <c r="DE5" s="21">
        <f t="shared" si="3"/>
        <v>0</v>
      </c>
      <c r="DF5" s="21">
        <f t="shared" si="3"/>
        <v>0</v>
      </c>
      <c r="DG5" s="21">
        <f t="shared" si="3"/>
        <v>0</v>
      </c>
      <c r="DH5" s="21">
        <f t="shared" si="3"/>
        <v>0</v>
      </c>
      <c r="DI5" s="21">
        <f t="shared" si="3"/>
        <v>0</v>
      </c>
      <c r="DJ5" s="21">
        <f t="shared" si="3"/>
        <v>0</v>
      </c>
      <c r="DK5" s="21">
        <f t="shared" si="3"/>
        <v>0</v>
      </c>
      <c r="DL5" s="21">
        <f t="shared" si="3"/>
        <v>0</v>
      </c>
      <c r="DM5" s="21">
        <f t="shared" si="3"/>
        <v>0</v>
      </c>
      <c r="DN5" s="21">
        <f t="shared" si="3"/>
        <v>0</v>
      </c>
      <c r="DO5" s="21">
        <f t="shared" si="3"/>
        <v>0</v>
      </c>
      <c r="DP5" s="21">
        <f t="shared" si="3"/>
        <v>0</v>
      </c>
      <c r="DQ5" s="21">
        <f t="shared" si="3"/>
        <v>0</v>
      </c>
      <c r="DR5" s="21">
        <f t="shared" si="3"/>
        <v>0</v>
      </c>
      <c r="DS5" s="21">
        <f t="shared" si="3"/>
        <v>0</v>
      </c>
      <c r="DT5" s="21">
        <f t="shared" si="3"/>
        <v>0</v>
      </c>
      <c r="DU5" s="21">
        <f t="shared" si="3"/>
        <v>0</v>
      </c>
      <c r="DV5" s="21">
        <f t="shared" si="3"/>
        <v>0</v>
      </c>
      <c r="DW5" s="21">
        <f t="shared" si="3"/>
        <v>0</v>
      </c>
      <c r="DX5" s="21">
        <f t="shared" si="3"/>
        <v>0</v>
      </c>
      <c r="DY5" s="21">
        <f t="shared" si="3"/>
        <v>0</v>
      </c>
      <c r="DZ5" s="21">
        <f t="shared" si="3"/>
        <v>0</v>
      </c>
      <c r="EA5" s="21">
        <f t="shared" si="3"/>
        <v>0</v>
      </c>
      <c r="EB5" s="21">
        <f t="shared" si="3"/>
        <v>0</v>
      </c>
      <c r="EC5" s="21">
        <f t="shared" si="3"/>
        <v>0</v>
      </c>
      <c r="ED5" s="21">
        <f t="shared" si="3"/>
        <v>0</v>
      </c>
      <c r="EE5" s="21">
        <f t="shared" si="3"/>
        <v>0</v>
      </c>
      <c r="EF5" s="21">
        <f t="shared" si="3"/>
        <v>0</v>
      </c>
      <c r="EG5" s="21">
        <f t="shared" si="3"/>
        <v>0</v>
      </c>
      <c r="EH5" s="21">
        <f t="shared" si="3"/>
        <v>0</v>
      </c>
      <c r="EI5" s="21">
        <f t="shared" si="3"/>
        <v>0</v>
      </c>
      <c r="EJ5" s="21">
        <f t="shared" si="3"/>
        <v>0</v>
      </c>
      <c r="EK5" s="21">
        <f t="shared" si="3"/>
        <v>0</v>
      </c>
      <c r="EL5" s="21">
        <f t="shared" si="3"/>
        <v>0</v>
      </c>
    </row>
    <row r="6" spans="2:142" x14ac:dyDescent="0.45">
      <c r="B6" s="1" t="s">
        <v>271</v>
      </c>
      <c r="E6" s="19">
        <f>+Assumptions!G31*Assumptions!L27/12</f>
        <v>99449.295236844293</v>
      </c>
      <c r="G6" s="13">
        <v>0</v>
      </c>
      <c r="H6" s="13">
        <v>0</v>
      </c>
      <c r="I6" s="21"/>
      <c r="J6" s="21">
        <f t="shared" ref="J6:J11" si="4">IF(AND($G6=J$4,$H6=J$4),$E6,IF($G6&gt;J$4,0,IF($H6&lt;J$4,0,$E6/($H6-$G6+1))))</f>
        <v>99449.295236844293</v>
      </c>
      <c r="K6" s="21">
        <f t="shared" ref="K6:Z11" si="5">IF(AND($G6=K$4,$H6=K$4),$E6,IF($G6&gt;K$4,0,IF($H6&lt;K$4,0,$E6/($H6-$G6+1))))</f>
        <v>0</v>
      </c>
      <c r="L6" s="21">
        <f t="shared" si="5"/>
        <v>0</v>
      </c>
      <c r="M6" s="21">
        <f t="shared" si="5"/>
        <v>0</v>
      </c>
      <c r="N6" s="21">
        <f t="shared" si="5"/>
        <v>0</v>
      </c>
      <c r="O6" s="21">
        <f t="shared" si="5"/>
        <v>0</v>
      </c>
      <c r="P6" s="21">
        <f t="shared" si="5"/>
        <v>0</v>
      </c>
      <c r="Q6" s="21">
        <f t="shared" si="5"/>
        <v>0</v>
      </c>
      <c r="R6" s="21">
        <f t="shared" si="5"/>
        <v>0</v>
      </c>
      <c r="S6" s="21">
        <f t="shared" si="5"/>
        <v>0</v>
      </c>
      <c r="T6" s="21">
        <f t="shared" si="5"/>
        <v>0</v>
      </c>
      <c r="U6" s="21">
        <f t="shared" si="5"/>
        <v>0</v>
      </c>
      <c r="V6" s="21">
        <f t="shared" si="5"/>
        <v>0</v>
      </c>
      <c r="W6" s="21">
        <f t="shared" si="5"/>
        <v>0</v>
      </c>
      <c r="X6" s="21">
        <f t="shared" si="5"/>
        <v>0</v>
      </c>
      <c r="Y6" s="21">
        <f t="shared" si="5"/>
        <v>0</v>
      </c>
      <c r="Z6" s="21">
        <f t="shared" si="5"/>
        <v>0</v>
      </c>
      <c r="AA6" s="21">
        <f t="shared" ref="AA6:AZ8" si="6">IF(AND($G6=AA$4,$H6=AA$4),$E6,IF($G6&gt;AA$4,0,IF($H6&lt;AA$4,0,$E6/($H6-$G6+1))))</f>
        <v>0</v>
      </c>
      <c r="AB6" s="21">
        <f t="shared" si="6"/>
        <v>0</v>
      </c>
      <c r="AC6" s="21">
        <f t="shared" si="6"/>
        <v>0</v>
      </c>
      <c r="AD6" s="21">
        <f t="shared" si="6"/>
        <v>0</v>
      </c>
      <c r="AE6" s="21">
        <f t="shared" si="6"/>
        <v>0</v>
      </c>
      <c r="AF6" s="21">
        <f t="shared" si="6"/>
        <v>0</v>
      </c>
      <c r="AG6" s="21">
        <f t="shared" si="6"/>
        <v>0</v>
      </c>
      <c r="AH6" s="21">
        <f t="shared" si="6"/>
        <v>0</v>
      </c>
      <c r="AI6" s="21">
        <f t="shared" si="6"/>
        <v>0</v>
      </c>
      <c r="AJ6" s="21">
        <f t="shared" si="6"/>
        <v>0</v>
      </c>
      <c r="AK6" s="21">
        <f t="shared" si="6"/>
        <v>0</v>
      </c>
      <c r="AL6" s="21">
        <f t="shared" si="6"/>
        <v>0</v>
      </c>
      <c r="AM6" s="21">
        <f t="shared" si="6"/>
        <v>0</v>
      </c>
      <c r="AN6" s="21">
        <f t="shared" si="6"/>
        <v>0</v>
      </c>
      <c r="AO6" s="21">
        <f t="shared" si="6"/>
        <v>0</v>
      </c>
      <c r="AP6" s="21">
        <f t="shared" si="6"/>
        <v>0</v>
      </c>
      <c r="AQ6" s="21">
        <f t="shared" si="6"/>
        <v>0</v>
      </c>
      <c r="AR6" s="21">
        <f t="shared" si="6"/>
        <v>0</v>
      </c>
      <c r="AS6" s="21">
        <f t="shared" si="6"/>
        <v>0</v>
      </c>
      <c r="AT6" s="21">
        <f t="shared" si="6"/>
        <v>0</v>
      </c>
      <c r="AU6" s="21">
        <f t="shared" si="6"/>
        <v>0</v>
      </c>
      <c r="AV6" s="21">
        <f t="shared" si="6"/>
        <v>0</v>
      </c>
      <c r="AW6" s="21">
        <f t="shared" si="6"/>
        <v>0</v>
      </c>
      <c r="AX6" s="21">
        <f t="shared" si="6"/>
        <v>0</v>
      </c>
      <c r="AY6" s="21">
        <f t="shared" si="6"/>
        <v>0</v>
      </c>
      <c r="AZ6" s="21">
        <f t="shared" si="6"/>
        <v>0</v>
      </c>
      <c r="BA6" s="21">
        <f t="shared" ref="BA6:CP8" si="7">IF(AND($G6=BA$4,$H6=BA$4),$E6,IF($G6&gt;BA$4,0,IF($H6&lt;BA$4,0,$E6/($H6-$G6+1))))</f>
        <v>0</v>
      </c>
      <c r="BB6" s="21">
        <f t="shared" si="7"/>
        <v>0</v>
      </c>
      <c r="BC6" s="21">
        <f t="shared" si="7"/>
        <v>0</v>
      </c>
      <c r="BD6" s="21">
        <f t="shared" si="7"/>
        <v>0</v>
      </c>
      <c r="BE6" s="21">
        <f t="shared" si="7"/>
        <v>0</v>
      </c>
      <c r="BF6" s="21">
        <f t="shared" si="7"/>
        <v>0</v>
      </c>
      <c r="BG6" s="21">
        <f t="shared" si="7"/>
        <v>0</v>
      </c>
      <c r="BH6" s="21">
        <f t="shared" si="7"/>
        <v>0</v>
      </c>
      <c r="BI6" s="21">
        <f t="shared" si="7"/>
        <v>0</v>
      </c>
      <c r="BJ6" s="21">
        <f t="shared" si="7"/>
        <v>0</v>
      </c>
      <c r="BK6" s="21">
        <f t="shared" si="7"/>
        <v>0</v>
      </c>
      <c r="BL6" s="21">
        <f t="shared" si="7"/>
        <v>0</v>
      </c>
      <c r="BM6" s="21">
        <f t="shared" si="7"/>
        <v>0</v>
      </c>
      <c r="BN6" s="21">
        <f t="shared" si="7"/>
        <v>0</v>
      </c>
      <c r="BO6" s="21">
        <f t="shared" si="7"/>
        <v>0</v>
      </c>
      <c r="BP6" s="21">
        <f t="shared" si="7"/>
        <v>0</v>
      </c>
      <c r="BQ6" s="21">
        <f t="shared" si="7"/>
        <v>0</v>
      </c>
      <c r="BR6" s="21">
        <f t="shared" si="7"/>
        <v>0</v>
      </c>
      <c r="BS6" s="21">
        <f t="shared" si="7"/>
        <v>0</v>
      </c>
      <c r="BT6" s="21">
        <f t="shared" si="7"/>
        <v>0</v>
      </c>
      <c r="BU6" s="21">
        <f t="shared" si="7"/>
        <v>0</v>
      </c>
      <c r="BV6" s="21">
        <f t="shared" si="7"/>
        <v>0</v>
      </c>
      <c r="BW6" s="21">
        <f t="shared" si="7"/>
        <v>0</v>
      </c>
      <c r="BX6" s="21">
        <f t="shared" si="7"/>
        <v>0</v>
      </c>
      <c r="BY6" s="21">
        <f t="shared" si="7"/>
        <v>0</v>
      </c>
      <c r="BZ6" s="21">
        <f t="shared" si="7"/>
        <v>0</v>
      </c>
      <c r="CA6" s="21">
        <f t="shared" si="7"/>
        <v>0</v>
      </c>
      <c r="CB6" s="21">
        <f t="shared" si="7"/>
        <v>0</v>
      </c>
      <c r="CC6" s="21">
        <f t="shared" si="7"/>
        <v>0</v>
      </c>
      <c r="CD6" s="21">
        <f t="shared" si="7"/>
        <v>0</v>
      </c>
      <c r="CE6" s="21">
        <f t="shared" si="7"/>
        <v>0</v>
      </c>
      <c r="CF6" s="21">
        <f t="shared" si="7"/>
        <v>0</v>
      </c>
      <c r="CG6" s="21">
        <f t="shared" si="7"/>
        <v>0</v>
      </c>
      <c r="CH6" s="21">
        <f t="shared" si="7"/>
        <v>0</v>
      </c>
      <c r="CI6" s="21">
        <f t="shared" si="7"/>
        <v>0</v>
      </c>
      <c r="CJ6" s="21">
        <f t="shared" si="7"/>
        <v>0</v>
      </c>
      <c r="CK6" s="21">
        <f t="shared" si="7"/>
        <v>0</v>
      </c>
      <c r="CL6" s="21">
        <f t="shared" si="7"/>
        <v>0</v>
      </c>
      <c r="CM6" s="21">
        <f t="shared" si="7"/>
        <v>0</v>
      </c>
      <c r="CN6" s="21">
        <f t="shared" si="7"/>
        <v>0</v>
      </c>
      <c r="CO6" s="21">
        <f t="shared" si="7"/>
        <v>0</v>
      </c>
      <c r="CP6" s="21">
        <f t="shared" si="7"/>
        <v>0</v>
      </c>
      <c r="CQ6" s="21">
        <f t="shared" ref="CQ6:DT8" si="8">IF(AND($G6=CQ$4,$H6=CQ$4),$E6,IF($G6&gt;CQ$4,0,IF($H6&lt;CQ$4,0,$E6/($H6-$G6+1))))</f>
        <v>0</v>
      </c>
      <c r="CR6" s="21">
        <f t="shared" si="8"/>
        <v>0</v>
      </c>
      <c r="CS6" s="21">
        <f t="shared" si="8"/>
        <v>0</v>
      </c>
      <c r="CT6" s="21">
        <f t="shared" si="8"/>
        <v>0</v>
      </c>
      <c r="CU6" s="21">
        <f t="shared" si="8"/>
        <v>0</v>
      </c>
      <c r="CV6" s="21">
        <f t="shared" si="8"/>
        <v>0</v>
      </c>
      <c r="CW6" s="21">
        <f t="shared" si="8"/>
        <v>0</v>
      </c>
      <c r="CX6" s="21">
        <f t="shared" si="8"/>
        <v>0</v>
      </c>
      <c r="CY6" s="21">
        <f t="shared" si="8"/>
        <v>0</v>
      </c>
      <c r="CZ6" s="21">
        <f t="shared" si="8"/>
        <v>0</v>
      </c>
      <c r="DA6" s="21">
        <f t="shared" si="8"/>
        <v>0</v>
      </c>
      <c r="DB6" s="21">
        <f t="shared" si="8"/>
        <v>0</v>
      </c>
      <c r="DC6" s="21">
        <f t="shared" si="8"/>
        <v>0</v>
      </c>
      <c r="DD6" s="21">
        <f t="shared" si="8"/>
        <v>0</v>
      </c>
      <c r="DE6" s="21">
        <f t="shared" si="8"/>
        <v>0</v>
      </c>
      <c r="DF6" s="21">
        <f t="shared" si="8"/>
        <v>0</v>
      </c>
      <c r="DG6" s="21">
        <f t="shared" si="8"/>
        <v>0</v>
      </c>
      <c r="DH6" s="21">
        <f t="shared" si="8"/>
        <v>0</v>
      </c>
      <c r="DI6" s="21">
        <f t="shared" si="8"/>
        <v>0</v>
      </c>
      <c r="DJ6" s="21">
        <f t="shared" si="8"/>
        <v>0</v>
      </c>
      <c r="DK6" s="21">
        <f t="shared" si="8"/>
        <v>0</v>
      </c>
      <c r="DL6" s="21">
        <f t="shared" si="8"/>
        <v>0</v>
      </c>
      <c r="DM6" s="21">
        <f t="shared" si="8"/>
        <v>0</v>
      </c>
      <c r="DN6" s="21">
        <f t="shared" si="8"/>
        <v>0</v>
      </c>
      <c r="DO6" s="21">
        <f t="shared" si="8"/>
        <v>0</v>
      </c>
      <c r="DP6" s="21">
        <f t="shared" si="8"/>
        <v>0</v>
      </c>
      <c r="DQ6" s="21">
        <f t="shared" si="8"/>
        <v>0</v>
      </c>
      <c r="DR6" s="21">
        <f t="shared" si="8"/>
        <v>0</v>
      </c>
      <c r="DS6" s="21">
        <f t="shared" si="8"/>
        <v>0</v>
      </c>
      <c r="DT6" s="21">
        <f t="shared" si="8"/>
        <v>0</v>
      </c>
      <c r="DU6" s="21">
        <f t="shared" ref="DU6:EL8" si="9">IF(AND($G6=DU$4,$H6=DU$4),$E6,IF($G6&gt;DU$4,0,IF($H6&lt;DU$4,0,$E6/($H6-$G6+1))))</f>
        <v>0</v>
      </c>
      <c r="DV6" s="21">
        <f t="shared" si="9"/>
        <v>0</v>
      </c>
      <c r="DW6" s="21">
        <f t="shared" si="9"/>
        <v>0</v>
      </c>
      <c r="DX6" s="21">
        <f t="shared" si="9"/>
        <v>0</v>
      </c>
      <c r="DY6" s="21">
        <f t="shared" si="9"/>
        <v>0</v>
      </c>
      <c r="DZ6" s="21">
        <f t="shared" si="9"/>
        <v>0</v>
      </c>
      <c r="EA6" s="21">
        <f t="shared" si="9"/>
        <v>0</v>
      </c>
      <c r="EB6" s="21">
        <f t="shared" si="9"/>
        <v>0</v>
      </c>
      <c r="EC6" s="21">
        <f t="shared" si="9"/>
        <v>0</v>
      </c>
      <c r="ED6" s="21">
        <f t="shared" si="9"/>
        <v>0</v>
      </c>
      <c r="EE6" s="21">
        <f t="shared" si="9"/>
        <v>0</v>
      </c>
      <c r="EF6" s="21">
        <f t="shared" si="9"/>
        <v>0</v>
      </c>
      <c r="EG6" s="21">
        <f t="shared" si="9"/>
        <v>0</v>
      </c>
      <c r="EH6" s="21">
        <f t="shared" si="9"/>
        <v>0</v>
      </c>
      <c r="EI6" s="21">
        <f t="shared" si="9"/>
        <v>0</v>
      </c>
      <c r="EJ6" s="21">
        <f t="shared" si="9"/>
        <v>0</v>
      </c>
      <c r="EK6" s="21">
        <f t="shared" si="9"/>
        <v>0</v>
      </c>
      <c r="EL6" s="21">
        <f t="shared" si="9"/>
        <v>0</v>
      </c>
    </row>
    <row r="7" spans="2:142" x14ac:dyDescent="0.45">
      <c r="B7" s="1" t="s">
        <v>272</v>
      </c>
      <c r="E7" s="9">
        <v>10000</v>
      </c>
      <c r="G7" s="13">
        <v>0</v>
      </c>
      <c r="H7" s="13">
        <v>0</v>
      </c>
      <c r="I7" s="21"/>
      <c r="J7" s="21">
        <f t="shared" si="4"/>
        <v>10000</v>
      </c>
      <c r="K7" s="21">
        <f t="shared" si="5"/>
        <v>0</v>
      </c>
      <c r="L7" s="21">
        <f t="shared" si="5"/>
        <v>0</v>
      </c>
      <c r="M7" s="21">
        <f t="shared" si="5"/>
        <v>0</v>
      </c>
      <c r="N7" s="21">
        <f t="shared" si="5"/>
        <v>0</v>
      </c>
      <c r="O7" s="21">
        <f t="shared" si="5"/>
        <v>0</v>
      </c>
      <c r="P7" s="21">
        <f t="shared" si="5"/>
        <v>0</v>
      </c>
      <c r="Q7" s="21">
        <f t="shared" si="5"/>
        <v>0</v>
      </c>
      <c r="R7" s="21">
        <f t="shared" si="5"/>
        <v>0</v>
      </c>
      <c r="S7" s="21">
        <f t="shared" si="5"/>
        <v>0</v>
      </c>
      <c r="T7" s="21">
        <f t="shared" si="5"/>
        <v>0</v>
      </c>
      <c r="U7" s="21">
        <f t="shared" si="5"/>
        <v>0</v>
      </c>
      <c r="V7" s="21">
        <f t="shared" si="5"/>
        <v>0</v>
      </c>
      <c r="W7" s="21">
        <f t="shared" si="5"/>
        <v>0</v>
      </c>
      <c r="X7" s="21">
        <f t="shared" si="5"/>
        <v>0</v>
      </c>
      <c r="Y7" s="21">
        <f t="shared" si="5"/>
        <v>0</v>
      </c>
      <c r="Z7" s="21">
        <f t="shared" si="5"/>
        <v>0</v>
      </c>
      <c r="AA7" s="21">
        <f t="shared" si="6"/>
        <v>0</v>
      </c>
      <c r="AB7" s="21">
        <f t="shared" si="6"/>
        <v>0</v>
      </c>
      <c r="AC7" s="21">
        <f t="shared" si="6"/>
        <v>0</v>
      </c>
      <c r="AD7" s="21">
        <f t="shared" si="6"/>
        <v>0</v>
      </c>
      <c r="AE7" s="21">
        <f t="shared" si="6"/>
        <v>0</v>
      </c>
      <c r="AF7" s="21">
        <f t="shared" si="6"/>
        <v>0</v>
      </c>
      <c r="AG7" s="21">
        <f t="shared" si="6"/>
        <v>0</v>
      </c>
      <c r="AH7" s="21">
        <f t="shared" si="6"/>
        <v>0</v>
      </c>
      <c r="AI7" s="21">
        <f t="shared" si="6"/>
        <v>0</v>
      </c>
      <c r="AJ7" s="21">
        <f t="shared" si="6"/>
        <v>0</v>
      </c>
      <c r="AK7" s="21">
        <f t="shared" si="6"/>
        <v>0</v>
      </c>
      <c r="AL7" s="21">
        <f t="shared" si="6"/>
        <v>0</v>
      </c>
      <c r="AM7" s="21">
        <f t="shared" si="6"/>
        <v>0</v>
      </c>
      <c r="AN7" s="21">
        <f t="shared" si="6"/>
        <v>0</v>
      </c>
      <c r="AO7" s="21">
        <f t="shared" si="6"/>
        <v>0</v>
      </c>
      <c r="AP7" s="21">
        <f t="shared" si="6"/>
        <v>0</v>
      </c>
      <c r="AQ7" s="21">
        <f t="shared" si="6"/>
        <v>0</v>
      </c>
      <c r="AR7" s="21">
        <f t="shared" si="6"/>
        <v>0</v>
      </c>
      <c r="AS7" s="21">
        <f t="shared" si="6"/>
        <v>0</v>
      </c>
      <c r="AT7" s="21">
        <f t="shared" si="6"/>
        <v>0</v>
      </c>
      <c r="AU7" s="21">
        <f t="shared" si="6"/>
        <v>0</v>
      </c>
      <c r="AV7" s="21">
        <f t="shared" si="6"/>
        <v>0</v>
      </c>
      <c r="AW7" s="21">
        <f t="shared" si="6"/>
        <v>0</v>
      </c>
      <c r="AX7" s="21">
        <f t="shared" si="6"/>
        <v>0</v>
      </c>
      <c r="AY7" s="21">
        <f t="shared" si="6"/>
        <v>0</v>
      </c>
      <c r="AZ7" s="21">
        <f t="shared" si="6"/>
        <v>0</v>
      </c>
      <c r="BA7" s="21">
        <f t="shared" si="7"/>
        <v>0</v>
      </c>
      <c r="BB7" s="21">
        <f t="shared" si="7"/>
        <v>0</v>
      </c>
      <c r="BC7" s="21">
        <f t="shared" si="7"/>
        <v>0</v>
      </c>
      <c r="BD7" s="21">
        <f t="shared" si="7"/>
        <v>0</v>
      </c>
      <c r="BE7" s="21">
        <f t="shared" si="7"/>
        <v>0</v>
      </c>
      <c r="BF7" s="21">
        <f t="shared" si="7"/>
        <v>0</v>
      </c>
      <c r="BG7" s="21">
        <f t="shared" si="7"/>
        <v>0</v>
      </c>
      <c r="BH7" s="21">
        <f t="shared" si="7"/>
        <v>0</v>
      </c>
      <c r="BI7" s="21">
        <f t="shared" si="7"/>
        <v>0</v>
      </c>
      <c r="BJ7" s="21">
        <f t="shared" si="7"/>
        <v>0</v>
      </c>
      <c r="BK7" s="21">
        <f t="shared" si="7"/>
        <v>0</v>
      </c>
      <c r="BL7" s="21">
        <f t="shared" si="7"/>
        <v>0</v>
      </c>
      <c r="BM7" s="21">
        <f t="shared" si="7"/>
        <v>0</v>
      </c>
      <c r="BN7" s="21">
        <f t="shared" si="7"/>
        <v>0</v>
      </c>
      <c r="BO7" s="21">
        <f t="shared" si="7"/>
        <v>0</v>
      </c>
      <c r="BP7" s="21">
        <f t="shared" si="7"/>
        <v>0</v>
      </c>
      <c r="BQ7" s="21">
        <f t="shared" si="7"/>
        <v>0</v>
      </c>
      <c r="BR7" s="21">
        <f t="shared" si="7"/>
        <v>0</v>
      </c>
      <c r="BS7" s="21">
        <f t="shared" si="7"/>
        <v>0</v>
      </c>
      <c r="BT7" s="21">
        <f t="shared" si="7"/>
        <v>0</v>
      </c>
      <c r="BU7" s="21">
        <f t="shared" si="7"/>
        <v>0</v>
      </c>
      <c r="BV7" s="21">
        <f t="shared" si="7"/>
        <v>0</v>
      </c>
      <c r="BW7" s="21">
        <f t="shared" si="7"/>
        <v>0</v>
      </c>
      <c r="BX7" s="21">
        <f t="shared" si="7"/>
        <v>0</v>
      </c>
      <c r="BY7" s="21">
        <f t="shared" si="7"/>
        <v>0</v>
      </c>
      <c r="BZ7" s="21">
        <f t="shared" si="7"/>
        <v>0</v>
      </c>
      <c r="CA7" s="21">
        <f t="shared" si="7"/>
        <v>0</v>
      </c>
      <c r="CB7" s="21">
        <f t="shared" si="7"/>
        <v>0</v>
      </c>
      <c r="CC7" s="21">
        <f t="shared" si="7"/>
        <v>0</v>
      </c>
      <c r="CD7" s="21">
        <f t="shared" si="7"/>
        <v>0</v>
      </c>
      <c r="CE7" s="21">
        <f t="shared" si="7"/>
        <v>0</v>
      </c>
      <c r="CF7" s="21">
        <f t="shared" si="7"/>
        <v>0</v>
      </c>
      <c r="CG7" s="21">
        <f t="shared" si="7"/>
        <v>0</v>
      </c>
      <c r="CH7" s="21">
        <f t="shared" si="7"/>
        <v>0</v>
      </c>
      <c r="CI7" s="21">
        <f t="shared" si="7"/>
        <v>0</v>
      </c>
      <c r="CJ7" s="21">
        <f t="shared" si="7"/>
        <v>0</v>
      </c>
      <c r="CK7" s="21">
        <f t="shared" si="7"/>
        <v>0</v>
      </c>
      <c r="CL7" s="21">
        <f t="shared" si="7"/>
        <v>0</v>
      </c>
      <c r="CM7" s="21">
        <f t="shared" si="7"/>
        <v>0</v>
      </c>
      <c r="CN7" s="21">
        <f t="shared" si="7"/>
        <v>0</v>
      </c>
      <c r="CO7" s="21">
        <f t="shared" si="7"/>
        <v>0</v>
      </c>
      <c r="CP7" s="21">
        <f t="shared" si="7"/>
        <v>0</v>
      </c>
      <c r="CQ7" s="21">
        <f t="shared" si="8"/>
        <v>0</v>
      </c>
      <c r="CR7" s="21">
        <f t="shared" si="8"/>
        <v>0</v>
      </c>
      <c r="CS7" s="21">
        <f t="shared" si="8"/>
        <v>0</v>
      </c>
      <c r="CT7" s="21">
        <f t="shared" si="8"/>
        <v>0</v>
      </c>
      <c r="CU7" s="21">
        <f t="shared" si="8"/>
        <v>0</v>
      </c>
      <c r="CV7" s="21">
        <f t="shared" si="8"/>
        <v>0</v>
      </c>
      <c r="CW7" s="21">
        <f t="shared" si="8"/>
        <v>0</v>
      </c>
      <c r="CX7" s="21">
        <f t="shared" si="8"/>
        <v>0</v>
      </c>
      <c r="CY7" s="21">
        <f t="shared" si="8"/>
        <v>0</v>
      </c>
      <c r="CZ7" s="21">
        <f t="shared" si="8"/>
        <v>0</v>
      </c>
      <c r="DA7" s="21">
        <f t="shared" si="8"/>
        <v>0</v>
      </c>
      <c r="DB7" s="21">
        <f t="shared" si="8"/>
        <v>0</v>
      </c>
      <c r="DC7" s="21">
        <f t="shared" si="8"/>
        <v>0</v>
      </c>
      <c r="DD7" s="21">
        <f t="shared" si="8"/>
        <v>0</v>
      </c>
      <c r="DE7" s="21">
        <f t="shared" si="8"/>
        <v>0</v>
      </c>
      <c r="DF7" s="21">
        <f t="shared" si="8"/>
        <v>0</v>
      </c>
      <c r="DG7" s="21">
        <f t="shared" si="8"/>
        <v>0</v>
      </c>
      <c r="DH7" s="21">
        <f t="shared" si="8"/>
        <v>0</v>
      </c>
      <c r="DI7" s="21">
        <f t="shared" si="8"/>
        <v>0</v>
      </c>
      <c r="DJ7" s="21">
        <f t="shared" si="8"/>
        <v>0</v>
      </c>
      <c r="DK7" s="21">
        <f t="shared" si="8"/>
        <v>0</v>
      </c>
      <c r="DL7" s="21">
        <f t="shared" si="8"/>
        <v>0</v>
      </c>
      <c r="DM7" s="21">
        <f t="shared" si="8"/>
        <v>0</v>
      </c>
      <c r="DN7" s="21">
        <f t="shared" si="8"/>
        <v>0</v>
      </c>
      <c r="DO7" s="21">
        <f t="shared" si="8"/>
        <v>0</v>
      </c>
      <c r="DP7" s="21">
        <f t="shared" si="8"/>
        <v>0</v>
      </c>
      <c r="DQ7" s="21">
        <f t="shared" si="8"/>
        <v>0</v>
      </c>
      <c r="DR7" s="21">
        <f t="shared" si="8"/>
        <v>0</v>
      </c>
      <c r="DS7" s="21">
        <f t="shared" si="8"/>
        <v>0</v>
      </c>
      <c r="DT7" s="21">
        <f t="shared" si="8"/>
        <v>0</v>
      </c>
      <c r="DU7" s="21">
        <f t="shared" si="9"/>
        <v>0</v>
      </c>
      <c r="DV7" s="21">
        <f t="shared" si="9"/>
        <v>0</v>
      </c>
      <c r="DW7" s="21">
        <f t="shared" si="9"/>
        <v>0</v>
      </c>
      <c r="DX7" s="21">
        <f t="shared" si="9"/>
        <v>0</v>
      </c>
      <c r="DY7" s="21">
        <f t="shared" si="9"/>
        <v>0</v>
      </c>
      <c r="DZ7" s="21">
        <f t="shared" si="9"/>
        <v>0</v>
      </c>
      <c r="EA7" s="21">
        <f t="shared" si="9"/>
        <v>0</v>
      </c>
      <c r="EB7" s="21">
        <f t="shared" si="9"/>
        <v>0</v>
      </c>
      <c r="EC7" s="21">
        <f t="shared" si="9"/>
        <v>0</v>
      </c>
      <c r="ED7" s="21">
        <f t="shared" si="9"/>
        <v>0</v>
      </c>
      <c r="EE7" s="21">
        <f t="shared" si="9"/>
        <v>0</v>
      </c>
      <c r="EF7" s="21">
        <f t="shared" si="9"/>
        <v>0</v>
      </c>
      <c r="EG7" s="21">
        <f t="shared" si="9"/>
        <v>0</v>
      </c>
      <c r="EH7" s="21">
        <f t="shared" si="9"/>
        <v>0</v>
      </c>
      <c r="EI7" s="21">
        <f t="shared" si="9"/>
        <v>0</v>
      </c>
      <c r="EJ7" s="21">
        <f t="shared" si="9"/>
        <v>0</v>
      </c>
      <c r="EK7" s="21">
        <f t="shared" si="9"/>
        <v>0</v>
      </c>
      <c r="EL7" s="21">
        <f t="shared" si="9"/>
        <v>0</v>
      </c>
    </row>
    <row r="8" spans="2:142" x14ac:dyDescent="0.45">
      <c r="B8" s="1" t="s">
        <v>273</v>
      </c>
      <c r="E8" s="9">
        <v>10000</v>
      </c>
      <c r="G8" s="13">
        <v>0</v>
      </c>
      <c r="H8" s="13">
        <v>0</v>
      </c>
      <c r="I8" s="21"/>
      <c r="J8" s="21">
        <f t="shared" si="4"/>
        <v>10000</v>
      </c>
      <c r="K8" s="21">
        <f t="shared" si="5"/>
        <v>0</v>
      </c>
      <c r="L8" s="21">
        <f t="shared" si="5"/>
        <v>0</v>
      </c>
      <c r="M8" s="21">
        <f t="shared" si="5"/>
        <v>0</v>
      </c>
      <c r="N8" s="21">
        <f t="shared" si="5"/>
        <v>0</v>
      </c>
      <c r="O8" s="21">
        <f t="shared" si="5"/>
        <v>0</v>
      </c>
      <c r="P8" s="21">
        <f t="shared" si="5"/>
        <v>0</v>
      </c>
      <c r="Q8" s="21">
        <f t="shared" si="5"/>
        <v>0</v>
      </c>
      <c r="R8" s="21">
        <f t="shared" si="5"/>
        <v>0</v>
      </c>
      <c r="S8" s="21">
        <f t="shared" si="5"/>
        <v>0</v>
      </c>
      <c r="T8" s="21">
        <f t="shared" si="5"/>
        <v>0</v>
      </c>
      <c r="U8" s="21">
        <f t="shared" si="5"/>
        <v>0</v>
      </c>
      <c r="V8" s="21">
        <f t="shared" si="5"/>
        <v>0</v>
      </c>
      <c r="W8" s="21">
        <f t="shared" si="5"/>
        <v>0</v>
      </c>
      <c r="X8" s="21">
        <f t="shared" si="5"/>
        <v>0</v>
      </c>
      <c r="Y8" s="21">
        <f t="shared" si="5"/>
        <v>0</v>
      </c>
      <c r="Z8" s="21">
        <f t="shared" si="5"/>
        <v>0</v>
      </c>
      <c r="AA8" s="21">
        <f t="shared" si="6"/>
        <v>0</v>
      </c>
      <c r="AB8" s="21">
        <f t="shared" si="6"/>
        <v>0</v>
      </c>
      <c r="AC8" s="21">
        <f t="shared" si="6"/>
        <v>0</v>
      </c>
      <c r="AD8" s="21">
        <f t="shared" si="6"/>
        <v>0</v>
      </c>
      <c r="AE8" s="21">
        <f t="shared" si="6"/>
        <v>0</v>
      </c>
      <c r="AF8" s="21">
        <f t="shared" si="6"/>
        <v>0</v>
      </c>
      <c r="AG8" s="21">
        <f t="shared" si="6"/>
        <v>0</v>
      </c>
      <c r="AH8" s="21">
        <f t="shared" si="6"/>
        <v>0</v>
      </c>
      <c r="AI8" s="21">
        <f t="shared" si="6"/>
        <v>0</v>
      </c>
      <c r="AJ8" s="21">
        <f t="shared" si="6"/>
        <v>0</v>
      </c>
      <c r="AK8" s="21">
        <f t="shared" si="6"/>
        <v>0</v>
      </c>
      <c r="AL8" s="21">
        <f t="shared" si="6"/>
        <v>0</v>
      </c>
      <c r="AM8" s="21">
        <f t="shared" si="6"/>
        <v>0</v>
      </c>
      <c r="AN8" s="21">
        <f t="shared" si="6"/>
        <v>0</v>
      </c>
      <c r="AO8" s="21">
        <f t="shared" si="6"/>
        <v>0</v>
      </c>
      <c r="AP8" s="21">
        <f t="shared" si="6"/>
        <v>0</v>
      </c>
      <c r="AQ8" s="21">
        <f t="shared" si="6"/>
        <v>0</v>
      </c>
      <c r="AR8" s="21">
        <f t="shared" si="6"/>
        <v>0</v>
      </c>
      <c r="AS8" s="21">
        <f t="shared" si="6"/>
        <v>0</v>
      </c>
      <c r="AT8" s="21">
        <f t="shared" si="6"/>
        <v>0</v>
      </c>
      <c r="AU8" s="21">
        <f t="shared" si="6"/>
        <v>0</v>
      </c>
      <c r="AV8" s="21">
        <f t="shared" si="6"/>
        <v>0</v>
      </c>
      <c r="AW8" s="21">
        <f t="shared" si="6"/>
        <v>0</v>
      </c>
      <c r="AX8" s="21">
        <f t="shared" si="6"/>
        <v>0</v>
      </c>
      <c r="AY8" s="21">
        <f t="shared" si="6"/>
        <v>0</v>
      </c>
      <c r="AZ8" s="21">
        <f t="shared" si="6"/>
        <v>0</v>
      </c>
      <c r="BA8" s="21">
        <f t="shared" si="7"/>
        <v>0</v>
      </c>
      <c r="BB8" s="21">
        <f t="shared" si="7"/>
        <v>0</v>
      </c>
      <c r="BC8" s="21">
        <f t="shared" si="7"/>
        <v>0</v>
      </c>
      <c r="BD8" s="21">
        <f t="shared" si="7"/>
        <v>0</v>
      </c>
      <c r="BE8" s="21">
        <f t="shared" si="7"/>
        <v>0</v>
      </c>
      <c r="BF8" s="21">
        <f t="shared" si="7"/>
        <v>0</v>
      </c>
      <c r="BG8" s="21">
        <f t="shared" si="7"/>
        <v>0</v>
      </c>
      <c r="BH8" s="21">
        <f t="shared" si="7"/>
        <v>0</v>
      </c>
      <c r="BI8" s="21">
        <f t="shared" si="7"/>
        <v>0</v>
      </c>
      <c r="BJ8" s="21">
        <f t="shared" si="7"/>
        <v>0</v>
      </c>
      <c r="BK8" s="21">
        <f t="shared" si="7"/>
        <v>0</v>
      </c>
      <c r="BL8" s="21">
        <f t="shared" si="7"/>
        <v>0</v>
      </c>
      <c r="BM8" s="21">
        <f t="shared" si="7"/>
        <v>0</v>
      </c>
      <c r="BN8" s="21">
        <f t="shared" si="7"/>
        <v>0</v>
      </c>
      <c r="BO8" s="21">
        <f t="shared" si="7"/>
        <v>0</v>
      </c>
      <c r="BP8" s="21">
        <f t="shared" si="7"/>
        <v>0</v>
      </c>
      <c r="BQ8" s="21">
        <f t="shared" si="7"/>
        <v>0</v>
      </c>
      <c r="BR8" s="21">
        <f t="shared" si="7"/>
        <v>0</v>
      </c>
      <c r="BS8" s="21">
        <f t="shared" si="7"/>
        <v>0</v>
      </c>
      <c r="BT8" s="21">
        <f t="shared" si="7"/>
        <v>0</v>
      </c>
      <c r="BU8" s="21">
        <f t="shared" si="7"/>
        <v>0</v>
      </c>
      <c r="BV8" s="21">
        <f t="shared" si="7"/>
        <v>0</v>
      </c>
      <c r="BW8" s="21">
        <f t="shared" si="7"/>
        <v>0</v>
      </c>
      <c r="BX8" s="21">
        <f t="shared" si="7"/>
        <v>0</v>
      </c>
      <c r="BY8" s="21">
        <f t="shared" si="7"/>
        <v>0</v>
      </c>
      <c r="BZ8" s="21">
        <f t="shared" si="7"/>
        <v>0</v>
      </c>
      <c r="CA8" s="21">
        <f t="shared" si="7"/>
        <v>0</v>
      </c>
      <c r="CB8" s="21">
        <f t="shared" si="7"/>
        <v>0</v>
      </c>
      <c r="CC8" s="21">
        <f t="shared" si="7"/>
        <v>0</v>
      </c>
      <c r="CD8" s="21">
        <f t="shared" si="7"/>
        <v>0</v>
      </c>
      <c r="CE8" s="21">
        <f t="shared" si="7"/>
        <v>0</v>
      </c>
      <c r="CF8" s="21">
        <f t="shared" si="7"/>
        <v>0</v>
      </c>
      <c r="CG8" s="21">
        <f t="shared" si="7"/>
        <v>0</v>
      </c>
      <c r="CH8" s="21">
        <f t="shared" si="7"/>
        <v>0</v>
      </c>
      <c r="CI8" s="21">
        <f t="shared" si="7"/>
        <v>0</v>
      </c>
      <c r="CJ8" s="21">
        <f t="shared" si="7"/>
        <v>0</v>
      </c>
      <c r="CK8" s="21">
        <f t="shared" si="7"/>
        <v>0</v>
      </c>
      <c r="CL8" s="21">
        <f t="shared" si="7"/>
        <v>0</v>
      </c>
      <c r="CM8" s="21">
        <f t="shared" si="7"/>
        <v>0</v>
      </c>
      <c r="CN8" s="21">
        <f t="shared" si="7"/>
        <v>0</v>
      </c>
      <c r="CO8" s="21">
        <f t="shared" si="7"/>
        <v>0</v>
      </c>
      <c r="CP8" s="21">
        <f t="shared" si="7"/>
        <v>0</v>
      </c>
      <c r="CQ8" s="21">
        <f t="shared" si="8"/>
        <v>0</v>
      </c>
      <c r="CR8" s="21">
        <f t="shared" si="8"/>
        <v>0</v>
      </c>
      <c r="CS8" s="21">
        <f t="shared" si="8"/>
        <v>0</v>
      </c>
      <c r="CT8" s="21">
        <f t="shared" si="8"/>
        <v>0</v>
      </c>
      <c r="CU8" s="21">
        <f t="shared" si="8"/>
        <v>0</v>
      </c>
      <c r="CV8" s="21">
        <f t="shared" si="8"/>
        <v>0</v>
      </c>
      <c r="CW8" s="21">
        <f t="shared" si="8"/>
        <v>0</v>
      </c>
      <c r="CX8" s="21">
        <f t="shared" si="8"/>
        <v>0</v>
      </c>
      <c r="CY8" s="21">
        <f t="shared" si="8"/>
        <v>0</v>
      </c>
      <c r="CZ8" s="21">
        <f t="shared" si="8"/>
        <v>0</v>
      </c>
      <c r="DA8" s="21">
        <f t="shared" si="8"/>
        <v>0</v>
      </c>
      <c r="DB8" s="21">
        <f t="shared" si="8"/>
        <v>0</v>
      </c>
      <c r="DC8" s="21">
        <f t="shared" si="8"/>
        <v>0</v>
      </c>
      <c r="DD8" s="21">
        <f t="shared" si="8"/>
        <v>0</v>
      </c>
      <c r="DE8" s="21">
        <f t="shared" si="8"/>
        <v>0</v>
      </c>
      <c r="DF8" s="21">
        <f t="shared" si="8"/>
        <v>0</v>
      </c>
      <c r="DG8" s="21">
        <f t="shared" si="8"/>
        <v>0</v>
      </c>
      <c r="DH8" s="21">
        <f t="shared" si="8"/>
        <v>0</v>
      </c>
      <c r="DI8" s="21">
        <f t="shared" si="8"/>
        <v>0</v>
      </c>
      <c r="DJ8" s="21">
        <f t="shared" si="8"/>
        <v>0</v>
      </c>
      <c r="DK8" s="21">
        <f t="shared" si="8"/>
        <v>0</v>
      </c>
      <c r="DL8" s="21">
        <f t="shared" si="8"/>
        <v>0</v>
      </c>
      <c r="DM8" s="21">
        <f t="shared" si="8"/>
        <v>0</v>
      </c>
      <c r="DN8" s="21">
        <f t="shared" si="8"/>
        <v>0</v>
      </c>
      <c r="DO8" s="21">
        <f t="shared" si="8"/>
        <v>0</v>
      </c>
      <c r="DP8" s="21">
        <f t="shared" si="8"/>
        <v>0</v>
      </c>
      <c r="DQ8" s="21">
        <f t="shared" si="8"/>
        <v>0</v>
      </c>
      <c r="DR8" s="21">
        <f t="shared" si="8"/>
        <v>0</v>
      </c>
      <c r="DS8" s="21">
        <f t="shared" si="8"/>
        <v>0</v>
      </c>
      <c r="DT8" s="21">
        <f t="shared" si="8"/>
        <v>0</v>
      </c>
      <c r="DU8" s="21">
        <f t="shared" si="9"/>
        <v>0</v>
      </c>
      <c r="DV8" s="21">
        <f t="shared" si="9"/>
        <v>0</v>
      </c>
      <c r="DW8" s="21">
        <f t="shared" si="9"/>
        <v>0</v>
      </c>
      <c r="DX8" s="21">
        <f t="shared" si="9"/>
        <v>0</v>
      </c>
      <c r="DY8" s="21">
        <f t="shared" si="9"/>
        <v>0</v>
      </c>
      <c r="DZ8" s="21">
        <f t="shared" si="9"/>
        <v>0</v>
      </c>
      <c r="EA8" s="21">
        <f t="shared" si="9"/>
        <v>0</v>
      </c>
      <c r="EB8" s="21">
        <f t="shared" si="9"/>
        <v>0</v>
      </c>
      <c r="EC8" s="21">
        <f t="shared" si="9"/>
        <v>0</v>
      </c>
      <c r="ED8" s="21">
        <f t="shared" si="9"/>
        <v>0</v>
      </c>
      <c r="EE8" s="21">
        <f t="shared" si="9"/>
        <v>0</v>
      </c>
      <c r="EF8" s="21">
        <f t="shared" si="9"/>
        <v>0</v>
      </c>
      <c r="EG8" s="21">
        <f t="shared" si="9"/>
        <v>0</v>
      </c>
      <c r="EH8" s="21">
        <f t="shared" si="9"/>
        <v>0</v>
      </c>
      <c r="EI8" s="21">
        <f t="shared" si="9"/>
        <v>0</v>
      </c>
      <c r="EJ8" s="21">
        <f t="shared" si="9"/>
        <v>0</v>
      </c>
      <c r="EK8" s="21">
        <f t="shared" si="9"/>
        <v>0</v>
      </c>
      <c r="EL8" s="21">
        <f t="shared" si="9"/>
        <v>0</v>
      </c>
    </row>
    <row r="9" spans="2:142" x14ac:dyDescent="0.35">
      <c r="B9" s="1" t="s">
        <v>327</v>
      </c>
      <c r="C9" s="298">
        <v>59</v>
      </c>
      <c r="D9" s="208">
        <v>7500</v>
      </c>
      <c r="E9" s="19">
        <f>+D9*C9</f>
        <v>442500</v>
      </c>
      <c r="F9" s="9"/>
      <c r="G9" s="13">
        <v>0</v>
      </c>
      <c r="H9" s="13">
        <v>0</v>
      </c>
      <c r="I9" s="21"/>
      <c r="J9" s="21">
        <f t="shared" ref="J9:S9" si="10">IF(AND($G9=J$4,$H9=J$4),$E9,IF($G9&gt;J$4,0,IF($H9&lt;J$4,0,$E9/($H9-$G9+1))))</f>
        <v>442500</v>
      </c>
      <c r="K9" s="21">
        <f t="shared" si="10"/>
        <v>0</v>
      </c>
      <c r="L9" s="21">
        <f t="shared" si="10"/>
        <v>0</v>
      </c>
      <c r="M9" s="21">
        <f t="shared" si="10"/>
        <v>0</v>
      </c>
      <c r="N9" s="21">
        <f t="shared" si="10"/>
        <v>0</v>
      </c>
      <c r="O9" s="21">
        <f t="shared" si="10"/>
        <v>0</v>
      </c>
      <c r="P9" s="21">
        <f t="shared" si="10"/>
        <v>0</v>
      </c>
      <c r="Q9" s="21">
        <f t="shared" si="10"/>
        <v>0</v>
      </c>
      <c r="R9" s="21">
        <f t="shared" si="10"/>
        <v>0</v>
      </c>
      <c r="S9" s="21">
        <f t="shared" si="10"/>
        <v>0</v>
      </c>
      <c r="T9" s="21">
        <f t="shared" si="5"/>
        <v>0</v>
      </c>
      <c r="U9" s="21">
        <f t="shared" si="5"/>
        <v>0</v>
      </c>
      <c r="V9" s="21">
        <f t="shared" si="5"/>
        <v>0</v>
      </c>
      <c r="W9" s="21">
        <f t="shared" si="5"/>
        <v>0</v>
      </c>
      <c r="X9" s="21">
        <f t="shared" si="5"/>
        <v>0</v>
      </c>
      <c r="Y9" s="21">
        <f t="shared" si="5"/>
        <v>0</v>
      </c>
      <c r="Z9" s="21">
        <f t="shared" si="5"/>
        <v>0</v>
      </c>
      <c r="AA9" s="21">
        <f t="shared" ref="AA9:AJ9" si="11">IF(AND($G9=AA$4,$H9=AA$4),$E9,IF($G9&gt;AA$4,0,IF($H9&lt;AA$4,0,$E9/($H9-$G9+1))))</f>
        <v>0</v>
      </c>
      <c r="AB9" s="21">
        <f t="shared" si="11"/>
        <v>0</v>
      </c>
      <c r="AC9" s="21">
        <f t="shared" si="11"/>
        <v>0</v>
      </c>
      <c r="AD9" s="21">
        <f t="shared" si="11"/>
        <v>0</v>
      </c>
      <c r="AE9" s="21">
        <f t="shared" si="11"/>
        <v>0</v>
      </c>
      <c r="AF9" s="21">
        <f t="shared" si="11"/>
        <v>0</v>
      </c>
      <c r="AG9" s="21">
        <f t="shared" si="11"/>
        <v>0</v>
      </c>
      <c r="AH9" s="21">
        <f t="shared" si="11"/>
        <v>0</v>
      </c>
      <c r="AI9" s="21">
        <f t="shared" si="11"/>
        <v>0</v>
      </c>
      <c r="AJ9" s="21">
        <f t="shared" si="11"/>
        <v>0</v>
      </c>
      <c r="AK9" s="21">
        <f t="shared" ref="AK9:AT9" si="12">IF(AND($G9=AK$4,$H9=AK$4),$E9,IF($G9&gt;AK$4,0,IF($H9&lt;AK$4,0,$E9/($H9-$G9+1))))</f>
        <v>0</v>
      </c>
      <c r="AL9" s="21">
        <f t="shared" si="12"/>
        <v>0</v>
      </c>
      <c r="AM9" s="21">
        <f t="shared" si="12"/>
        <v>0</v>
      </c>
      <c r="AN9" s="21">
        <f t="shared" si="12"/>
        <v>0</v>
      </c>
      <c r="AO9" s="21">
        <f t="shared" si="12"/>
        <v>0</v>
      </c>
      <c r="AP9" s="21">
        <f t="shared" si="12"/>
        <v>0</v>
      </c>
      <c r="AQ9" s="21">
        <f t="shared" si="12"/>
        <v>0</v>
      </c>
      <c r="AR9" s="21">
        <f t="shared" si="12"/>
        <v>0</v>
      </c>
      <c r="AS9" s="21">
        <f t="shared" si="12"/>
        <v>0</v>
      </c>
      <c r="AT9" s="21">
        <f t="shared" si="12"/>
        <v>0</v>
      </c>
      <c r="AU9" s="21">
        <f t="shared" ref="AU9:BD9" si="13">IF(AND($G9=AU$4,$H9=AU$4),$E9,IF($G9&gt;AU$4,0,IF($H9&lt;AU$4,0,$E9/($H9-$G9+1))))</f>
        <v>0</v>
      </c>
      <c r="AV9" s="21">
        <f t="shared" si="13"/>
        <v>0</v>
      </c>
      <c r="AW9" s="21">
        <f t="shared" si="13"/>
        <v>0</v>
      </c>
      <c r="AX9" s="21">
        <f t="shared" si="13"/>
        <v>0</v>
      </c>
      <c r="AY9" s="21">
        <f t="shared" si="13"/>
        <v>0</v>
      </c>
      <c r="AZ9" s="21">
        <f t="shared" si="13"/>
        <v>0</v>
      </c>
      <c r="BA9" s="21">
        <f t="shared" si="13"/>
        <v>0</v>
      </c>
      <c r="BB9" s="21">
        <f t="shared" si="13"/>
        <v>0</v>
      </c>
      <c r="BC9" s="21">
        <f t="shared" si="13"/>
        <v>0</v>
      </c>
      <c r="BD9" s="21">
        <f t="shared" si="13"/>
        <v>0</v>
      </c>
      <c r="BE9" s="21">
        <f t="shared" ref="BE9:CB9" si="14">IF(AND($G9=BE$4,$H9=BE$4),$E9,IF($G9&gt;BE$4,0,IF($H9&lt;BE$4,0,$E9/($H9-$G9+1))))</f>
        <v>0</v>
      </c>
      <c r="BF9" s="21">
        <f t="shared" si="14"/>
        <v>0</v>
      </c>
      <c r="BG9" s="21">
        <f t="shared" si="14"/>
        <v>0</v>
      </c>
      <c r="BH9" s="21">
        <f t="shared" si="14"/>
        <v>0</v>
      </c>
      <c r="BI9" s="21">
        <f t="shared" si="14"/>
        <v>0</v>
      </c>
      <c r="BJ9" s="21">
        <f t="shared" si="14"/>
        <v>0</v>
      </c>
      <c r="BK9" s="21">
        <f t="shared" si="14"/>
        <v>0</v>
      </c>
      <c r="BL9" s="21">
        <f t="shared" si="14"/>
        <v>0</v>
      </c>
      <c r="BM9" s="21">
        <f t="shared" si="14"/>
        <v>0</v>
      </c>
      <c r="BN9" s="21">
        <f t="shared" si="14"/>
        <v>0</v>
      </c>
      <c r="BO9" s="21">
        <f t="shared" si="14"/>
        <v>0</v>
      </c>
      <c r="BP9" s="21">
        <f t="shared" si="14"/>
        <v>0</v>
      </c>
      <c r="BQ9" s="21">
        <f t="shared" si="14"/>
        <v>0</v>
      </c>
      <c r="BR9" s="21">
        <f t="shared" si="14"/>
        <v>0</v>
      </c>
      <c r="BS9" s="21">
        <f t="shared" si="14"/>
        <v>0</v>
      </c>
      <c r="BT9" s="21">
        <f t="shared" si="14"/>
        <v>0</v>
      </c>
      <c r="BU9" s="21">
        <f t="shared" si="14"/>
        <v>0</v>
      </c>
      <c r="BV9" s="21">
        <f t="shared" si="14"/>
        <v>0</v>
      </c>
      <c r="BW9" s="21">
        <f t="shared" si="14"/>
        <v>0</v>
      </c>
      <c r="BX9" s="21">
        <f t="shared" si="14"/>
        <v>0</v>
      </c>
      <c r="BY9" s="21">
        <f t="shared" si="14"/>
        <v>0</v>
      </c>
      <c r="BZ9" s="21">
        <f t="shared" si="14"/>
        <v>0</v>
      </c>
      <c r="CA9" s="21">
        <f t="shared" si="14"/>
        <v>0</v>
      </c>
      <c r="CB9" s="21">
        <f t="shared" si="14"/>
        <v>0</v>
      </c>
      <c r="CC9" s="21">
        <f t="shared" ref="CC9:EL11" si="15">IF(AND($G9=CC$4,$H9=CC$4),$E9,IF($G9&gt;CC$4,0,IF($H9&lt;CC$4,0,$E9/($H9-$G9+1))))</f>
        <v>0</v>
      </c>
      <c r="CD9" s="21">
        <f t="shared" si="15"/>
        <v>0</v>
      </c>
      <c r="CE9" s="21">
        <f t="shared" si="15"/>
        <v>0</v>
      </c>
      <c r="CF9" s="21">
        <f t="shared" si="15"/>
        <v>0</v>
      </c>
      <c r="CG9" s="21">
        <f t="shared" si="15"/>
        <v>0</v>
      </c>
      <c r="CH9" s="21">
        <f t="shared" si="15"/>
        <v>0</v>
      </c>
      <c r="CI9" s="21">
        <f t="shared" si="15"/>
        <v>0</v>
      </c>
      <c r="CJ9" s="21">
        <f t="shared" si="15"/>
        <v>0</v>
      </c>
      <c r="CK9" s="21">
        <f t="shared" si="15"/>
        <v>0</v>
      </c>
      <c r="CL9" s="21">
        <f t="shared" si="15"/>
        <v>0</v>
      </c>
      <c r="CM9" s="21">
        <f t="shared" si="15"/>
        <v>0</v>
      </c>
      <c r="CN9" s="21">
        <f t="shared" si="15"/>
        <v>0</v>
      </c>
      <c r="CO9" s="21">
        <f t="shared" si="15"/>
        <v>0</v>
      </c>
      <c r="CP9" s="21">
        <f t="shared" si="15"/>
        <v>0</v>
      </c>
      <c r="CQ9" s="21">
        <f t="shared" si="15"/>
        <v>0</v>
      </c>
      <c r="CR9" s="21">
        <f t="shared" si="15"/>
        <v>0</v>
      </c>
      <c r="CS9" s="21">
        <f t="shared" si="15"/>
        <v>0</v>
      </c>
      <c r="CT9" s="21">
        <f t="shared" si="15"/>
        <v>0</v>
      </c>
      <c r="CU9" s="21">
        <f t="shared" si="15"/>
        <v>0</v>
      </c>
      <c r="CV9" s="21">
        <f t="shared" si="15"/>
        <v>0</v>
      </c>
      <c r="CW9" s="21">
        <f t="shared" si="15"/>
        <v>0</v>
      </c>
      <c r="CX9" s="21">
        <f t="shared" si="15"/>
        <v>0</v>
      </c>
      <c r="CY9" s="21">
        <f t="shared" si="15"/>
        <v>0</v>
      </c>
      <c r="CZ9" s="21">
        <f t="shared" si="15"/>
        <v>0</v>
      </c>
      <c r="DA9" s="21">
        <f t="shared" si="15"/>
        <v>0</v>
      </c>
      <c r="DB9" s="21">
        <f t="shared" si="15"/>
        <v>0</v>
      </c>
      <c r="DC9" s="21">
        <f t="shared" si="15"/>
        <v>0</v>
      </c>
      <c r="DD9" s="21">
        <f t="shared" si="15"/>
        <v>0</v>
      </c>
      <c r="DE9" s="21">
        <f t="shared" si="15"/>
        <v>0</v>
      </c>
      <c r="DF9" s="21">
        <f t="shared" si="15"/>
        <v>0</v>
      </c>
      <c r="DG9" s="21">
        <f t="shared" si="15"/>
        <v>0</v>
      </c>
      <c r="DH9" s="21">
        <f t="shared" si="15"/>
        <v>0</v>
      </c>
      <c r="DI9" s="21">
        <f t="shared" si="15"/>
        <v>0</v>
      </c>
      <c r="DJ9" s="21">
        <f t="shared" si="15"/>
        <v>0</v>
      </c>
      <c r="DK9" s="21">
        <f t="shared" si="15"/>
        <v>0</v>
      </c>
      <c r="DL9" s="21">
        <f t="shared" si="15"/>
        <v>0</v>
      </c>
      <c r="DM9" s="21">
        <f t="shared" si="15"/>
        <v>0</v>
      </c>
      <c r="DN9" s="21">
        <f t="shared" si="15"/>
        <v>0</v>
      </c>
      <c r="DO9" s="21">
        <f t="shared" si="15"/>
        <v>0</v>
      </c>
      <c r="DP9" s="21">
        <f t="shared" si="15"/>
        <v>0</v>
      </c>
      <c r="DQ9" s="21">
        <f t="shared" si="15"/>
        <v>0</v>
      </c>
      <c r="DR9" s="21">
        <f t="shared" si="15"/>
        <v>0</v>
      </c>
      <c r="DS9" s="21">
        <f t="shared" si="15"/>
        <v>0</v>
      </c>
      <c r="DT9" s="21">
        <f t="shared" si="15"/>
        <v>0</v>
      </c>
      <c r="DU9" s="21">
        <f t="shared" si="15"/>
        <v>0</v>
      </c>
      <c r="DV9" s="21">
        <f t="shared" si="15"/>
        <v>0</v>
      </c>
      <c r="DW9" s="21">
        <f t="shared" si="15"/>
        <v>0</v>
      </c>
      <c r="DX9" s="21">
        <f t="shared" si="15"/>
        <v>0</v>
      </c>
      <c r="DY9" s="21">
        <f t="shared" si="15"/>
        <v>0</v>
      </c>
      <c r="DZ9" s="21">
        <f t="shared" si="15"/>
        <v>0</v>
      </c>
      <c r="EA9" s="21">
        <f t="shared" si="15"/>
        <v>0</v>
      </c>
      <c r="EB9" s="21">
        <f t="shared" si="15"/>
        <v>0</v>
      </c>
      <c r="EC9" s="21">
        <f t="shared" si="15"/>
        <v>0</v>
      </c>
      <c r="ED9" s="21">
        <f t="shared" si="15"/>
        <v>0</v>
      </c>
      <c r="EE9" s="21">
        <f t="shared" si="15"/>
        <v>0</v>
      </c>
      <c r="EF9" s="21">
        <f t="shared" si="15"/>
        <v>0</v>
      </c>
      <c r="EG9" s="21">
        <f t="shared" si="15"/>
        <v>0</v>
      </c>
      <c r="EH9" s="21">
        <f t="shared" si="15"/>
        <v>0</v>
      </c>
      <c r="EI9" s="21">
        <f t="shared" si="15"/>
        <v>0</v>
      </c>
      <c r="EJ9" s="21">
        <f t="shared" si="15"/>
        <v>0</v>
      </c>
      <c r="EK9" s="21">
        <f t="shared" si="15"/>
        <v>0</v>
      </c>
      <c r="EL9" s="21">
        <f t="shared" si="15"/>
        <v>0</v>
      </c>
    </row>
    <row r="10" spans="2:142" x14ac:dyDescent="0.35">
      <c r="B10" s="1" t="s">
        <v>310</v>
      </c>
      <c r="C10" s="241">
        <f>IFERROR(SUMIFS(Assumptions!$C$46:$C$123,Assumptions!$C$46:$C$123,1),0)</f>
        <v>78</v>
      </c>
      <c r="D10" s="260">
        <f>+Assumptions!L144</f>
        <v>2430.7692307692309</v>
      </c>
      <c r="E10" s="19">
        <f>+D10*C10</f>
        <v>189600</v>
      </c>
      <c r="G10" s="13">
        <v>0</v>
      </c>
      <c r="H10" s="13">
        <v>0</v>
      </c>
      <c r="I10" s="21"/>
      <c r="J10" s="21">
        <f t="shared" si="4"/>
        <v>189600</v>
      </c>
      <c r="K10" s="21">
        <f t="shared" ref="K10:Z10" si="16">IF(AND($G10=K$4,$H10=K$4),$E10,IF($G10&gt;K$4,0,IF($H10&lt;K$4,0,$E10/($H10-$G10+1))))</f>
        <v>0</v>
      </c>
      <c r="L10" s="21">
        <f t="shared" si="16"/>
        <v>0</v>
      </c>
      <c r="M10" s="21">
        <f t="shared" si="16"/>
        <v>0</v>
      </c>
      <c r="N10" s="21">
        <f t="shared" si="16"/>
        <v>0</v>
      </c>
      <c r="O10" s="21">
        <f t="shared" si="16"/>
        <v>0</v>
      </c>
      <c r="P10" s="21">
        <f t="shared" si="16"/>
        <v>0</v>
      </c>
      <c r="Q10" s="21">
        <f t="shared" si="16"/>
        <v>0</v>
      </c>
      <c r="R10" s="21">
        <f t="shared" si="16"/>
        <v>0</v>
      </c>
      <c r="S10" s="21">
        <f t="shared" si="16"/>
        <v>0</v>
      </c>
      <c r="T10" s="21">
        <f t="shared" si="16"/>
        <v>0</v>
      </c>
      <c r="U10" s="21">
        <f t="shared" si="16"/>
        <v>0</v>
      </c>
      <c r="V10" s="21">
        <f t="shared" si="16"/>
        <v>0</v>
      </c>
      <c r="W10" s="21">
        <f t="shared" si="16"/>
        <v>0</v>
      </c>
      <c r="X10" s="21">
        <f t="shared" si="16"/>
        <v>0</v>
      </c>
      <c r="Y10" s="21">
        <f t="shared" si="16"/>
        <v>0</v>
      </c>
      <c r="Z10" s="21">
        <f t="shared" si="16"/>
        <v>0</v>
      </c>
      <c r="AA10" s="21">
        <f t="shared" ref="AA10:AO10" si="17">IF(AND($G10=AA$4,$H10=AA$4),$E10,IF($G10&gt;AA$4,0,IF($H10&lt;AA$4,0,$E10/($H10-$G10+1))))</f>
        <v>0</v>
      </c>
      <c r="AB10" s="21">
        <f t="shared" si="17"/>
        <v>0</v>
      </c>
      <c r="AC10" s="21">
        <f t="shared" si="17"/>
        <v>0</v>
      </c>
      <c r="AD10" s="21">
        <f t="shared" si="17"/>
        <v>0</v>
      </c>
      <c r="AE10" s="21">
        <f t="shared" si="17"/>
        <v>0</v>
      </c>
      <c r="AF10" s="21">
        <f t="shared" si="17"/>
        <v>0</v>
      </c>
      <c r="AG10" s="21">
        <f t="shared" si="17"/>
        <v>0</v>
      </c>
      <c r="AH10" s="21">
        <f t="shared" si="17"/>
        <v>0</v>
      </c>
      <c r="AI10" s="21">
        <f t="shared" si="17"/>
        <v>0</v>
      </c>
      <c r="AJ10" s="21">
        <f t="shared" si="17"/>
        <v>0</v>
      </c>
      <c r="AK10" s="21">
        <f t="shared" si="17"/>
        <v>0</v>
      </c>
      <c r="AL10" s="21">
        <f t="shared" si="17"/>
        <v>0</v>
      </c>
      <c r="AM10" s="21">
        <f t="shared" si="17"/>
        <v>0</v>
      </c>
      <c r="AN10" s="21">
        <f t="shared" si="17"/>
        <v>0</v>
      </c>
      <c r="AO10" s="21">
        <f t="shared" si="17"/>
        <v>0</v>
      </c>
      <c r="AP10" s="21">
        <f t="shared" ref="AP10" si="18">IF(AND($G10=AP$4,$H10=AP$4),$E10,IF($G10&gt;AP$4,0,IF($H10&lt;AP$4,0,$E10/($H10-$G10+1))))</f>
        <v>0</v>
      </c>
      <c r="AQ10" s="21">
        <f t="shared" ref="AQ10:AS10" si="19">IF(AND($G10=AQ$4,$H10=AQ$4),$E10,IF($G10&gt;AQ$4,0,IF($H10&lt;AQ$4,0,$E10/($H10-$G10+1))))</f>
        <v>0</v>
      </c>
      <c r="AR10" s="21">
        <f t="shared" si="19"/>
        <v>0</v>
      </c>
      <c r="AS10" s="21">
        <f t="shared" si="19"/>
        <v>0</v>
      </c>
      <c r="AT10" s="21">
        <f t="shared" ref="AT10:BI10" si="20">IF(AND($G10=AT$4,$H10=AT$4),$E10,IF($G10&gt;AT$4,0,IF($H10&lt;AT$4,0,$E10/($H10-$G10+1))))</f>
        <v>0</v>
      </c>
      <c r="AU10" s="21">
        <f t="shared" si="20"/>
        <v>0</v>
      </c>
      <c r="AV10" s="21">
        <f t="shared" si="20"/>
        <v>0</v>
      </c>
      <c r="AW10" s="21">
        <f t="shared" si="20"/>
        <v>0</v>
      </c>
      <c r="AX10" s="21">
        <f t="shared" si="20"/>
        <v>0</v>
      </c>
      <c r="AY10" s="21">
        <f t="shared" si="20"/>
        <v>0</v>
      </c>
      <c r="AZ10" s="21">
        <f t="shared" si="20"/>
        <v>0</v>
      </c>
      <c r="BA10" s="21">
        <f t="shared" si="20"/>
        <v>0</v>
      </c>
      <c r="BB10" s="21">
        <f t="shared" si="20"/>
        <v>0</v>
      </c>
      <c r="BC10" s="21">
        <f t="shared" si="20"/>
        <v>0</v>
      </c>
      <c r="BD10" s="21">
        <f t="shared" si="20"/>
        <v>0</v>
      </c>
      <c r="BE10" s="21">
        <f t="shared" si="20"/>
        <v>0</v>
      </c>
      <c r="BF10" s="21">
        <f t="shared" si="20"/>
        <v>0</v>
      </c>
      <c r="BG10" s="21">
        <f t="shared" si="20"/>
        <v>0</v>
      </c>
      <c r="BH10" s="21">
        <f t="shared" si="20"/>
        <v>0</v>
      </c>
      <c r="BI10" s="21">
        <f t="shared" si="20"/>
        <v>0</v>
      </c>
      <c r="BJ10" s="21">
        <f t="shared" ref="BJ10:BY10" si="21">IF(AND($G10=BJ$4,$H10=BJ$4),$E10,IF($G10&gt;BJ$4,0,IF($H10&lt;BJ$4,0,$E10/($H10-$G10+1))))</f>
        <v>0</v>
      </c>
      <c r="BK10" s="21">
        <f t="shared" si="21"/>
        <v>0</v>
      </c>
      <c r="BL10" s="21">
        <f t="shared" si="21"/>
        <v>0</v>
      </c>
      <c r="BM10" s="21">
        <f t="shared" si="21"/>
        <v>0</v>
      </c>
      <c r="BN10" s="21">
        <f t="shared" si="21"/>
        <v>0</v>
      </c>
      <c r="BO10" s="21">
        <f t="shared" si="21"/>
        <v>0</v>
      </c>
      <c r="BP10" s="21">
        <f t="shared" si="21"/>
        <v>0</v>
      </c>
      <c r="BQ10" s="21">
        <f t="shared" si="21"/>
        <v>0</v>
      </c>
      <c r="BR10" s="21">
        <f t="shared" si="21"/>
        <v>0</v>
      </c>
      <c r="BS10" s="21">
        <f t="shared" si="21"/>
        <v>0</v>
      </c>
      <c r="BT10" s="21">
        <f t="shared" si="21"/>
        <v>0</v>
      </c>
      <c r="BU10" s="21">
        <f t="shared" si="21"/>
        <v>0</v>
      </c>
      <c r="BV10" s="21">
        <f t="shared" si="21"/>
        <v>0</v>
      </c>
      <c r="BW10" s="21">
        <f t="shared" si="21"/>
        <v>0</v>
      </c>
      <c r="BX10" s="21">
        <f t="shared" si="21"/>
        <v>0</v>
      </c>
      <c r="BY10" s="21">
        <f t="shared" si="21"/>
        <v>0</v>
      </c>
      <c r="BZ10" s="21">
        <f t="shared" ref="BZ10:CO10" si="22">IF(AND($G10=BZ$4,$H10=BZ$4),$E10,IF($G10&gt;BZ$4,0,IF($H10&lt;BZ$4,0,$E10/($H10-$G10+1))))</f>
        <v>0</v>
      </c>
      <c r="CA10" s="21">
        <f t="shared" si="22"/>
        <v>0</v>
      </c>
      <c r="CB10" s="21">
        <f t="shared" si="22"/>
        <v>0</v>
      </c>
      <c r="CC10" s="21">
        <f t="shared" si="22"/>
        <v>0</v>
      </c>
      <c r="CD10" s="21">
        <f t="shared" si="22"/>
        <v>0</v>
      </c>
      <c r="CE10" s="21">
        <f t="shared" si="22"/>
        <v>0</v>
      </c>
      <c r="CF10" s="21">
        <f t="shared" si="22"/>
        <v>0</v>
      </c>
      <c r="CG10" s="21">
        <f t="shared" si="22"/>
        <v>0</v>
      </c>
      <c r="CH10" s="21">
        <f t="shared" si="22"/>
        <v>0</v>
      </c>
      <c r="CI10" s="21">
        <f t="shared" si="22"/>
        <v>0</v>
      </c>
      <c r="CJ10" s="21">
        <f t="shared" si="22"/>
        <v>0</v>
      </c>
      <c r="CK10" s="21">
        <f t="shared" si="22"/>
        <v>0</v>
      </c>
      <c r="CL10" s="21">
        <f t="shared" si="22"/>
        <v>0</v>
      </c>
      <c r="CM10" s="21">
        <f t="shared" si="22"/>
        <v>0</v>
      </c>
      <c r="CN10" s="21">
        <f t="shared" si="22"/>
        <v>0</v>
      </c>
      <c r="CO10" s="21">
        <f t="shared" si="22"/>
        <v>0</v>
      </c>
      <c r="CP10" s="21">
        <f t="shared" ref="CP10:DE10" si="23">IF(AND($G10=CP$4,$H10=CP$4),$E10,IF($G10&gt;CP$4,0,IF($H10&lt;CP$4,0,$E10/($H10-$G10+1))))</f>
        <v>0</v>
      </c>
      <c r="CQ10" s="21">
        <f t="shared" si="23"/>
        <v>0</v>
      </c>
      <c r="CR10" s="21">
        <f t="shared" si="23"/>
        <v>0</v>
      </c>
      <c r="CS10" s="21">
        <f t="shared" si="23"/>
        <v>0</v>
      </c>
      <c r="CT10" s="21">
        <f t="shared" si="23"/>
        <v>0</v>
      </c>
      <c r="CU10" s="21">
        <f t="shared" si="23"/>
        <v>0</v>
      </c>
      <c r="CV10" s="21">
        <f t="shared" si="23"/>
        <v>0</v>
      </c>
      <c r="CW10" s="21">
        <f t="shared" si="23"/>
        <v>0</v>
      </c>
      <c r="CX10" s="21">
        <f t="shared" si="23"/>
        <v>0</v>
      </c>
      <c r="CY10" s="21">
        <f t="shared" si="23"/>
        <v>0</v>
      </c>
      <c r="CZ10" s="21">
        <f t="shared" si="23"/>
        <v>0</v>
      </c>
      <c r="DA10" s="21">
        <f t="shared" si="23"/>
        <v>0</v>
      </c>
      <c r="DB10" s="21">
        <f t="shared" si="23"/>
        <v>0</v>
      </c>
      <c r="DC10" s="21">
        <f t="shared" si="23"/>
        <v>0</v>
      </c>
      <c r="DD10" s="21">
        <f t="shared" si="23"/>
        <v>0</v>
      </c>
      <c r="DE10" s="21">
        <f t="shared" si="23"/>
        <v>0</v>
      </c>
      <c r="DF10" s="21">
        <f t="shared" ref="DF10:DU10" si="24">IF(AND($G10=DF$4,$H10=DF$4),$E10,IF($G10&gt;DF$4,0,IF($H10&lt;DF$4,0,$E10/($H10-$G10+1))))</f>
        <v>0</v>
      </c>
      <c r="DG10" s="21">
        <f t="shared" si="24"/>
        <v>0</v>
      </c>
      <c r="DH10" s="21">
        <f t="shared" si="24"/>
        <v>0</v>
      </c>
      <c r="DI10" s="21">
        <f t="shared" si="24"/>
        <v>0</v>
      </c>
      <c r="DJ10" s="21">
        <f t="shared" si="24"/>
        <v>0</v>
      </c>
      <c r="DK10" s="21">
        <f t="shared" si="24"/>
        <v>0</v>
      </c>
      <c r="DL10" s="21">
        <f t="shared" si="24"/>
        <v>0</v>
      </c>
      <c r="DM10" s="21">
        <f t="shared" si="24"/>
        <v>0</v>
      </c>
      <c r="DN10" s="21">
        <f t="shared" si="24"/>
        <v>0</v>
      </c>
      <c r="DO10" s="21">
        <f t="shared" si="24"/>
        <v>0</v>
      </c>
      <c r="DP10" s="21">
        <f t="shared" si="24"/>
        <v>0</v>
      </c>
      <c r="DQ10" s="21">
        <f t="shared" si="24"/>
        <v>0</v>
      </c>
      <c r="DR10" s="21">
        <f t="shared" si="24"/>
        <v>0</v>
      </c>
      <c r="DS10" s="21">
        <f t="shared" si="24"/>
        <v>0</v>
      </c>
      <c r="DT10" s="21">
        <f t="shared" si="24"/>
        <v>0</v>
      </c>
      <c r="DU10" s="21">
        <f t="shared" si="24"/>
        <v>0</v>
      </c>
      <c r="DV10" s="21">
        <f t="shared" ref="DV10:EL10" si="25">IF(AND($G10=DV$4,$H10=DV$4),$E10,IF($G10&gt;DV$4,0,IF($H10&lt;DV$4,0,$E10/($H10-$G10+1))))</f>
        <v>0</v>
      </c>
      <c r="DW10" s="21">
        <f t="shared" si="25"/>
        <v>0</v>
      </c>
      <c r="DX10" s="21">
        <f t="shared" si="25"/>
        <v>0</v>
      </c>
      <c r="DY10" s="21">
        <f t="shared" si="25"/>
        <v>0</v>
      </c>
      <c r="DZ10" s="21">
        <f t="shared" si="25"/>
        <v>0</v>
      </c>
      <c r="EA10" s="21">
        <f t="shared" si="25"/>
        <v>0</v>
      </c>
      <c r="EB10" s="21">
        <f t="shared" si="25"/>
        <v>0</v>
      </c>
      <c r="EC10" s="21">
        <f t="shared" si="25"/>
        <v>0</v>
      </c>
      <c r="ED10" s="21">
        <f t="shared" si="25"/>
        <v>0</v>
      </c>
      <c r="EE10" s="21">
        <f t="shared" si="25"/>
        <v>0</v>
      </c>
      <c r="EF10" s="21">
        <f t="shared" si="25"/>
        <v>0</v>
      </c>
      <c r="EG10" s="21">
        <f t="shared" si="25"/>
        <v>0</v>
      </c>
      <c r="EH10" s="21">
        <f t="shared" si="25"/>
        <v>0</v>
      </c>
      <c r="EI10" s="21">
        <f t="shared" si="25"/>
        <v>0</v>
      </c>
      <c r="EJ10" s="21">
        <f t="shared" si="25"/>
        <v>0</v>
      </c>
      <c r="EK10" s="21">
        <f t="shared" si="25"/>
        <v>0</v>
      </c>
      <c r="EL10" s="21">
        <f t="shared" si="25"/>
        <v>0</v>
      </c>
    </row>
    <row r="11" spans="2:142" x14ac:dyDescent="0.45">
      <c r="B11" s="1" t="s">
        <v>6</v>
      </c>
      <c r="D11" s="14">
        <v>0.05</v>
      </c>
      <c r="E11" s="6">
        <f>+D11*SUM(E5:E10)</f>
        <v>37577.464761842217</v>
      </c>
      <c r="G11" s="22">
        <f>+H11</f>
        <v>0</v>
      </c>
      <c r="H11" s="22">
        <f>MAX(H5:H10)</f>
        <v>0</v>
      </c>
      <c r="I11" s="21"/>
      <c r="J11" s="21">
        <f t="shared" si="4"/>
        <v>37577.464761842217</v>
      </c>
      <c r="K11" s="21">
        <f t="shared" si="5"/>
        <v>0</v>
      </c>
      <c r="L11" s="21">
        <f t="shared" si="5"/>
        <v>0</v>
      </c>
      <c r="M11" s="21">
        <f t="shared" si="5"/>
        <v>0</v>
      </c>
      <c r="N11" s="21">
        <f t="shared" si="5"/>
        <v>0</v>
      </c>
      <c r="O11" s="21">
        <f t="shared" si="5"/>
        <v>0</v>
      </c>
      <c r="P11" s="21">
        <f t="shared" si="5"/>
        <v>0</v>
      </c>
      <c r="Q11" s="21">
        <f t="shared" si="5"/>
        <v>0</v>
      </c>
      <c r="R11" s="21">
        <f t="shared" si="5"/>
        <v>0</v>
      </c>
      <c r="S11" s="21">
        <f t="shared" si="5"/>
        <v>0</v>
      </c>
      <c r="T11" s="21">
        <f t="shared" si="5"/>
        <v>0</v>
      </c>
      <c r="U11" s="21">
        <f t="shared" si="5"/>
        <v>0</v>
      </c>
      <c r="V11" s="21">
        <f t="shared" si="5"/>
        <v>0</v>
      </c>
      <c r="W11" s="21">
        <f t="shared" si="5"/>
        <v>0</v>
      </c>
      <c r="X11" s="21">
        <f t="shared" si="5"/>
        <v>0</v>
      </c>
      <c r="Y11" s="21">
        <f t="shared" si="5"/>
        <v>0</v>
      </c>
      <c r="Z11" s="21">
        <f t="shared" si="5"/>
        <v>0</v>
      </c>
      <c r="AA11" s="21">
        <f t="shared" ref="AA11:DF11" si="26">IF(AND($G11=AA$4,$H11=AA$4),$E11,IF($G11&gt;AA$4,0,IF($H11&lt;AA$4,0,$E11/($H11-$G11+1))))</f>
        <v>0</v>
      </c>
      <c r="AB11" s="21">
        <f t="shared" si="26"/>
        <v>0</v>
      </c>
      <c r="AC11" s="21">
        <f t="shared" si="26"/>
        <v>0</v>
      </c>
      <c r="AD11" s="21">
        <f t="shared" si="26"/>
        <v>0</v>
      </c>
      <c r="AE11" s="21">
        <f t="shared" si="26"/>
        <v>0</v>
      </c>
      <c r="AF11" s="21">
        <f t="shared" si="26"/>
        <v>0</v>
      </c>
      <c r="AG11" s="21">
        <f t="shared" si="26"/>
        <v>0</v>
      </c>
      <c r="AH11" s="21">
        <f t="shared" si="26"/>
        <v>0</v>
      </c>
      <c r="AI11" s="21">
        <f t="shared" si="26"/>
        <v>0</v>
      </c>
      <c r="AJ11" s="21">
        <f t="shared" si="26"/>
        <v>0</v>
      </c>
      <c r="AK11" s="21">
        <f t="shared" si="26"/>
        <v>0</v>
      </c>
      <c r="AL11" s="21">
        <f t="shared" si="26"/>
        <v>0</v>
      </c>
      <c r="AM11" s="21">
        <f t="shared" si="26"/>
        <v>0</v>
      </c>
      <c r="AN11" s="21">
        <f t="shared" si="26"/>
        <v>0</v>
      </c>
      <c r="AO11" s="21">
        <f t="shared" si="26"/>
        <v>0</v>
      </c>
      <c r="AP11" s="21">
        <f t="shared" si="26"/>
        <v>0</v>
      </c>
      <c r="AQ11" s="21">
        <f t="shared" si="26"/>
        <v>0</v>
      </c>
      <c r="AR11" s="21">
        <f t="shared" si="26"/>
        <v>0</v>
      </c>
      <c r="AS11" s="21">
        <f t="shared" si="26"/>
        <v>0</v>
      </c>
      <c r="AT11" s="21">
        <f t="shared" si="26"/>
        <v>0</v>
      </c>
      <c r="AU11" s="21">
        <f t="shared" si="26"/>
        <v>0</v>
      </c>
      <c r="AV11" s="21">
        <f t="shared" si="26"/>
        <v>0</v>
      </c>
      <c r="AW11" s="21">
        <f t="shared" si="26"/>
        <v>0</v>
      </c>
      <c r="AX11" s="21">
        <f t="shared" si="26"/>
        <v>0</v>
      </c>
      <c r="AY11" s="21">
        <f t="shared" si="26"/>
        <v>0</v>
      </c>
      <c r="AZ11" s="21">
        <f t="shared" si="26"/>
        <v>0</v>
      </c>
      <c r="BA11" s="21">
        <f t="shared" si="26"/>
        <v>0</v>
      </c>
      <c r="BB11" s="21">
        <f t="shared" si="26"/>
        <v>0</v>
      </c>
      <c r="BC11" s="21">
        <f t="shared" si="26"/>
        <v>0</v>
      </c>
      <c r="BD11" s="21">
        <f t="shared" si="26"/>
        <v>0</v>
      </c>
      <c r="BE11" s="21">
        <f t="shared" si="26"/>
        <v>0</v>
      </c>
      <c r="BF11" s="21">
        <f t="shared" si="26"/>
        <v>0</v>
      </c>
      <c r="BG11" s="21">
        <f t="shared" si="26"/>
        <v>0</v>
      </c>
      <c r="BH11" s="21">
        <f t="shared" si="26"/>
        <v>0</v>
      </c>
      <c r="BI11" s="21">
        <f t="shared" si="26"/>
        <v>0</v>
      </c>
      <c r="BJ11" s="21">
        <f t="shared" si="26"/>
        <v>0</v>
      </c>
      <c r="BK11" s="21">
        <f t="shared" si="26"/>
        <v>0</v>
      </c>
      <c r="BL11" s="21">
        <f t="shared" si="26"/>
        <v>0</v>
      </c>
      <c r="BM11" s="21">
        <f t="shared" si="26"/>
        <v>0</v>
      </c>
      <c r="BN11" s="21">
        <f t="shared" si="26"/>
        <v>0</v>
      </c>
      <c r="BO11" s="21">
        <f t="shared" si="26"/>
        <v>0</v>
      </c>
      <c r="BP11" s="21">
        <f t="shared" si="26"/>
        <v>0</v>
      </c>
      <c r="BQ11" s="21">
        <f t="shared" si="26"/>
        <v>0</v>
      </c>
      <c r="BR11" s="21">
        <f t="shared" si="26"/>
        <v>0</v>
      </c>
      <c r="BS11" s="21">
        <f t="shared" si="26"/>
        <v>0</v>
      </c>
      <c r="BT11" s="21">
        <f t="shared" si="26"/>
        <v>0</v>
      </c>
      <c r="BU11" s="21">
        <f t="shared" si="26"/>
        <v>0</v>
      </c>
      <c r="BV11" s="21">
        <f t="shared" si="26"/>
        <v>0</v>
      </c>
      <c r="BW11" s="21">
        <f t="shared" si="26"/>
        <v>0</v>
      </c>
      <c r="BX11" s="21">
        <f t="shared" si="26"/>
        <v>0</v>
      </c>
      <c r="BY11" s="21">
        <f t="shared" si="26"/>
        <v>0</v>
      </c>
      <c r="BZ11" s="21">
        <f t="shared" si="26"/>
        <v>0</v>
      </c>
      <c r="CA11" s="21">
        <f t="shared" si="26"/>
        <v>0</v>
      </c>
      <c r="CB11" s="21">
        <f t="shared" si="26"/>
        <v>0</v>
      </c>
      <c r="CC11" s="21">
        <f t="shared" si="26"/>
        <v>0</v>
      </c>
      <c r="CD11" s="21">
        <f t="shared" si="26"/>
        <v>0</v>
      </c>
      <c r="CE11" s="21">
        <f t="shared" si="26"/>
        <v>0</v>
      </c>
      <c r="CF11" s="21">
        <f t="shared" si="26"/>
        <v>0</v>
      </c>
      <c r="CG11" s="21">
        <f t="shared" si="26"/>
        <v>0</v>
      </c>
      <c r="CH11" s="21">
        <f t="shared" si="26"/>
        <v>0</v>
      </c>
      <c r="CI11" s="21">
        <f t="shared" si="26"/>
        <v>0</v>
      </c>
      <c r="CJ11" s="21">
        <f t="shared" si="26"/>
        <v>0</v>
      </c>
      <c r="CK11" s="21">
        <f t="shared" si="26"/>
        <v>0</v>
      </c>
      <c r="CL11" s="21">
        <f t="shared" si="26"/>
        <v>0</v>
      </c>
      <c r="CM11" s="21">
        <f t="shared" si="26"/>
        <v>0</v>
      </c>
      <c r="CN11" s="21">
        <f t="shared" si="26"/>
        <v>0</v>
      </c>
      <c r="CO11" s="21">
        <f t="shared" si="26"/>
        <v>0</v>
      </c>
      <c r="CP11" s="21">
        <f t="shared" si="26"/>
        <v>0</v>
      </c>
      <c r="CQ11" s="21">
        <f t="shared" si="26"/>
        <v>0</v>
      </c>
      <c r="CR11" s="21">
        <f t="shared" si="26"/>
        <v>0</v>
      </c>
      <c r="CS11" s="21">
        <f t="shared" si="26"/>
        <v>0</v>
      </c>
      <c r="CT11" s="21">
        <f t="shared" si="26"/>
        <v>0</v>
      </c>
      <c r="CU11" s="21">
        <f t="shared" si="26"/>
        <v>0</v>
      </c>
      <c r="CV11" s="21">
        <f t="shared" si="26"/>
        <v>0</v>
      </c>
      <c r="CW11" s="21">
        <f t="shared" si="26"/>
        <v>0</v>
      </c>
      <c r="CX11" s="21">
        <f t="shared" si="26"/>
        <v>0</v>
      </c>
      <c r="CY11" s="21">
        <f t="shared" si="26"/>
        <v>0</v>
      </c>
      <c r="CZ11" s="21">
        <f t="shared" si="26"/>
        <v>0</v>
      </c>
      <c r="DA11" s="21">
        <f t="shared" si="26"/>
        <v>0</v>
      </c>
      <c r="DB11" s="21">
        <f t="shared" si="26"/>
        <v>0</v>
      </c>
      <c r="DC11" s="21">
        <f t="shared" si="26"/>
        <v>0</v>
      </c>
      <c r="DD11" s="21">
        <f t="shared" si="26"/>
        <v>0</v>
      </c>
      <c r="DE11" s="21">
        <f t="shared" si="26"/>
        <v>0</v>
      </c>
      <c r="DF11" s="21">
        <f t="shared" si="26"/>
        <v>0</v>
      </c>
      <c r="DG11" s="21">
        <f t="shared" si="15"/>
        <v>0</v>
      </c>
      <c r="DH11" s="21">
        <f t="shared" si="15"/>
        <v>0</v>
      </c>
      <c r="DI11" s="21">
        <f t="shared" si="15"/>
        <v>0</v>
      </c>
      <c r="DJ11" s="21">
        <f t="shared" si="15"/>
        <v>0</v>
      </c>
      <c r="DK11" s="21">
        <f t="shared" si="15"/>
        <v>0</v>
      </c>
      <c r="DL11" s="21">
        <f t="shared" si="15"/>
        <v>0</v>
      </c>
      <c r="DM11" s="21">
        <f t="shared" si="15"/>
        <v>0</v>
      </c>
      <c r="DN11" s="21">
        <f t="shared" si="15"/>
        <v>0</v>
      </c>
      <c r="DO11" s="21">
        <f t="shared" si="15"/>
        <v>0</v>
      </c>
      <c r="DP11" s="21">
        <f t="shared" si="15"/>
        <v>0</v>
      </c>
      <c r="DQ11" s="21">
        <f t="shared" si="15"/>
        <v>0</v>
      </c>
      <c r="DR11" s="21">
        <f t="shared" si="15"/>
        <v>0</v>
      </c>
      <c r="DS11" s="21">
        <f t="shared" si="15"/>
        <v>0</v>
      </c>
      <c r="DT11" s="21">
        <f t="shared" si="15"/>
        <v>0</v>
      </c>
      <c r="DU11" s="21">
        <f t="shared" si="15"/>
        <v>0</v>
      </c>
      <c r="DV11" s="21">
        <f t="shared" si="15"/>
        <v>0</v>
      </c>
      <c r="DW11" s="21">
        <f t="shared" si="15"/>
        <v>0</v>
      </c>
      <c r="DX11" s="21">
        <f t="shared" si="15"/>
        <v>0</v>
      </c>
      <c r="DY11" s="21">
        <f t="shared" si="15"/>
        <v>0</v>
      </c>
      <c r="DZ11" s="21">
        <f t="shared" si="15"/>
        <v>0</v>
      </c>
      <c r="EA11" s="21">
        <f t="shared" si="15"/>
        <v>0</v>
      </c>
      <c r="EB11" s="21">
        <f t="shared" si="15"/>
        <v>0</v>
      </c>
      <c r="EC11" s="21">
        <f t="shared" si="15"/>
        <v>0</v>
      </c>
      <c r="ED11" s="21">
        <f t="shared" si="15"/>
        <v>0</v>
      </c>
      <c r="EE11" s="21">
        <f t="shared" si="15"/>
        <v>0</v>
      </c>
      <c r="EF11" s="21">
        <f t="shared" si="15"/>
        <v>0</v>
      </c>
      <c r="EG11" s="21">
        <f t="shared" si="15"/>
        <v>0</v>
      </c>
      <c r="EH11" s="21">
        <f t="shared" si="15"/>
        <v>0</v>
      </c>
      <c r="EI11" s="21">
        <f t="shared" si="15"/>
        <v>0</v>
      </c>
      <c r="EJ11" s="21">
        <f t="shared" si="15"/>
        <v>0</v>
      </c>
      <c r="EK11" s="21">
        <f t="shared" si="15"/>
        <v>0</v>
      </c>
      <c r="EL11" s="21">
        <f t="shared" si="15"/>
        <v>0</v>
      </c>
    </row>
    <row r="12" spans="2:142" x14ac:dyDescent="0.45">
      <c r="B12" s="4" t="s">
        <v>331</v>
      </c>
      <c r="C12" s="4"/>
      <c r="D12" s="4"/>
      <c r="E12" s="7">
        <f>SUM(E5:E11)</f>
        <v>789126.75999868661</v>
      </c>
      <c r="F12" s="11"/>
      <c r="I12" s="21"/>
      <c r="J12" s="23">
        <f t="shared" ref="J12:AO12" si="27">SUM(J5:J11)</f>
        <v>789126.75999868661</v>
      </c>
      <c r="K12" s="23">
        <f t="shared" si="27"/>
        <v>0</v>
      </c>
      <c r="L12" s="23">
        <f t="shared" si="27"/>
        <v>0</v>
      </c>
      <c r="M12" s="23">
        <f t="shared" si="27"/>
        <v>0</v>
      </c>
      <c r="N12" s="23">
        <f t="shared" si="27"/>
        <v>0</v>
      </c>
      <c r="O12" s="23">
        <f t="shared" si="27"/>
        <v>0</v>
      </c>
      <c r="P12" s="23">
        <f t="shared" si="27"/>
        <v>0</v>
      </c>
      <c r="Q12" s="23">
        <f t="shared" si="27"/>
        <v>0</v>
      </c>
      <c r="R12" s="23">
        <f t="shared" si="27"/>
        <v>0</v>
      </c>
      <c r="S12" s="23">
        <f t="shared" si="27"/>
        <v>0</v>
      </c>
      <c r="T12" s="23">
        <f t="shared" si="27"/>
        <v>0</v>
      </c>
      <c r="U12" s="23">
        <f t="shared" si="27"/>
        <v>0</v>
      </c>
      <c r="V12" s="23">
        <f t="shared" si="27"/>
        <v>0</v>
      </c>
      <c r="W12" s="23">
        <f t="shared" si="27"/>
        <v>0</v>
      </c>
      <c r="X12" s="23">
        <f t="shared" si="27"/>
        <v>0</v>
      </c>
      <c r="Y12" s="23">
        <f t="shared" si="27"/>
        <v>0</v>
      </c>
      <c r="Z12" s="23">
        <f t="shared" si="27"/>
        <v>0</v>
      </c>
      <c r="AA12" s="23">
        <f t="shared" si="27"/>
        <v>0</v>
      </c>
      <c r="AB12" s="23">
        <f t="shared" si="27"/>
        <v>0</v>
      </c>
      <c r="AC12" s="23">
        <f t="shared" si="27"/>
        <v>0</v>
      </c>
      <c r="AD12" s="23">
        <f t="shared" si="27"/>
        <v>0</v>
      </c>
      <c r="AE12" s="23">
        <f t="shared" si="27"/>
        <v>0</v>
      </c>
      <c r="AF12" s="23">
        <f t="shared" si="27"/>
        <v>0</v>
      </c>
      <c r="AG12" s="23">
        <f t="shared" si="27"/>
        <v>0</v>
      </c>
      <c r="AH12" s="23">
        <f t="shared" si="27"/>
        <v>0</v>
      </c>
      <c r="AI12" s="23">
        <f t="shared" si="27"/>
        <v>0</v>
      </c>
      <c r="AJ12" s="23">
        <f t="shared" si="27"/>
        <v>0</v>
      </c>
      <c r="AK12" s="23">
        <f t="shared" si="27"/>
        <v>0</v>
      </c>
      <c r="AL12" s="23">
        <f t="shared" si="27"/>
        <v>0</v>
      </c>
      <c r="AM12" s="23">
        <f t="shared" si="27"/>
        <v>0</v>
      </c>
      <c r="AN12" s="23">
        <f t="shared" si="27"/>
        <v>0</v>
      </c>
      <c r="AO12" s="23">
        <f t="shared" si="27"/>
        <v>0</v>
      </c>
      <c r="AP12" s="23">
        <f t="shared" ref="AP12:BU12" si="28">SUM(AP5:AP11)</f>
        <v>0</v>
      </c>
      <c r="AQ12" s="23">
        <f t="shared" si="28"/>
        <v>0</v>
      </c>
      <c r="AR12" s="23">
        <f t="shared" si="28"/>
        <v>0</v>
      </c>
      <c r="AS12" s="23">
        <f t="shared" si="28"/>
        <v>0</v>
      </c>
      <c r="AT12" s="23">
        <f t="shared" si="28"/>
        <v>0</v>
      </c>
      <c r="AU12" s="23">
        <f t="shared" si="28"/>
        <v>0</v>
      </c>
      <c r="AV12" s="23">
        <f t="shared" si="28"/>
        <v>0</v>
      </c>
      <c r="AW12" s="23">
        <f t="shared" si="28"/>
        <v>0</v>
      </c>
      <c r="AX12" s="23">
        <f t="shared" si="28"/>
        <v>0</v>
      </c>
      <c r="AY12" s="23">
        <f t="shared" si="28"/>
        <v>0</v>
      </c>
      <c r="AZ12" s="23">
        <f t="shared" si="28"/>
        <v>0</v>
      </c>
      <c r="BA12" s="23">
        <f t="shared" si="28"/>
        <v>0</v>
      </c>
      <c r="BB12" s="23">
        <f t="shared" si="28"/>
        <v>0</v>
      </c>
      <c r="BC12" s="23">
        <f t="shared" si="28"/>
        <v>0</v>
      </c>
      <c r="BD12" s="23">
        <f t="shared" si="28"/>
        <v>0</v>
      </c>
      <c r="BE12" s="23">
        <f t="shared" si="28"/>
        <v>0</v>
      </c>
      <c r="BF12" s="23">
        <f t="shared" si="28"/>
        <v>0</v>
      </c>
      <c r="BG12" s="23">
        <f t="shared" si="28"/>
        <v>0</v>
      </c>
      <c r="BH12" s="23">
        <f t="shared" si="28"/>
        <v>0</v>
      </c>
      <c r="BI12" s="23">
        <f t="shared" si="28"/>
        <v>0</v>
      </c>
      <c r="BJ12" s="23">
        <f t="shared" si="28"/>
        <v>0</v>
      </c>
      <c r="BK12" s="23">
        <f t="shared" si="28"/>
        <v>0</v>
      </c>
      <c r="BL12" s="23">
        <f t="shared" si="28"/>
        <v>0</v>
      </c>
      <c r="BM12" s="23">
        <f t="shared" si="28"/>
        <v>0</v>
      </c>
      <c r="BN12" s="23">
        <f t="shared" si="28"/>
        <v>0</v>
      </c>
      <c r="BO12" s="23">
        <f t="shared" si="28"/>
        <v>0</v>
      </c>
      <c r="BP12" s="23">
        <f t="shared" si="28"/>
        <v>0</v>
      </c>
      <c r="BQ12" s="23">
        <f t="shared" si="28"/>
        <v>0</v>
      </c>
      <c r="BR12" s="23">
        <f t="shared" si="28"/>
        <v>0</v>
      </c>
      <c r="BS12" s="23">
        <f t="shared" si="28"/>
        <v>0</v>
      </c>
      <c r="BT12" s="23">
        <f t="shared" si="28"/>
        <v>0</v>
      </c>
      <c r="BU12" s="23">
        <f t="shared" si="28"/>
        <v>0</v>
      </c>
      <c r="BV12" s="23">
        <f t="shared" ref="BV12:DA12" si="29">SUM(BV5:BV11)</f>
        <v>0</v>
      </c>
      <c r="BW12" s="23">
        <f t="shared" si="29"/>
        <v>0</v>
      </c>
      <c r="BX12" s="23">
        <f t="shared" si="29"/>
        <v>0</v>
      </c>
      <c r="BY12" s="23">
        <f t="shared" si="29"/>
        <v>0</v>
      </c>
      <c r="BZ12" s="23">
        <f t="shared" si="29"/>
        <v>0</v>
      </c>
      <c r="CA12" s="23">
        <f t="shared" si="29"/>
        <v>0</v>
      </c>
      <c r="CB12" s="23">
        <f t="shared" si="29"/>
        <v>0</v>
      </c>
      <c r="CC12" s="23">
        <f t="shared" si="29"/>
        <v>0</v>
      </c>
      <c r="CD12" s="23">
        <f t="shared" si="29"/>
        <v>0</v>
      </c>
      <c r="CE12" s="23">
        <f t="shared" si="29"/>
        <v>0</v>
      </c>
      <c r="CF12" s="23">
        <f t="shared" si="29"/>
        <v>0</v>
      </c>
      <c r="CG12" s="23">
        <f t="shared" si="29"/>
        <v>0</v>
      </c>
      <c r="CH12" s="23">
        <f t="shared" si="29"/>
        <v>0</v>
      </c>
      <c r="CI12" s="23">
        <f t="shared" si="29"/>
        <v>0</v>
      </c>
      <c r="CJ12" s="23">
        <f t="shared" si="29"/>
        <v>0</v>
      </c>
      <c r="CK12" s="23">
        <f t="shared" si="29"/>
        <v>0</v>
      </c>
      <c r="CL12" s="23">
        <f t="shared" si="29"/>
        <v>0</v>
      </c>
      <c r="CM12" s="23">
        <f t="shared" si="29"/>
        <v>0</v>
      </c>
      <c r="CN12" s="23">
        <f t="shared" si="29"/>
        <v>0</v>
      </c>
      <c r="CO12" s="23">
        <f t="shared" si="29"/>
        <v>0</v>
      </c>
      <c r="CP12" s="23">
        <f t="shared" si="29"/>
        <v>0</v>
      </c>
      <c r="CQ12" s="23">
        <f t="shared" si="29"/>
        <v>0</v>
      </c>
      <c r="CR12" s="23">
        <f t="shared" si="29"/>
        <v>0</v>
      </c>
      <c r="CS12" s="23">
        <f t="shared" si="29"/>
        <v>0</v>
      </c>
      <c r="CT12" s="23">
        <f t="shared" si="29"/>
        <v>0</v>
      </c>
      <c r="CU12" s="23">
        <f t="shared" si="29"/>
        <v>0</v>
      </c>
      <c r="CV12" s="23">
        <f t="shared" si="29"/>
        <v>0</v>
      </c>
      <c r="CW12" s="23">
        <f t="shared" si="29"/>
        <v>0</v>
      </c>
      <c r="CX12" s="23">
        <f t="shared" si="29"/>
        <v>0</v>
      </c>
      <c r="CY12" s="23">
        <f t="shared" si="29"/>
        <v>0</v>
      </c>
      <c r="CZ12" s="23">
        <f t="shared" si="29"/>
        <v>0</v>
      </c>
      <c r="DA12" s="23">
        <f t="shared" si="29"/>
        <v>0</v>
      </c>
      <c r="DB12" s="23">
        <f t="shared" ref="DB12:DY12" si="30">SUM(DB5:DB11)</f>
        <v>0</v>
      </c>
      <c r="DC12" s="23">
        <f t="shared" si="30"/>
        <v>0</v>
      </c>
      <c r="DD12" s="23">
        <f t="shared" si="30"/>
        <v>0</v>
      </c>
      <c r="DE12" s="23">
        <f t="shared" si="30"/>
        <v>0</v>
      </c>
      <c r="DF12" s="23">
        <f t="shared" si="30"/>
        <v>0</v>
      </c>
      <c r="DG12" s="23">
        <f t="shared" si="30"/>
        <v>0</v>
      </c>
      <c r="DH12" s="23">
        <f t="shared" si="30"/>
        <v>0</v>
      </c>
      <c r="DI12" s="23">
        <f t="shared" si="30"/>
        <v>0</v>
      </c>
      <c r="DJ12" s="23">
        <f t="shared" si="30"/>
        <v>0</v>
      </c>
      <c r="DK12" s="23">
        <f t="shared" si="30"/>
        <v>0</v>
      </c>
      <c r="DL12" s="23">
        <f t="shared" si="30"/>
        <v>0</v>
      </c>
      <c r="DM12" s="23">
        <f t="shared" si="30"/>
        <v>0</v>
      </c>
      <c r="DN12" s="23">
        <f t="shared" si="30"/>
        <v>0</v>
      </c>
      <c r="DO12" s="23">
        <f t="shared" si="30"/>
        <v>0</v>
      </c>
      <c r="DP12" s="23">
        <f t="shared" si="30"/>
        <v>0</v>
      </c>
      <c r="DQ12" s="23">
        <f t="shared" si="30"/>
        <v>0</v>
      </c>
      <c r="DR12" s="23">
        <f t="shared" si="30"/>
        <v>0</v>
      </c>
      <c r="DS12" s="23">
        <f t="shared" si="30"/>
        <v>0</v>
      </c>
      <c r="DT12" s="23">
        <f t="shared" si="30"/>
        <v>0</v>
      </c>
      <c r="DU12" s="23">
        <f t="shared" si="30"/>
        <v>0</v>
      </c>
      <c r="DV12" s="23">
        <f t="shared" si="30"/>
        <v>0</v>
      </c>
      <c r="DW12" s="23">
        <f t="shared" si="30"/>
        <v>0</v>
      </c>
      <c r="DX12" s="23">
        <f t="shared" si="30"/>
        <v>0</v>
      </c>
      <c r="DY12" s="23">
        <f t="shared" si="30"/>
        <v>0</v>
      </c>
      <c r="DZ12" s="23">
        <f t="shared" ref="DZ12:EL12" si="31">SUM(DZ5:DZ11)</f>
        <v>0</v>
      </c>
      <c r="EA12" s="23">
        <f t="shared" si="31"/>
        <v>0</v>
      </c>
      <c r="EB12" s="23">
        <f t="shared" si="31"/>
        <v>0</v>
      </c>
      <c r="EC12" s="23">
        <f t="shared" si="31"/>
        <v>0</v>
      </c>
      <c r="ED12" s="23">
        <f t="shared" si="31"/>
        <v>0</v>
      </c>
      <c r="EE12" s="23">
        <f t="shared" si="31"/>
        <v>0</v>
      </c>
      <c r="EF12" s="23">
        <f t="shared" si="31"/>
        <v>0</v>
      </c>
      <c r="EG12" s="23">
        <f t="shared" si="31"/>
        <v>0</v>
      </c>
      <c r="EH12" s="23">
        <f t="shared" si="31"/>
        <v>0</v>
      </c>
      <c r="EI12" s="23">
        <f t="shared" si="31"/>
        <v>0</v>
      </c>
      <c r="EJ12" s="23">
        <f t="shared" si="31"/>
        <v>0</v>
      </c>
      <c r="EK12" s="23">
        <f t="shared" si="31"/>
        <v>0</v>
      </c>
      <c r="EL12" s="23">
        <f t="shared" si="31"/>
        <v>0</v>
      </c>
    </row>
    <row r="13" spans="2:142" x14ac:dyDescent="0.45"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</row>
    <row r="14" spans="2:142" x14ac:dyDescent="0.45"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</row>
    <row r="15" spans="2:142" x14ac:dyDescent="0.45"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98DC2-035E-481C-B090-52BB6C04E810}">
  <sheetPr>
    <tabColor theme="1" tint="0.499984740745262"/>
  </sheetPr>
  <dimension ref="B4:EL17"/>
  <sheetViews>
    <sheetView showGridLines="0" zoomScale="115" zoomScaleNormal="115" workbookViewId="0">
      <selection activeCell="E11" sqref="E11"/>
    </sheetView>
  </sheetViews>
  <sheetFormatPr defaultColWidth="9.1328125" defaultRowHeight="12.75" x14ac:dyDescent="0.45"/>
  <cols>
    <col min="1" max="1" width="9.1328125" style="1"/>
    <col min="2" max="2" width="18.73046875" style="1" customWidth="1"/>
    <col min="3" max="3" width="9.1328125" style="1"/>
    <col min="4" max="4" width="11" style="1" bestFit="1" customWidth="1"/>
    <col min="5" max="5" width="11.73046875" style="6" bestFit="1" customWidth="1"/>
    <col min="6" max="6" width="2.73046875" style="6" customWidth="1"/>
    <col min="7" max="8" width="9.1328125" style="12"/>
    <col min="9" max="9" width="2.73046875" style="1" customWidth="1"/>
    <col min="10" max="19" width="9.1328125" style="1"/>
    <col min="20" max="21" width="9.86328125" style="1" bestFit="1" customWidth="1"/>
    <col min="22" max="107" width="9.1328125" style="1"/>
    <col min="108" max="109" width="8.59765625" style="1" bestFit="1" customWidth="1"/>
    <col min="110" max="118" width="9.59765625" style="1" bestFit="1" customWidth="1"/>
    <col min="119" max="142" width="9.59765625" style="1" customWidth="1"/>
    <col min="143" max="16384" width="9.1328125" style="1"/>
  </cols>
  <sheetData>
    <row r="4" spans="2:142" x14ac:dyDescent="0.45">
      <c r="B4" s="494" t="s">
        <v>5</v>
      </c>
      <c r="C4" s="2"/>
      <c r="D4" s="495">
        <f>+Assumptions!G25</f>
        <v>55000</v>
      </c>
      <c r="E4" s="5"/>
      <c r="G4" s="12" t="s">
        <v>7</v>
      </c>
      <c r="H4" s="12" t="s">
        <v>8</v>
      </c>
      <c r="I4" s="20"/>
      <c r="J4" s="18">
        <f>+Model!G4</f>
        <v>0</v>
      </c>
      <c r="K4" s="18">
        <f>+Model!H4</f>
        <v>1</v>
      </c>
      <c r="L4" s="18">
        <f>+Model!I4</f>
        <v>2</v>
      </c>
      <c r="M4" s="18">
        <f>+Model!J4</f>
        <v>3</v>
      </c>
      <c r="N4" s="18">
        <f>+Model!K4</f>
        <v>4</v>
      </c>
      <c r="O4" s="18">
        <f>+Model!L4</f>
        <v>5</v>
      </c>
      <c r="P4" s="18">
        <f>+Model!M4</f>
        <v>6</v>
      </c>
      <c r="Q4" s="18">
        <f>+Model!N4</f>
        <v>7</v>
      </c>
      <c r="R4" s="18">
        <f>+Model!O4</f>
        <v>8</v>
      </c>
      <c r="S4" s="18">
        <f>+Model!P4</f>
        <v>9</v>
      </c>
      <c r="T4" s="18">
        <f>+Model!Q4</f>
        <v>10</v>
      </c>
      <c r="U4" s="18">
        <f>+Model!R4</f>
        <v>11</v>
      </c>
      <c r="V4" s="18">
        <f>+Model!S4</f>
        <v>12</v>
      </c>
      <c r="W4" s="18">
        <f>+Model!T4</f>
        <v>13</v>
      </c>
      <c r="X4" s="18">
        <f>+Model!U4</f>
        <v>14</v>
      </c>
      <c r="Y4" s="18">
        <f>+Model!V4</f>
        <v>15</v>
      </c>
      <c r="Z4" s="18">
        <f>+Model!W4</f>
        <v>16</v>
      </c>
      <c r="AA4" s="18">
        <f>+Model!X4</f>
        <v>17</v>
      </c>
      <c r="AB4" s="18">
        <f>+Model!Y4</f>
        <v>18</v>
      </c>
      <c r="AC4" s="18">
        <f>+Model!Z4</f>
        <v>19</v>
      </c>
      <c r="AD4" s="18">
        <f>+Model!AA4</f>
        <v>20</v>
      </c>
      <c r="AE4" s="18">
        <f>+Model!AB4</f>
        <v>21</v>
      </c>
      <c r="AF4" s="18">
        <f>+Model!AC4</f>
        <v>22</v>
      </c>
      <c r="AG4" s="18">
        <f>+Model!AD4</f>
        <v>23</v>
      </c>
      <c r="AH4" s="18">
        <f>+Model!AE4</f>
        <v>24</v>
      </c>
      <c r="AI4" s="18">
        <f>+Model!AF4</f>
        <v>25</v>
      </c>
      <c r="AJ4" s="18">
        <f>+Model!AG4</f>
        <v>26</v>
      </c>
      <c r="AK4" s="18">
        <f>+Model!AH4</f>
        <v>27</v>
      </c>
      <c r="AL4" s="18">
        <f>+Model!AI4</f>
        <v>28</v>
      </c>
      <c r="AM4" s="18">
        <f>+Model!AJ4</f>
        <v>29</v>
      </c>
      <c r="AN4" s="18">
        <f>+Model!AK4</f>
        <v>30</v>
      </c>
      <c r="AO4" s="18">
        <f>+Model!AL4</f>
        <v>31</v>
      </c>
      <c r="AP4" s="18">
        <f>+Model!AM4</f>
        <v>32</v>
      </c>
      <c r="AQ4" s="18">
        <f>+Model!AN4</f>
        <v>33</v>
      </c>
      <c r="AR4" s="18">
        <f>+Model!AO4</f>
        <v>34</v>
      </c>
      <c r="AS4" s="18">
        <f>+Model!AP4</f>
        <v>35</v>
      </c>
      <c r="AT4" s="18">
        <f>+Model!AQ4</f>
        <v>36</v>
      </c>
      <c r="AU4" s="18">
        <f>+Model!AR4</f>
        <v>37</v>
      </c>
      <c r="AV4" s="18">
        <f>+Model!AS4</f>
        <v>38</v>
      </c>
      <c r="AW4" s="18">
        <f>+Model!AT4</f>
        <v>39</v>
      </c>
      <c r="AX4" s="18">
        <f>+Model!AU4</f>
        <v>40</v>
      </c>
      <c r="AY4" s="18">
        <f>+Model!AV4</f>
        <v>41</v>
      </c>
      <c r="AZ4" s="18">
        <f>+Model!AW4</f>
        <v>42</v>
      </c>
      <c r="BA4" s="18">
        <f>+Model!AX4</f>
        <v>43</v>
      </c>
      <c r="BB4" s="18">
        <f>+Model!AY4</f>
        <v>44</v>
      </c>
      <c r="BC4" s="18">
        <f>+Model!AZ4</f>
        <v>45</v>
      </c>
      <c r="BD4" s="18">
        <f>+Model!BA4</f>
        <v>46</v>
      </c>
      <c r="BE4" s="18">
        <f>+Model!BB4</f>
        <v>47</v>
      </c>
      <c r="BF4" s="18">
        <f>+Model!BC4</f>
        <v>48</v>
      </c>
      <c r="BG4" s="18">
        <f>+Model!BD4</f>
        <v>49</v>
      </c>
      <c r="BH4" s="18">
        <f>+Model!BE4</f>
        <v>50</v>
      </c>
      <c r="BI4" s="18">
        <f>+Model!BF4</f>
        <v>51</v>
      </c>
      <c r="BJ4" s="18">
        <f>+Model!BG4</f>
        <v>52</v>
      </c>
      <c r="BK4" s="18">
        <f>+Model!BH4</f>
        <v>53</v>
      </c>
      <c r="BL4" s="18">
        <f>+Model!BI4</f>
        <v>54</v>
      </c>
      <c r="BM4" s="18">
        <f>+Model!BJ4</f>
        <v>55</v>
      </c>
      <c r="BN4" s="18">
        <f>+Model!BK4</f>
        <v>56</v>
      </c>
      <c r="BO4" s="18">
        <f>+Model!BL4</f>
        <v>57</v>
      </c>
      <c r="BP4" s="18">
        <f>+Model!BM4</f>
        <v>58</v>
      </c>
      <c r="BQ4" s="18">
        <f>+Model!BN4</f>
        <v>59</v>
      </c>
      <c r="BR4" s="18">
        <f>+Model!BO4</f>
        <v>60</v>
      </c>
      <c r="BS4" s="18">
        <f>+Model!BP4</f>
        <v>61</v>
      </c>
      <c r="BT4" s="18">
        <f>+Model!BQ4</f>
        <v>62</v>
      </c>
      <c r="BU4" s="18">
        <f>+Model!BR4</f>
        <v>63</v>
      </c>
      <c r="BV4" s="18">
        <f>+Model!BS4</f>
        <v>64</v>
      </c>
      <c r="BW4" s="18">
        <f>+Model!BT4</f>
        <v>65</v>
      </c>
      <c r="BX4" s="18">
        <f>+Model!BU4</f>
        <v>66</v>
      </c>
      <c r="BY4" s="18">
        <f>+Model!BV4</f>
        <v>67</v>
      </c>
      <c r="BZ4" s="18">
        <f>+Model!BW4</f>
        <v>68</v>
      </c>
      <c r="CA4" s="18">
        <f>+Model!BX4</f>
        <v>69</v>
      </c>
      <c r="CB4" s="18">
        <f>+Model!BY4</f>
        <v>70</v>
      </c>
      <c r="CC4" s="18">
        <f>+Model!BZ4</f>
        <v>71</v>
      </c>
      <c r="CD4" s="18">
        <f>+Model!CA4</f>
        <v>72</v>
      </c>
      <c r="CE4" s="18">
        <f>+Model!CB4</f>
        <v>73</v>
      </c>
      <c r="CF4" s="18">
        <f>+Model!CC4</f>
        <v>74</v>
      </c>
      <c r="CG4" s="18">
        <f>+Model!CD4</f>
        <v>75</v>
      </c>
      <c r="CH4" s="18">
        <f>+Model!CE4</f>
        <v>76</v>
      </c>
      <c r="CI4" s="18">
        <f>+Model!CF4</f>
        <v>77</v>
      </c>
      <c r="CJ4" s="18">
        <f>+Model!CG4</f>
        <v>78</v>
      </c>
      <c r="CK4" s="18">
        <f>+Model!CH4</f>
        <v>79</v>
      </c>
      <c r="CL4" s="18">
        <f>+Model!CI4</f>
        <v>80</v>
      </c>
      <c r="CM4" s="18">
        <f>+Model!CJ4</f>
        <v>81</v>
      </c>
      <c r="CN4" s="18">
        <f>+Model!CK4</f>
        <v>82</v>
      </c>
      <c r="CO4" s="18">
        <f>+Model!CL4</f>
        <v>83</v>
      </c>
      <c r="CP4" s="18">
        <f>+Model!CM4</f>
        <v>84</v>
      </c>
      <c r="CQ4" s="18">
        <f>+Model!CN4</f>
        <v>85</v>
      </c>
      <c r="CR4" s="18">
        <f>+Model!CO4</f>
        <v>86</v>
      </c>
      <c r="CS4" s="18">
        <f>+Model!CP4</f>
        <v>87</v>
      </c>
      <c r="CT4" s="18">
        <f>+Model!CQ4</f>
        <v>88</v>
      </c>
      <c r="CU4" s="18">
        <f>+Model!CR4</f>
        <v>89</v>
      </c>
      <c r="CV4" s="18">
        <f>+Model!CS4</f>
        <v>90</v>
      </c>
      <c r="CW4" s="18">
        <f>+Model!CT4</f>
        <v>91</v>
      </c>
      <c r="CX4" s="18">
        <f>+Model!CU4</f>
        <v>92</v>
      </c>
      <c r="CY4" s="18">
        <f>+Model!CV4</f>
        <v>93</v>
      </c>
      <c r="CZ4" s="18">
        <f>+Model!CW4</f>
        <v>94</v>
      </c>
      <c r="DA4" s="18">
        <f>+Model!CX4</f>
        <v>95</v>
      </c>
      <c r="DB4" s="18">
        <f>+Model!CY4</f>
        <v>96</v>
      </c>
      <c r="DC4" s="18">
        <f>+Model!CZ4</f>
        <v>97</v>
      </c>
      <c r="DD4" s="18">
        <f>+Model!DA4</f>
        <v>98</v>
      </c>
      <c r="DE4" s="18">
        <f>+Model!DB4</f>
        <v>99</v>
      </c>
      <c r="DF4" s="18">
        <f>+Model!DC4</f>
        <v>100</v>
      </c>
      <c r="DG4" s="18">
        <f>+Model!DD4</f>
        <v>101</v>
      </c>
      <c r="DH4" s="18">
        <f>+Model!DE4</f>
        <v>102</v>
      </c>
      <c r="DI4" s="18">
        <f>+Model!DF4</f>
        <v>103</v>
      </c>
      <c r="DJ4" s="18">
        <f>+Model!DG4</f>
        <v>104</v>
      </c>
      <c r="DK4" s="18">
        <f>+Model!DH4</f>
        <v>105</v>
      </c>
      <c r="DL4" s="18">
        <f>+Model!DI4</f>
        <v>106</v>
      </c>
      <c r="DM4" s="18">
        <f>+Model!DJ4</f>
        <v>107</v>
      </c>
      <c r="DN4" s="18">
        <f>+Model!DK4</f>
        <v>108</v>
      </c>
      <c r="DO4" s="18">
        <f>+Model!DL4</f>
        <v>109</v>
      </c>
      <c r="DP4" s="18">
        <f>+Model!DM4</f>
        <v>110</v>
      </c>
      <c r="DQ4" s="18">
        <f>+Model!DN4</f>
        <v>111</v>
      </c>
      <c r="DR4" s="18">
        <f>+Model!DO4</f>
        <v>112</v>
      </c>
      <c r="DS4" s="18">
        <f>+Model!DP4</f>
        <v>113</v>
      </c>
      <c r="DT4" s="18">
        <f>+Model!DQ4</f>
        <v>114</v>
      </c>
      <c r="DU4" s="18">
        <f>+Model!DR4</f>
        <v>115</v>
      </c>
      <c r="DV4" s="18">
        <f>+Model!DS4</f>
        <v>116</v>
      </c>
      <c r="DW4" s="18">
        <f>+Model!DT4</f>
        <v>117</v>
      </c>
      <c r="DX4" s="18">
        <f>+Model!DU4</f>
        <v>118</v>
      </c>
      <c r="DY4" s="18">
        <f>+Model!DV4</f>
        <v>119</v>
      </c>
      <c r="DZ4" s="18">
        <f>+Model!DW4</f>
        <v>120</v>
      </c>
      <c r="EA4" s="18">
        <f>+Model!DX4</f>
        <v>121</v>
      </c>
      <c r="EB4" s="18">
        <f>+Model!DY4</f>
        <v>122</v>
      </c>
      <c r="EC4" s="18">
        <f>+Model!DZ4</f>
        <v>123</v>
      </c>
      <c r="ED4" s="18">
        <f>+Model!EA4</f>
        <v>124</v>
      </c>
      <c r="EE4" s="18">
        <f>+Model!EB4</f>
        <v>125</v>
      </c>
      <c r="EF4" s="18">
        <f>+Model!EC4</f>
        <v>126</v>
      </c>
      <c r="EG4" s="18">
        <f>+Model!ED4</f>
        <v>127</v>
      </c>
      <c r="EH4" s="18">
        <f>+Model!EE4</f>
        <v>128</v>
      </c>
      <c r="EI4" s="18">
        <f>+Model!EF4</f>
        <v>129</v>
      </c>
      <c r="EJ4" s="18">
        <f>+Model!EG4</f>
        <v>130</v>
      </c>
      <c r="EK4" s="18">
        <f>+Model!EH4</f>
        <v>131</v>
      </c>
      <c r="EL4" s="18">
        <f>+Model!EI4</f>
        <v>132</v>
      </c>
    </row>
    <row r="5" spans="2:142" x14ac:dyDescent="0.45">
      <c r="B5" s="1" t="s">
        <v>25</v>
      </c>
      <c r="D5" s="496"/>
      <c r="E5" s="9">
        <v>20000</v>
      </c>
      <c r="F5" s="9"/>
      <c r="G5" s="13">
        <v>0</v>
      </c>
      <c r="H5" s="13">
        <v>0</v>
      </c>
      <c r="I5" s="21"/>
      <c r="J5" s="21">
        <f>IF(AND($G5=J$4,$H5=J$4),$E5,IF($G5&gt;J$4,0,IF($H5&lt;J$4,0,$E5/($H5-$G5+1))))</f>
        <v>20000</v>
      </c>
      <c r="K5" s="21">
        <f t="shared" ref="K5:Z13" si="0">IF(AND($G5=K$4,$H5=K$4),$E5,IF($G5&gt;K$4,0,IF($H5&lt;K$4,0,$E5/($H5-$G5+1))))</f>
        <v>0</v>
      </c>
      <c r="L5" s="21">
        <f t="shared" si="0"/>
        <v>0</v>
      </c>
      <c r="M5" s="21">
        <f t="shared" si="0"/>
        <v>0</v>
      </c>
      <c r="N5" s="21">
        <f t="shared" si="0"/>
        <v>0</v>
      </c>
      <c r="O5" s="21">
        <f t="shared" si="0"/>
        <v>0</v>
      </c>
      <c r="P5" s="21">
        <f t="shared" si="0"/>
        <v>0</v>
      </c>
      <c r="Q5" s="21">
        <f t="shared" si="0"/>
        <v>0</v>
      </c>
      <c r="R5" s="21">
        <f t="shared" si="0"/>
        <v>0</v>
      </c>
      <c r="S5" s="21">
        <f t="shared" si="0"/>
        <v>0</v>
      </c>
      <c r="T5" s="21">
        <f t="shared" si="0"/>
        <v>0</v>
      </c>
      <c r="U5" s="21">
        <f t="shared" si="0"/>
        <v>0</v>
      </c>
      <c r="V5" s="21">
        <f t="shared" si="0"/>
        <v>0</v>
      </c>
      <c r="W5" s="21">
        <f t="shared" si="0"/>
        <v>0</v>
      </c>
      <c r="X5" s="21">
        <f t="shared" si="0"/>
        <v>0</v>
      </c>
      <c r="Y5" s="21">
        <f t="shared" si="0"/>
        <v>0</v>
      </c>
      <c r="Z5" s="21">
        <f t="shared" si="0"/>
        <v>0</v>
      </c>
      <c r="AA5" s="21">
        <f t="shared" ref="AA5:AZ13" si="1">IF(AND($G5=AA$4,$H5=AA$4),$E5,IF($G5&gt;AA$4,0,IF($H5&lt;AA$4,0,$E5/($H5-$G5+1))))</f>
        <v>0</v>
      </c>
      <c r="AB5" s="21">
        <f t="shared" si="1"/>
        <v>0</v>
      </c>
      <c r="AC5" s="21">
        <f t="shared" si="1"/>
        <v>0</v>
      </c>
      <c r="AD5" s="21">
        <f t="shared" si="1"/>
        <v>0</v>
      </c>
      <c r="AE5" s="21">
        <f t="shared" si="1"/>
        <v>0</v>
      </c>
      <c r="AF5" s="21">
        <f t="shared" si="1"/>
        <v>0</v>
      </c>
      <c r="AG5" s="21">
        <f t="shared" si="1"/>
        <v>0</v>
      </c>
      <c r="AH5" s="21">
        <f t="shared" si="1"/>
        <v>0</v>
      </c>
      <c r="AI5" s="21">
        <f t="shared" si="1"/>
        <v>0</v>
      </c>
      <c r="AJ5" s="21">
        <f t="shared" si="1"/>
        <v>0</v>
      </c>
      <c r="AK5" s="21">
        <f t="shared" si="1"/>
        <v>0</v>
      </c>
      <c r="AL5" s="21">
        <f t="shared" si="1"/>
        <v>0</v>
      </c>
      <c r="AM5" s="21">
        <f t="shared" si="1"/>
        <v>0</v>
      </c>
      <c r="AN5" s="21">
        <f t="shared" si="1"/>
        <v>0</v>
      </c>
      <c r="AO5" s="21">
        <f t="shared" si="1"/>
        <v>0</v>
      </c>
      <c r="AP5" s="21">
        <f t="shared" si="1"/>
        <v>0</v>
      </c>
      <c r="AQ5" s="21">
        <f t="shared" si="1"/>
        <v>0</v>
      </c>
      <c r="AR5" s="21">
        <f t="shared" si="1"/>
        <v>0</v>
      </c>
      <c r="AS5" s="21">
        <f t="shared" si="1"/>
        <v>0</v>
      </c>
      <c r="AT5" s="21">
        <f t="shared" si="1"/>
        <v>0</v>
      </c>
      <c r="AU5" s="21">
        <f t="shared" si="1"/>
        <v>0</v>
      </c>
      <c r="AV5" s="21">
        <f t="shared" si="1"/>
        <v>0</v>
      </c>
      <c r="AW5" s="21">
        <f t="shared" si="1"/>
        <v>0</v>
      </c>
      <c r="AX5" s="21">
        <f t="shared" si="1"/>
        <v>0</v>
      </c>
      <c r="AY5" s="21">
        <f t="shared" si="1"/>
        <v>0</v>
      </c>
      <c r="AZ5" s="21">
        <f t="shared" si="1"/>
        <v>0</v>
      </c>
      <c r="BA5" s="21">
        <f t="shared" ref="BA5:CC9" si="2">IF(AND($G5=BA$4,$H5=BA$4),$E5,IF($G5&gt;BA$4,0,IF($H5&lt;BA$4,0,$E5/($H5-$G5+1))))</f>
        <v>0</v>
      </c>
      <c r="BB5" s="21">
        <f t="shared" si="2"/>
        <v>0</v>
      </c>
      <c r="BC5" s="21">
        <f t="shared" si="2"/>
        <v>0</v>
      </c>
      <c r="BD5" s="21">
        <f t="shared" si="2"/>
        <v>0</v>
      </c>
      <c r="BE5" s="21">
        <f t="shared" si="2"/>
        <v>0</v>
      </c>
      <c r="BF5" s="21">
        <f t="shared" si="2"/>
        <v>0</v>
      </c>
      <c r="BG5" s="21">
        <f t="shared" si="2"/>
        <v>0</v>
      </c>
      <c r="BH5" s="21">
        <f t="shared" si="2"/>
        <v>0</v>
      </c>
      <c r="BI5" s="21">
        <f t="shared" si="2"/>
        <v>0</v>
      </c>
      <c r="BJ5" s="21">
        <f t="shared" si="2"/>
        <v>0</v>
      </c>
      <c r="BK5" s="21">
        <f t="shared" si="2"/>
        <v>0</v>
      </c>
      <c r="BL5" s="21">
        <f t="shared" si="2"/>
        <v>0</v>
      </c>
      <c r="BM5" s="21">
        <f t="shared" si="2"/>
        <v>0</v>
      </c>
      <c r="BN5" s="21">
        <f t="shared" si="2"/>
        <v>0</v>
      </c>
      <c r="BO5" s="21">
        <f t="shared" si="2"/>
        <v>0</v>
      </c>
      <c r="BP5" s="21">
        <f t="shared" si="2"/>
        <v>0</v>
      </c>
      <c r="BQ5" s="21">
        <f t="shared" si="2"/>
        <v>0</v>
      </c>
      <c r="BR5" s="21">
        <f t="shared" si="2"/>
        <v>0</v>
      </c>
      <c r="BS5" s="21">
        <f t="shared" si="2"/>
        <v>0</v>
      </c>
      <c r="BT5" s="21">
        <f t="shared" si="2"/>
        <v>0</v>
      </c>
      <c r="BU5" s="21">
        <f t="shared" si="2"/>
        <v>0</v>
      </c>
      <c r="BV5" s="21">
        <f t="shared" si="2"/>
        <v>0</v>
      </c>
      <c r="BW5" s="21">
        <f t="shared" si="2"/>
        <v>0</v>
      </c>
      <c r="BX5" s="21">
        <f t="shared" si="2"/>
        <v>0</v>
      </c>
      <c r="BY5" s="21">
        <f t="shared" si="2"/>
        <v>0</v>
      </c>
      <c r="BZ5" s="21">
        <f t="shared" si="2"/>
        <v>0</v>
      </c>
      <c r="CA5" s="21">
        <f t="shared" si="2"/>
        <v>0</v>
      </c>
      <c r="CB5" s="21">
        <f t="shared" si="2"/>
        <v>0</v>
      </c>
      <c r="CC5" s="21">
        <f t="shared" si="2"/>
        <v>0</v>
      </c>
      <c r="CD5" s="21">
        <f t="shared" ref="CD5:DN9" si="3">IF(AND($G5=CD$4,$H5=CD$4),$E5,IF($G5&gt;CD$4,0,IF($H5&lt;CD$4,0,$E5/($H5-$G5+1))))</f>
        <v>0</v>
      </c>
      <c r="CE5" s="21">
        <f t="shared" si="3"/>
        <v>0</v>
      </c>
      <c r="CF5" s="21">
        <f t="shared" si="3"/>
        <v>0</v>
      </c>
      <c r="CG5" s="21">
        <f t="shared" si="3"/>
        <v>0</v>
      </c>
      <c r="CH5" s="21">
        <f t="shared" si="3"/>
        <v>0</v>
      </c>
      <c r="CI5" s="21">
        <f t="shared" si="3"/>
        <v>0</v>
      </c>
      <c r="CJ5" s="21">
        <f t="shared" si="3"/>
        <v>0</v>
      </c>
      <c r="CK5" s="21">
        <f t="shared" si="3"/>
        <v>0</v>
      </c>
      <c r="CL5" s="21">
        <f t="shared" si="3"/>
        <v>0</v>
      </c>
      <c r="CM5" s="21">
        <f t="shared" si="3"/>
        <v>0</v>
      </c>
      <c r="CN5" s="21">
        <f t="shared" si="3"/>
        <v>0</v>
      </c>
      <c r="CO5" s="21">
        <f t="shared" si="3"/>
        <v>0</v>
      </c>
      <c r="CP5" s="21">
        <f t="shared" si="3"/>
        <v>0</v>
      </c>
      <c r="CQ5" s="21">
        <f t="shared" si="3"/>
        <v>0</v>
      </c>
      <c r="CR5" s="21">
        <f t="shared" si="3"/>
        <v>0</v>
      </c>
      <c r="CS5" s="21">
        <f t="shared" si="3"/>
        <v>0</v>
      </c>
      <c r="CT5" s="21">
        <f t="shared" si="3"/>
        <v>0</v>
      </c>
      <c r="CU5" s="21">
        <f t="shared" si="3"/>
        <v>0</v>
      </c>
      <c r="CV5" s="21">
        <f t="shared" si="3"/>
        <v>0</v>
      </c>
      <c r="CW5" s="21">
        <f t="shared" si="3"/>
        <v>0</v>
      </c>
      <c r="CX5" s="21">
        <f t="shared" si="3"/>
        <v>0</v>
      </c>
      <c r="CY5" s="21">
        <f t="shared" si="3"/>
        <v>0</v>
      </c>
      <c r="CZ5" s="21">
        <f t="shared" si="3"/>
        <v>0</v>
      </c>
      <c r="DA5" s="21">
        <f t="shared" si="3"/>
        <v>0</v>
      </c>
      <c r="DB5" s="21">
        <f t="shared" si="3"/>
        <v>0</v>
      </c>
      <c r="DC5" s="21">
        <f t="shared" si="3"/>
        <v>0</v>
      </c>
      <c r="DD5" s="21">
        <f t="shared" si="3"/>
        <v>0</v>
      </c>
      <c r="DE5" s="21">
        <f t="shared" si="3"/>
        <v>0</v>
      </c>
      <c r="DF5" s="21">
        <f t="shared" si="3"/>
        <v>0</v>
      </c>
      <c r="DG5" s="21">
        <f t="shared" si="3"/>
        <v>0</v>
      </c>
      <c r="DH5" s="21">
        <f t="shared" si="3"/>
        <v>0</v>
      </c>
      <c r="DI5" s="21">
        <f t="shared" si="3"/>
        <v>0</v>
      </c>
      <c r="DJ5" s="21">
        <f t="shared" si="3"/>
        <v>0</v>
      </c>
      <c r="DK5" s="21">
        <f t="shared" si="3"/>
        <v>0</v>
      </c>
      <c r="DL5" s="21">
        <f t="shared" si="3"/>
        <v>0</v>
      </c>
      <c r="DM5" s="21">
        <f t="shared" si="3"/>
        <v>0</v>
      </c>
      <c r="DN5" s="21">
        <f t="shared" si="3"/>
        <v>0</v>
      </c>
      <c r="DO5" s="21">
        <f t="shared" ref="DO5:EL14" si="4">IF(AND($G5=DO$4,$H5=DO$4),$E5,IF($G5&gt;DO$4,0,IF($H5&lt;DO$4,0,$E5/($H5-$G5+1))))</f>
        <v>0</v>
      </c>
      <c r="DP5" s="21">
        <f t="shared" si="4"/>
        <v>0</v>
      </c>
      <c r="DQ5" s="21">
        <f t="shared" si="4"/>
        <v>0</v>
      </c>
      <c r="DR5" s="21">
        <f t="shared" si="4"/>
        <v>0</v>
      </c>
      <c r="DS5" s="21">
        <f t="shared" si="4"/>
        <v>0</v>
      </c>
      <c r="DT5" s="21">
        <f t="shared" si="4"/>
        <v>0</v>
      </c>
      <c r="DU5" s="21">
        <f t="shared" si="4"/>
        <v>0</v>
      </c>
      <c r="DV5" s="21">
        <f t="shared" si="4"/>
        <v>0</v>
      </c>
      <c r="DW5" s="21">
        <f t="shared" si="4"/>
        <v>0</v>
      </c>
      <c r="DX5" s="21">
        <f t="shared" si="4"/>
        <v>0</v>
      </c>
      <c r="DY5" s="21">
        <f t="shared" si="4"/>
        <v>0</v>
      </c>
      <c r="DZ5" s="21">
        <f t="shared" si="4"/>
        <v>0</v>
      </c>
      <c r="EA5" s="21">
        <f t="shared" si="4"/>
        <v>0</v>
      </c>
      <c r="EB5" s="21">
        <f t="shared" si="4"/>
        <v>0</v>
      </c>
      <c r="EC5" s="21">
        <f t="shared" si="4"/>
        <v>0</v>
      </c>
      <c r="ED5" s="21">
        <f t="shared" si="4"/>
        <v>0</v>
      </c>
      <c r="EE5" s="21">
        <f t="shared" si="4"/>
        <v>0</v>
      </c>
      <c r="EF5" s="21">
        <f t="shared" si="4"/>
        <v>0</v>
      </c>
      <c r="EG5" s="21">
        <f t="shared" si="4"/>
        <v>0</v>
      </c>
      <c r="EH5" s="21">
        <f t="shared" si="4"/>
        <v>0</v>
      </c>
      <c r="EI5" s="21">
        <f t="shared" si="4"/>
        <v>0</v>
      </c>
      <c r="EJ5" s="21">
        <f t="shared" si="4"/>
        <v>0</v>
      </c>
      <c r="EK5" s="21">
        <f t="shared" si="4"/>
        <v>0</v>
      </c>
      <c r="EL5" s="21">
        <f t="shared" si="4"/>
        <v>0</v>
      </c>
    </row>
    <row r="6" spans="2:142" x14ac:dyDescent="0.45">
      <c r="B6" s="1" t="s">
        <v>420</v>
      </c>
      <c r="D6" s="496"/>
      <c r="E6" s="9">
        <v>10000</v>
      </c>
      <c r="F6" s="9"/>
      <c r="G6" s="13">
        <v>2</v>
      </c>
      <c r="H6" s="13">
        <v>11</v>
      </c>
      <c r="I6" s="21"/>
      <c r="J6" s="21">
        <f t="shared" ref="J6:J13" si="5">IF(AND($G6=J$4,$H6=J$4),$E6,IF($G6&gt;J$4,0,IF($H6&lt;J$4,0,$E6/($H6-$G6+1))))</f>
        <v>0</v>
      </c>
      <c r="K6" s="21">
        <f t="shared" si="0"/>
        <v>0</v>
      </c>
      <c r="L6" s="21">
        <f t="shared" si="0"/>
        <v>1000</v>
      </c>
      <c r="M6" s="21">
        <f t="shared" si="0"/>
        <v>1000</v>
      </c>
      <c r="N6" s="21">
        <f t="shared" si="0"/>
        <v>1000</v>
      </c>
      <c r="O6" s="21">
        <f t="shared" si="0"/>
        <v>1000</v>
      </c>
      <c r="P6" s="21">
        <f t="shared" si="0"/>
        <v>1000</v>
      </c>
      <c r="Q6" s="21">
        <f t="shared" si="0"/>
        <v>1000</v>
      </c>
      <c r="R6" s="21">
        <f t="shared" si="0"/>
        <v>1000</v>
      </c>
      <c r="S6" s="21">
        <f t="shared" si="0"/>
        <v>1000</v>
      </c>
      <c r="T6" s="21">
        <f t="shared" si="0"/>
        <v>1000</v>
      </c>
      <c r="U6" s="21">
        <f t="shared" si="0"/>
        <v>1000</v>
      </c>
      <c r="V6" s="21">
        <f t="shared" si="0"/>
        <v>0</v>
      </c>
      <c r="W6" s="21">
        <f t="shared" si="0"/>
        <v>0</v>
      </c>
      <c r="X6" s="21">
        <f t="shared" si="0"/>
        <v>0</v>
      </c>
      <c r="Y6" s="21">
        <f t="shared" si="0"/>
        <v>0</v>
      </c>
      <c r="Z6" s="21">
        <f t="shared" si="0"/>
        <v>0</v>
      </c>
      <c r="AA6" s="21">
        <f t="shared" si="1"/>
        <v>0</v>
      </c>
      <c r="AB6" s="21">
        <f t="shared" si="1"/>
        <v>0</v>
      </c>
      <c r="AC6" s="21">
        <f t="shared" si="1"/>
        <v>0</v>
      </c>
      <c r="AD6" s="21">
        <f t="shared" si="1"/>
        <v>0</v>
      </c>
      <c r="AE6" s="21">
        <f t="shared" si="1"/>
        <v>0</v>
      </c>
      <c r="AF6" s="21">
        <f t="shared" si="1"/>
        <v>0</v>
      </c>
      <c r="AG6" s="21">
        <f t="shared" si="1"/>
        <v>0</v>
      </c>
      <c r="AH6" s="21">
        <f t="shared" si="1"/>
        <v>0</v>
      </c>
      <c r="AI6" s="21">
        <f t="shared" si="1"/>
        <v>0</v>
      </c>
      <c r="AJ6" s="21">
        <f t="shared" si="1"/>
        <v>0</v>
      </c>
      <c r="AK6" s="21">
        <f t="shared" si="1"/>
        <v>0</v>
      </c>
      <c r="AL6" s="21">
        <f t="shared" si="1"/>
        <v>0</v>
      </c>
      <c r="AM6" s="21">
        <f t="shared" si="1"/>
        <v>0</v>
      </c>
      <c r="AN6" s="21">
        <f t="shared" si="1"/>
        <v>0</v>
      </c>
      <c r="AO6" s="21">
        <f t="shared" si="1"/>
        <v>0</v>
      </c>
      <c r="AP6" s="21">
        <f t="shared" si="1"/>
        <v>0</v>
      </c>
      <c r="AQ6" s="21">
        <f t="shared" si="1"/>
        <v>0</v>
      </c>
      <c r="AR6" s="21">
        <f t="shared" si="1"/>
        <v>0</v>
      </c>
      <c r="AS6" s="21">
        <f t="shared" si="1"/>
        <v>0</v>
      </c>
      <c r="AT6" s="21">
        <f t="shared" si="1"/>
        <v>0</v>
      </c>
      <c r="AU6" s="21">
        <f t="shared" si="1"/>
        <v>0</v>
      </c>
      <c r="AV6" s="21">
        <f t="shared" si="1"/>
        <v>0</v>
      </c>
      <c r="AW6" s="21">
        <f t="shared" si="1"/>
        <v>0</v>
      </c>
      <c r="AX6" s="21">
        <f t="shared" si="1"/>
        <v>0</v>
      </c>
      <c r="AY6" s="21">
        <f t="shared" si="1"/>
        <v>0</v>
      </c>
      <c r="AZ6" s="21">
        <f t="shared" si="1"/>
        <v>0</v>
      </c>
      <c r="BA6" s="21">
        <f t="shared" si="2"/>
        <v>0</v>
      </c>
      <c r="BB6" s="21">
        <f t="shared" si="2"/>
        <v>0</v>
      </c>
      <c r="BC6" s="21">
        <f t="shared" si="2"/>
        <v>0</v>
      </c>
      <c r="BD6" s="21">
        <f t="shared" si="2"/>
        <v>0</v>
      </c>
      <c r="BE6" s="21">
        <f t="shared" si="2"/>
        <v>0</v>
      </c>
      <c r="BF6" s="21">
        <f t="shared" si="2"/>
        <v>0</v>
      </c>
      <c r="BG6" s="21">
        <f t="shared" si="2"/>
        <v>0</v>
      </c>
      <c r="BH6" s="21">
        <f t="shared" si="2"/>
        <v>0</v>
      </c>
      <c r="BI6" s="21">
        <f t="shared" si="2"/>
        <v>0</v>
      </c>
      <c r="BJ6" s="21">
        <f t="shared" si="2"/>
        <v>0</v>
      </c>
      <c r="BK6" s="21">
        <f t="shared" si="2"/>
        <v>0</v>
      </c>
      <c r="BL6" s="21">
        <f t="shared" si="2"/>
        <v>0</v>
      </c>
      <c r="BM6" s="21">
        <f t="shared" si="2"/>
        <v>0</v>
      </c>
      <c r="BN6" s="21">
        <f t="shared" si="2"/>
        <v>0</v>
      </c>
      <c r="BO6" s="21">
        <f t="shared" si="2"/>
        <v>0</v>
      </c>
      <c r="BP6" s="21">
        <f t="shared" si="2"/>
        <v>0</v>
      </c>
      <c r="BQ6" s="21">
        <f t="shared" si="2"/>
        <v>0</v>
      </c>
      <c r="BR6" s="21">
        <f t="shared" si="2"/>
        <v>0</v>
      </c>
      <c r="BS6" s="21">
        <f t="shared" si="2"/>
        <v>0</v>
      </c>
      <c r="BT6" s="21">
        <f t="shared" si="2"/>
        <v>0</v>
      </c>
      <c r="BU6" s="21">
        <f t="shared" si="2"/>
        <v>0</v>
      </c>
      <c r="BV6" s="21">
        <f t="shared" si="2"/>
        <v>0</v>
      </c>
      <c r="BW6" s="21">
        <f t="shared" si="2"/>
        <v>0</v>
      </c>
      <c r="BX6" s="21">
        <f t="shared" si="2"/>
        <v>0</v>
      </c>
      <c r="BY6" s="21">
        <f t="shared" si="2"/>
        <v>0</v>
      </c>
      <c r="BZ6" s="21">
        <f t="shared" si="2"/>
        <v>0</v>
      </c>
      <c r="CA6" s="21">
        <f t="shared" si="2"/>
        <v>0</v>
      </c>
      <c r="CB6" s="21">
        <f t="shared" si="2"/>
        <v>0</v>
      </c>
      <c r="CC6" s="21">
        <f t="shared" si="2"/>
        <v>0</v>
      </c>
      <c r="CD6" s="21">
        <f t="shared" si="3"/>
        <v>0</v>
      </c>
      <c r="CE6" s="21">
        <f t="shared" si="3"/>
        <v>0</v>
      </c>
      <c r="CF6" s="21">
        <f t="shared" si="3"/>
        <v>0</v>
      </c>
      <c r="CG6" s="21">
        <f t="shared" si="3"/>
        <v>0</v>
      </c>
      <c r="CH6" s="21">
        <f t="shared" si="3"/>
        <v>0</v>
      </c>
      <c r="CI6" s="21">
        <f t="shared" si="3"/>
        <v>0</v>
      </c>
      <c r="CJ6" s="21">
        <f t="shared" si="3"/>
        <v>0</v>
      </c>
      <c r="CK6" s="21">
        <f t="shared" si="3"/>
        <v>0</v>
      </c>
      <c r="CL6" s="21">
        <f t="shared" si="3"/>
        <v>0</v>
      </c>
      <c r="CM6" s="21">
        <f t="shared" si="3"/>
        <v>0</v>
      </c>
      <c r="CN6" s="21">
        <f t="shared" si="3"/>
        <v>0</v>
      </c>
      <c r="CO6" s="21">
        <f t="shared" si="3"/>
        <v>0</v>
      </c>
      <c r="CP6" s="21">
        <f t="shared" si="3"/>
        <v>0</v>
      </c>
      <c r="CQ6" s="21">
        <f t="shared" si="3"/>
        <v>0</v>
      </c>
      <c r="CR6" s="21">
        <f t="shared" si="3"/>
        <v>0</v>
      </c>
      <c r="CS6" s="21">
        <f t="shared" si="3"/>
        <v>0</v>
      </c>
      <c r="CT6" s="21">
        <f t="shared" si="3"/>
        <v>0</v>
      </c>
      <c r="CU6" s="21">
        <f t="shared" si="3"/>
        <v>0</v>
      </c>
      <c r="CV6" s="21">
        <f t="shared" si="3"/>
        <v>0</v>
      </c>
      <c r="CW6" s="21">
        <f t="shared" si="3"/>
        <v>0</v>
      </c>
      <c r="CX6" s="21">
        <f t="shared" si="3"/>
        <v>0</v>
      </c>
      <c r="CY6" s="21">
        <f t="shared" si="3"/>
        <v>0</v>
      </c>
      <c r="CZ6" s="21">
        <f t="shared" si="3"/>
        <v>0</v>
      </c>
      <c r="DA6" s="21">
        <f t="shared" si="3"/>
        <v>0</v>
      </c>
      <c r="DB6" s="21">
        <f t="shared" si="3"/>
        <v>0</v>
      </c>
      <c r="DC6" s="21">
        <f t="shared" si="3"/>
        <v>0</v>
      </c>
      <c r="DD6" s="21">
        <f t="shared" si="3"/>
        <v>0</v>
      </c>
      <c r="DE6" s="21">
        <f t="shared" si="3"/>
        <v>0</v>
      </c>
      <c r="DF6" s="21">
        <f t="shared" si="3"/>
        <v>0</v>
      </c>
      <c r="DG6" s="21">
        <f t="shared" si="3"/>
        <v>0</v>
      </c>
      <c r="DH6" s="21">
        <f t="shared" si="3"/>
        <v>0</v>
      </c>
      <c r="DI6" s="21">
        <f t="shared" si="3"/>
        <v>0</v>
      </c>
      <c r="DJ6" s="21">
        <f t="shared" si="3"/>
        <v>0</v>
      </c>
      <c r="DK6" s="21">
        <f t="shared" si="3"/>
        <v>0</v>
      </c>
      <c r="DL6" s="21">
        <f t="shared" si="3"/>
        <v>0</v>
      </c>
      <c r="DM6" s="21">
        <f t="shared" si="3"/>
        <v>0</v>
      </c>
      <c r="DN6" s="21">
        <f t="shared" si="3"/>
        <v>0</v>
      </c>
      <c r="DO6" s="21">
        <f t="shared" si="4"/>
        <v>0</v>
      </c>
      <c r="DP6" s="21">
        <f t="shared" si="4"/>
        <v>0</v>
      </c>
      <c r="DQ6" s="21">
        <f t="shared" si="4"/>
        <v>0</v>
      </c>
      <c r="DR6" s="21">
        <f t="shared" si="4"/>
        <v>0</v>
      </c>
      <c r="DS6" s="21">
        <f t="shared" si="4"/>
        <v>0</v>
      </c>
      <c r="DT6" s="21">
        <f t="shared" si="4"/>
        <v>0</v>
      </c>
      <c r="DU6" s="21">
        <f t="shared" si="4"/>
        <v>0</v>
      </c>
      <c r="DV6" s="21">
        <f t="shared" si="4"/>
        <v>0</v>
      </c>
      <c r="DW6" s="21">
        <f t="shared" si="4"/>
        <v>0</v>
      </c>
      <c r="DX6" s="21">
        <f t="shared" si="4"/>
        <v>0</v>
      </c>
      <c r="DY6" s="21">
        <f t="shared" si="4"/>
        <v>0</v>
      </c>
      <c r="DZ6" s="21">
        <f t="shared" si="4"/>
        <v>0</v>
      </c>
      <c r="EA6" s="21">
        <f t="shared" si="4"/>
        <v>0</v>
      </c>
      <c r="EB6" s="21">
        <f t="shared" si="4"/>
        <v>0</v>
      </c>
      <c r="EC6" s="21">
        <f t="shared" si="4"/>
        <v>0</v>
      </c>
      <c r="ED6" s="21">
        <f t="shared" si="4"/>
        <v>0</v>
      </c>
      <c r="EE6" s="21">
        <f t="shared" si="4"/>
        <v>0</v>
      </c>
      <c r="EF6" s="21">
        <f t="shared" si="4"/>
        <v>0</v>
      </c>
      <c r="EG6" s="21">
        <f t="shared" si="4"/>
        <v>0</v>
      </c>
      <c r="EH6" s="21">
        <f t="shared" si="4"/>
        <v>0</v>
      </c>
      <c r="EI6" s="21">
        <f t="shared" si="4"/>
        <v>0</v>
      </c>
      <c r="EJ6" s="21">
        <f t="shared" si="4"/>
        <v>0</v>
      </c>
      <c r="EK6" s="21">
        <f t="shared" si="4"/>
        <v>0</v>
      </c>
      <c r="EL6" s="21">
        <f t="shared" si="4"/>
        <v>0</v>
      </c>
    </row>
    <row r="7" spans="2:142" x14ac:dyDescent="0.35">
      <c r="B7" s="1" t="s">
        <v>462</v>
      </c>
      <c r="C7" s="298">
        <v>50</v>
      </c>
      <c r="D7" s="208">
        <v>1500</v>
      </c>
      <c r="E7" s="19">
        <f>+D7*C7</f>
        <v>75000</v>
      </c>
      <c r="G7" s="13">
        <v>5</v>
      </c>
      <c r="H7" s="13">
        <v>6</v>
      </c>
      <c r="I7" s="21"/>
      <c r="J7" s="21">
        <f t="shared" si="5"/>
        <v>0</v>
      </c>
      <c r="K7" s="21">
        <f t="shared" si="0"/>
        <v>0</v>
      </c>
      <c r="L7" s="21">
        <f t="shared" si="0"/>
        <v>0</v>
      </c>
      <c r="M7" s="21">
        <f t="shared" si="0"/>
        <v>0</v>
      </c>
      <c r="N7" s="21">
        <f t="shared" si="0"/>
        <v>0</v>
      </c>
      <c r="O7" s="21">
        <f t="shared" si="0"/>
        <v>37500</v>
      </c>
      <c r="P7" s="21">
        <f t="shared" si="0"/>
        <v>37500</v>
      </c>
      <c r="Q7" s="21">
        <f t="shared" si="0"/>
        <v>0</v>
      </c>
      <c r="R7" s="21">
        <f t="shared" si="0"/>
        <v>0</v>
      </c>
      <c r="S7" s="21">
        <f t="shared" si="0"/>
        <v>0</v>
      </c>
      <c r="T7" s="21">
        <f t="shared" si="0"/>
        <v>0</v>
      </c>
      <c r="U7" s="21">
        <f t="shared" si="0"/>
        <v>0</v>
      </c>
      <c r="V7" s="21">
        <f t="shared" si="0"/>
        <v>0</v>
      </c>
      <c r="W7" s="21">
        <f t="shared" si="0"/>
        <v>0</v>
      </c>
      <c r="X7" s="21">
        <f t="shared" si="0"/>
        <v>0</v>
      </c>
      <c r="Y7" s="21">
        <f t="shared" si="0"/>
        <v>0</v>
      </c>
      <c r="Z7" s="21">
        <f t="shared" si="0"/>
        <v>0</v>
      </c>
      <c r="AA7" s="21">
        <f t="shared" si="1"/>
        <v>0</v>
      </c>
      <c r="AB7" s="21">
        <f t="shared" si="1"/>
        <v>0</v>
      </c>
      <c r="AC7" s="21">
        <f t="shared" si="1"/>
        <v>0</v>
      </c>
      <c r="AD7" s="21">
        <f t="shared" si="1"/>
        <v>0</v>
      </c>
      <c r="AE7" s="21">
        <f t="shared" si="1"/>
        <v>0</v>
      </c>
      <c r="AF7" s="21">
        <f t="shared" si="1"/>
        <v>0</v>
      </c>
      <c r="AG7" s="21">
        <f t="shared" si="1"/>
        <v>0</v>
      </c>
      <c r="AH7" s="21">
        <f t="shared" si="1"/>
        <v>0</v>
      </c>
      <c r="AI7" s="21">
        <f t="shared" si="1"/>
        <v>0</v>
      </c>
      <c r="AJ7" s="21">
        <f t="shared" si="1"/>
        <v>0</v>
      </c>
      <c r="AK7" s="21">
        <f t="shared" si="1"/>
        <v>0</v>
      </c>
      <c r="AL7" s="21">
        <f t="shared" si="1"/>
        <v>0</v>
      </c>
      <c r="AM7" s="21">
        <f t="shared" si="1"/>
        <v>0</v>
      </c>
      <c r="AN7" s="21">
        <f t="shared" si="1"/>
        <v>0</v>
      </c>
      <c r="AO7" s="21">
        <f t="shared" si="1"/>
        <v>0</v>
      </c>
      <c r="AP7" s="21">
        <f t="shared" si="1"/>
        <v>0</v>
      </c>
      <c r="AQ7" s="21">
        <f t="shared" si="1"/>
        <v>0</v>
      </c>
      <c r="AR7" s="21">
        <f t="shared" si="1"/>
        <v>0</v>
      </c>
      <c r="AS7" s="21">
        <f t="shared" si="1"/>
        <v>0</v>
      </c>
      <c r="AT7" s="21">
        <f t="shared" si="1"/>
        <v>0</v>
      </c>
      <c r="AU7" s="21">
        <f t="shared" si="1"/>
        <v>0</v>
      </c>
      <c r="AV7" s="21">
        <f t="shared" si="1"/>
        <v>0</v>
      </c>
      <c r="AW7" s="21">
        <f t="shared" si="1"/>
        <v>0</v>
      </c>
      <c r="AX7" s="21">
        <f t="shared" si="1"/>
        <v>0</v>
      </c>
      <c r="AY7" s="21">
        <f t="shared" si="1"/>
        <v>0</v>
      </c>
      <c r="AZ7" s="21">
        <f t="shared" si="1"/>
        <v>0</v>
      </c>
      <c r="BA7" s="21">
        <f t="shared" si="2"/>
        <v>0</v>
      </c>
      <c r="BB7" s="21">
        <f t="shared" si="2"/>
        <v>0</v>
      </c>
      <c r="BC7" s="21">
        <f t="shared" si="2"/>
        <v>0</v>
      </c>
      <c r="BD7" s="21">
        <f t="shared" si="2"/>
        <v>0</v>
      </c>
      <c r="BE7" s="21">
        <f t="shared" si="2"/>
        <v>0</v>
      </c>
      <c r="BF7" s="21">
        <f t="shared" si="2"/>
        <v>0</v>
      </c>
      <c r="BG7" s="21">
        <f t="shared" si="2"/>
        <v>0</v>
      </c>
      <c r="BH7" s="21">
        <f t="shared" si="2"/>
        <v>0</v>
      </c>
      <c r="BI7" s="21">
        <f t="shared" si="2"/>
        <v>0</v>
      </c>
      <c r="BJ7" s="21">
        <f t="shared" si="2"/>
        <v>0</v>
      </c>
      <c r="BK7" s="21">
        <f t="shared" si="2"/>
        <v>0</v>
      </c>
      <c r="BL7" s="21">
        <f t="shared" si="2"/>
        <v>0</v>
      </c>
      <c r="BM7" s="21">
        <f t="shared" si="2"/>
        <v>0</v>
      </c>
      <c r="BN7" s="21">
        <f t="shared" si="2"/>
        <v>0</v>
      </c>
      <c r="BO7" s="21">
        <f t="shared" si="2"/>
        <v>0</v>
      </c>
      <c r="BP7" s="21">
        <f t="shared" si="2"/>
        <v>0</v>
      </c>
      <c r="BQ7" s="21">
        <f t="shared" si="2"/>
        <v>0</v>
      </c>
      <c r="BR7" s="21">
        <f t="shared" si="2"/>
        <v>0</v>
      </c>
      <c r="BS7" s="21">
        <f t="shared" si="2"/>
        <v>0</v>
      </c>
      <c r="BT7" s="21">
        <f t="shared" si="2"/>
        <v>0</v>
      </c>
      <c r="BU7" s="21">
        <f t="shared" si="2"/>
        <v>0</v>
      </c>
      <c r="BV7" s="21">
        <f t="shared" si="2"/>
        <v>0</v>
      </c>
      <c r="BW7" s="21">
        <f t="shared" si="2"/>
        <v>0</v>
      </c>
      <c r="BX7" s="21">
        <f t="shared" si="2"/>
        <v>0</v>
      </c>
      <c r="BY7" s="21">
        <f t="shared" si="2"/>
        <v>0</v>
      </c>
      <c r="BZ7" s="21">
        <f t="shared" si="2"/>
        <v>0</v>
      </c>
      <c r="CA7" s="21">
        <f t="shared" si="2"/>
        <v>0</v>
      </c>
      <c r="CB7" s="21">
        <f t="shared" si="2"/>
        <v>0</v>
      </c>
      <c r="CC7" s="21">
        <f t="shared" si="2"/>
        <v>0</v>
      </c>
      <c r="CD7" s="21">
        <f t="shared" si="3"/>
        <v>0</v>
      </c>
      <c r="CE7" s="21">
        <f t="shared" si="3"/>
        <v>0</v>
      </c>
      <c r="CF7" s="21">
        <f t="shared" si="3"/>
        <v>0</v>
      </c>
      <c r="CG7" s="21">
        <f t="shared" si="3"/>
        <v>0</v>
      </c>
      <c r="CH7" s="21">
        <f t="shared" si="3"/>
        <v>0</v>
      </c>
      <c r="CI7" s="21">
        <f t="shared" si="3"/>
        <v>0</v>
      </c>
      <c r="CJ7" s="21">
        <f t="shared" si="3"/>
        <v>0</v>
      </c>
      <c r="CK7" s="21">
        <f t="shared" si="3"/>
        <v>0</v>
      </c>
      <c r="CL7" s="21">
        <f t="shared" si="3"/>
        <v>0</v>
      </c>
      <c r="CM7" s="21">
        <f t="shared" si="3"/>
        <v>0</v>
      </c>
      <c r="CN7" s="21">
        <f t="shared" si="3"/>
        <v>0</v>
      </c>
      <c r="CO7" s="21">
        <f t="shared" si="3"/>
        <v>0</v>
      </c>
      <c r="CP7" s="21">
        <f t="shared" si="3"/>
        <v>0</v>
      </c>
      <c r="CQ7" s="21">
        <f t="shared" si="3"/>
        <v>0</v>
      </c>
      <c r="CR7" s="21">
        <f t="shared" si="3"/>
        <v>0</v>
      </c>
      <c r="CS7" s="21">
        <f t="shared" si="3"/>
        <v>0</v>
      </c>
      <c r="CT7" s="21">
        <f t="shared" si="3"/>
        <v>0</v>
      </c>
      <c r="CU7" s="21">
        <f t="shared" si="3"/>
        <v>0</v>
      </c>
      <c r="CV7" s="21">
        <f t="shared" si="3"/>
        <v>0</v>
      </c>
      <c r="CW7" s="21">
        <f t="shared" si="3"/>
        <v>0</v>
      </c>
      <c r="CX7" s="21">
        <f t="shared" si="3"/>
        <v>0</v>
      </c>
      <c r="CY7" s="21">
        <f t="shared" si="3"/>
        <v>0</v>
      </c>
      <c r="CZ7" s="21">
        <f t="shared" si="3"/>
        <v>0</v>
      </c>
      <c r="DA7" s="21">
        <f t="shared" si="3"/>
        <v>0</v>
      </c>
      <c r="DB7" s="21">
        <f t="shared" si="3"/>
        <v>0</v>
      </c>
      <c r="DC7" s="21">
        <f t="shared" si="3"/>
        <v>0</v>
      </c>
      <c r="DD7" s="21">
        <f t="shared" si="3"/>
        <v>0</v>
      </c>
      <c r="DE7" s="21">
        <f t="shared" si="3"/>
        <v>0</v>
      </c>
      <c r="DF7" s="21">
        <f t="shared" si="3"/>
        <v>0</v>
      </c>
      <c r="DG7" s="21">
        <f t="shared" si="3"/>
        <v>0</v>
      </c>
      <c r="DH7" s="21">
        <f t="shared" si="3"/>
        <v>0</v>
      </c>
      <c r="DI7" s="21">
        <f t="shared" si="3"/>
        <v>0</v>
      </c>
      <c r="DJ7" s="21">
        <f t="shared" si="3"/>
        <v>0</v>
      </c>
      <c r="DK7" s="21">
        <f t="shared" si="3"/>
        <v>0</v>
      </c>
      <c r="DL7" s="21">
        <f t="shared" si="3"/>
        <v>0</v>
      </c>
      <c r="DM7" s="21">
        <f t="shared" si="3"/>
        <v>0</v>
      </c>
      <c r="DN7" s="21">
        <f t="shared" si="3"/>
        <v>0</v>
      </c>
      <c r="DO7" s="21">
        <f t="shared" si="4"/>
        <v>0</v>
      </c>
      <c r="DP7" s="21">
        <f t="shared" si="4"/>
        <v>0</v>
      </c>
      <c r="DQ7" s="21">
        <f t="shared" si="4"/>
        <v>0</v>
      </c>
      <c r="DR7" s="21">
        <f t="shared" si="4"/>
        <v>0</v>
      </c>
      <c r="DS7" s="21">
        <f t="shared" si="4"/>
        <v>0</v>
      </c>
      <c r="DT7" s="21">
        <f t="shared" si="4"/>
        <v>0</v>
      </c>
      <c r="DU7" s="21">
        <f t="shared" si="4"/>
        <v>0</v>
      </c>
      <c r="DV7" s="21">
        <f t="shared" si="4"/>
        <v>0</v>
      </c>
      <c r="DW7" s="21">
        <f t="shared" si="4"/>
        <v>0</v>
      </c>
      <c r="DX7" s="21">
        <f t="shared" si="4"/>
        <v>0</v>
      </c>
      <c r="DY7" s="21">
        <f t="shared" si="4"/>
        <v>0</v>
      </c>
      <c r="DZ7" s="21">
        <f t="shared" si="4"/>
        <v>0</v>
      </c>
      <c r="EA7" s="21">
        <f t="shared" si="4"/>
        <v>0</v>
      </c>
      <c r="EB7" s="21">
        <f t="shared" si="4"/>
        <v>0</v>
      </c>
      <c r="EC7" s="21">
        <f t="shared" si="4"/>
        <v>0</v>
      </c>
      <c r="ED7" s="21">
        <f t="shared" si="4"/>
        <v>0</v>
      </c>
      <c r="EE7" s="21">
        <f t="shared" si="4"/>
        <v>0</v>
      </c>
      <c r="EF7" s="21">
        <f t="shared" si="4"/>
        <v>0</v>
      </c>
      <c r="EG7" s="21">
        <f t="shared" si="4"/>
        <v>0</v>
      </c>
      <c r="EH7" s="21">
        <f t="shared" si="4"/>
        <v>0</v>
      </c>
      <c r="EI7" s="21">
        <f t="shared" si="4"/>
        <v>0</v>
      </c>
      <c r="EJ7" s="21">
        <f t="shared" si="4"/>
        <v>0</v>
      </c>
      <c r="EK7" s="21">
        <f t="shared" si="4"/>
        <v>0</v>
      </c>
      <c r="EL7" s="21">
        <f t="shared" si="4"/>
        <v>0</v>
      </c>
    </row>
    <row r="8" spans="2:142" x14ac:dyDescent="0.45">
      <c r="B8" s="1" t="s">
        <v>421</v>
      </c>
      <c r="D8" s="496"/>
      <c r="E8" s="9">
        <v>0</v>
      </c>
      <c r="G8" s="13">
        <v>0</v>
      </c>
      <c r="H8" s="13">
        <v>0</v>
      </c>
      <c r="I8" s="21"/>
      <c r="J8" s="21">
        <f t="shared" si="5"/>
        <v>0</v>
      </c>
      <c r="K8" s="21">
        <f t="shared" si="0"/>
        <v>0</v>
      </c>
      <c r="L8" s="21">
        <f t="shared" si="0"/>
        <v>0</v>
      </c>
      <c r="M8" s="21">
        <f t="shared" si="0"/>
        <v>0</v>
      </c>
      <c r="N8" s="21">
        <f t="shared" si="0"/>
        <v>0</v>
      </c>
      <c r="O8" s="21">
        <f t="shared" si="0"/>
        <v>0</v>
      </c>
      <c r="P8" s="21">
        <f t="shared" si="0"/>
        <v>0</v>
      </c>
      <c r="Q8" s="21">
        <f t="shared" si="0"/>
        <v>0</v>
      </c>
      <c r="R8" s="21">
        <f t="shared" si="0"/>
        <v>0</v>
      </c>
      <c r="S8" s="21">
        <f t="shared" si="0"/>
        <v>0</v>
      </c>
      <c r="T8" s="21">
        <f t="shared" si="0"/>
        <v>0</v>
      </c>
      <c r="U8" s="21">
        <f t="shared" si="0"/>
        <v>0</v>
      </c>
      <c r="V8" s="21">
        <f t="shared" si="0"/>
        <v>0</v>
      </c>
      <c r="W8" s="21">
        <f t="shared" si="0"/>
        <v>0</v>
      </c>
      <c r="X8" s="21">
        <f t="shared" si="0"/>
        <v>0</v>
      </c>
      <c r="Y8" s="21">
        <f t="shared" si="0"/>
        <v>0</v>
      </c>
      <c r="Z8" s="21">
        <f t="shared" si="0"/>
        <v>0</v>
      </c>
      <c r="AA8" s="21">
        <f t="shared" si="1"/>
        <v>0</v>
      </c>
      <c r="AB8" s="21">
        <f t="shared" si="1"/>
        <v>0</v>
      </c>
      <c r="AC8" s="21">
        <f t="shared" si="1"/>
        <v>0</v>
      </c>
      <c r="AD8" s="21">
        <f t="shared" si="1"/>
        <v>0</v>
      </c>
      <c r="AE8" s="21">
        <f t="shared" si="1"/>
        <v>0</v>
      </c>
      <c r="AF8" s="21">
        <f t="shared" si="1"/>
        <v>0</v>
      </c>
      <c r="AG8" s="21">
        <f t="shared" si="1"/>
        <v>0</v>
      </c>
      <c r="AH8" s="21">
        <f t="shared" si="1"/>
        <v>0</v>
      </c>
      <c r="AI8" s="21">
        <f t="shared" si="1"/>
        <v>0</v>
      </c>
      <c r="AJ8" s="21">
        <f t="shared" si="1"/>
        <v>0</v>
      </c>
      <c r="AK8" s="21">
        <f t="shared" ref="AK8:AZ9" si="6">IF(AND($G8=AK$4,$H8=AK$4),$E8,IF($G8&gt;AK$4,0,IF($H8&lt;AK$4,0,$E8/($H8-$G8+1))))</f>
        <v>0</v>
      </c>
      <c r="AL8" s="21">
        <f t="shared" si="6"/>
        <v>0</v>
      </c>
      <c r="AM8" s="21">
        <f t="shared" si="6"/>
        <v>0</v>
      </c>
      <c r="AN8" s="21">
        <f t="shared" si="6"/>
        <v>0</v>
      </c>
      <c r="AO8" s="21">
        <f t="shared" si="6"/>
        <v>0</v>
      </c>
      <c r="AP8" s="21">
        <f t="shared" si="6"/>
        <v>0</v>
      </c>
      <c r="AQ8" s="21">
        <f t="shared" si="6"/>
        <v>0</v>
      </c>
      <c r="AR8" s="21">
        <f t="shared" si="6"/>
        <v>0</v>
      </c>
      <c r="AS8" s="21">
        <f t="shared" si="6"/>
        <v>0</v>
      </c>
      <c r="AT8" s="21">
        <f t="shared" si="6"/>
        <v>0</v>
      </c>
      <c r="AU8" s="21">
        <f t="shared" si="6"/>
        <v>0</v>
      </c>
      <c r="AV8" s="21">
        <f t="shared" si="6"/>
        <v>0</v>
      </c>
      <c r="AW8" s="21">
        <f t="shared" si="6"/>
        <v>0</v>
      </c>
      <c r="AX8" s="21">
        <f t="shared" si="6"/>
        <v>0</v>
      </c>
      <c r="AY8" s="21">
        <f t="shared" si="6"/>
        <v>0</v>
      </c>
      <c r="AZ8" s="21">
        <f t="shared" si="6"/>
        <v>0</v>
      </c>
      <c r="BA8" s="21">
        <f t="shared" si="2"/>
        <v>0</v>
      </c>
      <c r="BB8" s="21">
        <f t="shared" si="2"/>
        <v>0</v>
      </c>
      <c r="BC8" s="21">
        <f t="shared" si="2"/>
        <v>0</v>
      </c>
      <c r="BD8" s="21">
        <f t="shared" si="2"/>
        <v>0</v>
      </c>
      <c r="BE8" s="21">
        <f t="shared" si="2"/>
        <v>0</v>
      </c>
      <c r="BF8" s="21">
        <f t="shared" si="2"/>
        <v>0</v>
      </c>
      <c r="BG8" s="21">
        <f t="shared" si="2"/>
        <v>0</v>
      </c>
      <c r="BH8" s="21">
        <f t="shared" si="2"/>
        <v>0</v>
      </c>
      <c r="BI8" s="21">
        <f t="shared" si="2"/>
        <v>0</v>
      </c>
      <c r="BJ8" s="21">
        <f t="shared" si="2"/>
        <v>0</v>
      </c>
      <c r="BK8" s="21">
        <f t="shared" si="2"/>
        <v>0</v>
      </c>
      <c r="BL8" s="21">
        <f t="shared" si="2"/>
        <v>0</v>
      </c>
      <c r="BM8" s="21">
        <f t="shared" si="2"/>
        <v>0</v>
      </c>
      <c r="BN8" s="21">
        <f t="shared" si="2"/>
        <v>0</v>
      </c>
      <c r="BO8" s="21">
        <f t="shared" si="2"/>
        <v>0</v>
      </c>
      <c r="BP8" s="21">
        <f t="shared" si="2"/>
        <v>0</v>
      </c>
      <c r="BQ8" s="21">
        <f t="shared" si="2"/>
        <v>0</v>
      </c>
      <c r="BR8" s="21">
        <f t="shared" si="2"/>
        <v>0</v>
      </c>
      <c r="BS8" s="21">
        <f t="shared" si="2"/>
        <v>0</v>
      </c>
      <c r="BT8" s="21">
        <f t="shared" si="2"/>
        <v>0</v>
      </c>
      <c r="BU8" s="21">
        <f t="shared" si="2"/>
        <v>0</v>
      </c>
      <c r="BV8" s="21">
        <f t="shared" si="2"/>
        <v>0</v>
      </c>
      <c r="BW8" s="21">
        <f t="shared" si="2"/>
        <v>0</v>
      </c>
      <c r="BX8" s="21">
        <f t="shared" si="2"/>
        <v>0</v>
      </c>
      <c r="BY8" s="21">
        <f t="shared" si="2"/>
        <v>0</v>
      </c>
      <c r="BZ8" s="21">
        <f t="shared" si="2"/>
        <v>0</v>
      </c>
      <c r="CA8" s="21">
        <f t="shared" si="2"/>
        <v>0</v>
      </c>
      <c r="CB8" s="21">
        <f t="shared" si="2"/>
        <v>0</v>
      </c>
      <c r="CC8" s="21">
        <f t="shared" si="2"/>
        <v>0</v>
      </c>
      <c r="CD8" s="21">
        <f t="shared" si="3"/>
        <v>0</v>
      </c>
      <c r="CE8" s="21">
        <f t="shared" si="3"/>
        <v>0</v>
      </c>
      <c r="CF8" s="21">
        <f t="shared" si="3"/>
        <v>0</v>
      </c>
      <c r="CG8" s="21">
        <f t="shared" si="3"/>
        <v>0</v>
      </c>
      <c r="CH8" s="21">
        <f t="shared" si="3"/>
        <v>0</v>
      </c>
      <c r="CI8" s="21">
        <f t="shared" si="3"/>
        <v>0</v>
      </c>
      <c r="CJ8" s="21">
        <f t="shared" si="3"/>
        <v>0</v>
      </c>
      <c r="CK8" s="21">
        <f t="shared" si="3"/>
        <v>0</v>
      </c>
      <c r="CL8" s="21">
        <f t="shared" si="3"/>
        <v>0</v>
      </c>
      <c r="CM8" s="21">
        <f t="shared" si="3"/>
        <v>0</v>
      </c>
      <c r="CN8" s="21">
        <f t="shared" si="3"/>
        <v>0</v>
      </c>
      <c r="CO8" s="21">
        <f t="shared" si="3"/>
        <v>0</v>
      </c>
      <c r="CP8" s="21">
        <f t="shared" si="3"/>
        <v>0</v>
      </c>
      <c r="CQ8" s="21">
        <f t="shared" si="3"/>
        <v>0</v>
      </c>
      <c r="CR8" s="21">
        <f t="shared" si="3"/>
        <v>0</v>
      </c>
      <c r="CS8" s="21">
        <f t="shared" si="3"/>
        <v>0</v>
      </c>
      <c r="CT8" s="21">
        <f t="shared" si="3"/>
        <v>0</v>
      </c>
      <c r="CU8" s="21">
        <f t="shared" si="3"/>
        <v>0</v>
      </c>
      <c r="CV8" s="21">
        <f t="shared" si="3"/>
        <v>0</v>
      </c>
      <c r="CW8" s="21">
        <f t="shared" si="3"/>
        <v>0</v>
      </c>
      <c r="CX8" s="21">
        <f t="shared" si="3"/>
        <v>0</v>
      </c>
      <c r="CY8" s="21">
        <f t="shared" si="3"/>
        <v>0</v>
      </c>
      <c r="CZ8" s="21">
        <f t="shared" si="3"/>
        <v>0</v>
      </c>
      <c r="DA8" s="21">
        <f t="shared" si="3"/>
        <v>0</v>
      </c>
      <c r="DB8" s="21">
        <f t="shared" si="3"/>
        <v>0</v>
      </c>
      <c r="DC8" s="21">
        <f t="shared" si="3"/>
        <v>0</v>
      </c>
      <c r="DD8" s="21">
        <f t="shared" si="3"/>
        <v>0</v>
      </c>
      <c r="DE8" s="21">
        <f t="shared" si="3"/>
        <v>0</v>
      </c>
      <c r="DF8" s="21">
        <f t="shared" si="3"/>
        <v>0</v>
      </c>
      <c r="DG8" s="21">
        <f t="shared" si="3"/>
        <v>0</v>
      </c>
      <c r="DH8" s="21">
        <f t="shared" si="3"/>
        <v>0</v>
      </c>
      <c r="DI8" s="21">
        <f t="shared" si="3"/>
        <v>0</v>
      </c>
      <c r="DJ8" s="21">
        <f t="shared" si="3"/>
        <v>0</v>
      </c>
      <c r="DK8" s="21">
        <f t="shared" si="3"/>
        <v>0</v>
      </c>
      <c r="DL8" s="21">
        <f t="shared" si="3"/>
        <v>0</v>
      </c>
      <c r="DM8" s="21">
        <f t="shared" si="3"/>
        <v>0</v>
      </c>
      <c r="DN8" s="21">
        <f t="shared" si="3"/>
        <v>0</v>
      </c>
      <c r="DO8" s="21">
        <f t="shared" si="4"/>
        <v>0</v>
      </c>
      <c r="DP8" s="21">
        <f t="shared" si="4"/>
        <v>0</v>
      </c>
      <c r="DQ8" s="21">
        <f t="shared" si="4"/>
        <v>0</v>
      </c>
      <c r="DR8" s="21">
        <f t="shared" si="4"/>
        <v>0</v>
      </c>
      <c r="DS8" s="21">
        <f t="shared" si="4"/>
        <v>0</v>
      </c>
      <c r="DT8" s="21">
        <f t="shared" si="4"/>
        <v>0</v>
      </c>
      <c r="DU8" s="21">
        <f t="shared" si="4"/>
        <v>0</v>
      </c>
      <c r="DV8" s="21">
        <f t="shared" si="4"/>
        <v>0</v>
      </c>
      <c r="DW8" s="21">
        <f t="shared" si="4"/>
        <v>0</v>
      </c>
      <c r="DX8" s="21">
        <f t="shared" si="4"/>
        <v>0</v>
      </c>
      <c r="DY8" s="21">
        <f t="shared" si="4"/>
        <v>0</v>
      </c>
      <c r="DZ8" s="21">
        <f t="shared" si="4"/>
        <v>0</v>
      </c>
      <c r="EA8" s="21">
        <f t="shared" si="4"/>
        <v>0</v>
      </c>
      <c r="EB8" s="21">
        <f t="shared" si="4"/>
        <v>0</v>
      </c>
      <c r="EC8" s="21">
        <f t="shared" si="4"/>
        <v>0</v>
      </c>
      <c r="ED8" s="21">
        <f t="shared" si="4"/>
        <v>0</v>
      </c>
      <c r="EE8" s="21">
        <f t="shared" si="4"/>
        <v>0</v>
      </c>
      <c r="EF8" s="21">
        <f t="shared" si="4"/>
        <v>0</v>
      </c>
      <c r="EG8" s="21">
        <f t="shared" si="4"/>
        <v>0</v>
      </c>
      <c r="EH8" s="21">
        <f t="shared" si="4"/>
        <v>0</v>
      </c>
      <c r="EI8" s="21">
        <f t="shared" si="4"/>
        <v>0</v>
      </c>
      <c r="EJ8" s="21">
        <f t="shared" si="4"/>
        <v>0</v>
      </c>
      <c r="EK8" s="21">
        <f t="shared" si="4"/>
        <v>0</v>
      </c>
      <c r="EL8" s="21">
        <f t="shared" si="4"/>
        <v>0</v>
      </c>
    </row>
    <row r="9" spans="2:142" x14ac:dyDescent="0.45">
      <c r="B9" s="1" t="s">
        <v>422</v>
      </c>
      <c r="D9" s="496"/>
      <c r="E9" s="9">
        <v>0</v>
      </c>
      <c r="G9" s="13">
        <v>0</v>
      </c>
      <c r="H9" s="13">
        <v>0</v>
      </c>
      <c r="I9" s="21"/>
      <c r="J9" s="21">
        <f t="shared" si="5"/>
        <v>0</v>
      </c>
      <c r="K9" s="21">
        <f t="shared" si="0"/>
        <v>0</v>
      </c>
      <c r="L9" s="21">
        <f t="shared" si="0"/>
        <v>0</v>
      </c>
      <c r="M9" s="21">
        <f t="shared" si="0"/>
        <v>0</v>
      </c>
      <c r="N9" s="21">
        <f t="shared" si="0"/>
        <v>0</v>
      </c>
      <c r="O9" s="21">
        <f t="shared" si="0"/>
        <v>0</v>
      </c>
      <c r="P9" s="21">
        <f t="shared" si="0"/>
        <v>0</v>
      </c>
      <c r="Q9" s="21">
        <f t="shared" si="0"/>
        <v>0</v>
      </c>
      <c r="R9" s="21">
        <f t="shared" si="0"/>
        <v>0</v>
      </c>
      <c r="S9" s="21">
        <f t="shared" si="0"/>
        <v>0</v>
      </c>
      <c r="T9" s="21">
        <f t="shared" si="0"/>
        <v>0</v>
      </c>
      <c r="U9" s="21">
        <f t="shared" si="0"/>
        <v>0</v>
      </c>
      <c r="V9" s="21">
        <f t="shared" si="0"/>
        <v>0</v>
      </c>
      <c r="W9" s="21">
        <f t="shared" si="0"/>
        <v>0</v>
      </c>
      <c r="X9" s="21">
        <f t="shared" si="0"/>
        <v>0</v>
      </c>
      <c r="Y9" s="21">
        <f t="shared" si="0"/>
        <v>0</v>
      </c>
      <c r="Z9" s="21">
        <f t="shared" si="0"/>
        <v>0</v>
      </c>
      <c r="AA9" s="21">
        <f t="shared" si="1"/>
        <v>0</v>
      </c>
      <c r="AB9" s="21">
        <f t="shared" si="1"/>
        <v>0</v>
      </c>
      <c r="AC9" s="21">
        <f t="shared" si="1"/>
        <v>0</v>
      </c>
      <c r="AD9" s="21">
        <f t="shared" si="1"/>
        <v>0</v>
      </c>
      <c r="AE9" s="21">
        <f t="shared" si="1"/>
        <v>0</v>
      </c>
      <c r="AF9" s="21">
        <f t="shared" si="1"/>
        <v>0</v>
      </c>
      <c r="AG9" s="21">
        <f t="shared" si="1"/>
        <v>0</v>
      </c>
      <c r="AH9" s="21">
        <f t="shared" si="1"/>
        <v>0</v>
      </c>
      <c r="AI9" s="21">
        <f t="shared" si="1"/>
        <v>0</v>
      </c>
      <c r="AJ9" s="21">
        <f t="shared" si="1"/>
        <v>0</v>
      </c>
      <c r="AK9" s="21">
        <f t="shared" si="6"/>
        <v>0</v>
      </c>
      <c r="AL9" s="21">
        <f t="shared" si="6"/>
        <v>0</v>
      </c>
      <c r="AM9" s="21">
        <f t="shared" si="6"/>
        <v>0</v>
      </c>
      <c r="AN9" s="21">
        <f t="shared" si="6"/>
        <v>0</v>
      </c>
      <c r="AO9" s="21">
        <f t="shared" si="6"/>
        <v>0</v>
      </c>
      <c r="AP9" s="21">
        <f t="shared" si="6"/>
        <v>0</v>
      </c>
      <c r="AQ9" s="21">
        <f t="shared" si="6"/>
        <v>0</v>
      </c>
      <c r="AR9" s="21">
        <f t="shared" si="6"/>
        <v>0</v>
      </c>
      <c r="AS9" s="21">
        <f t="shared" si="6"/>
        <v>0</v>
      </c>
      <c r="AT9" s="21">
        <f t="shared" si="6"/>
        <v>0</v>
      </c>
      <c r="AU9" s="21">
        <f t="shared" si="6"/>
        <v>0</v>
      </c>
      <c r="AV9" s="21">
        <f t="shared" si="6"/>
        <v>0</v>
      </c>
      <c r="AW9" s="21">
        <f t="shared" si="6"/>
        <v>0</v>
      </c>
      <c r="AX9" s="21">
        <f t="shared" si="6"/>
        <v>0</v>
      </c>
      <c r="AY9" s="21">
        <f t="shared" si="6"/>
        <v>0</v>
      </c>
      <c r="AZ9" s="21">
        <f t="shared" si="6"/>
        <v>0</v>
      </c>
      <c r="BA9" s="21">
        <f t="shared" si="2"/>
        <v>0</v>
      </c>
      <c r="BB9" s="21">
        <f t="shared" si="2"/>
        <v>0</v>
      </c>
      <c r="BC9" s="21">
        <f t="shared" si="2"/>
        <v>0</v>
      </c>
      <c r="BD9" s="21">
        <f t="shared" si="2"/>
        <v>0</v>
      </c>
      <c r="BE9" s="21">
        <f t="shared" si="2"/>
        <v>0</v>
      </c>
      <c r="BF9" s="21">
        <f t="shared" si="2"/>
        <v>0</v>
      </c>
      <c r="BG9" s="21">
        <f t="shared" si="2"/>
        <v>0</v>
      </c>
      <c r="BH9" s="21">
        <f t="shared" si="2"/>
        <v>0</v>
      </c>
      <c r="BI9" s="21">
        <f t="shared" si="2"/>
        <v>0</v>
      </c>
      <c r="BJ9" s="21">
        <f t="shared" si="2"/>
        <v>0</v>
      </c>
      <c r="BK9" s="21">
        <f t="shared" si="2"/>
        <v>0</v>
      </c>
      <c r="BL9" s="21">
        <f t="shared" si="2"/>
        <v>0</v>
      </c>
      <c r="BM9" s="21">
        <f t="shared" si="2"/>
        <v>0</v>
      </c>
      <c r="BN9" s="21">
        <f t="shared" si="2"/>
        <v>0</v>
      </c>
      <c r="BO9" s="21">
        <f t="shared" si="2"/>
        <v>0</v>
      </c>
      <c r="BP9" s="21">
        <f t="shared" si="2"/>
        <v>0</v>
      </c>
      <c r="BQ9" s="21">
        <f t="shared" si="2"/>
        <v>0</v>
      </c>
      <c r="BR9" s="21">
        <f t="shared" si="2"/>
        <v>0</v>
      </c>
      <c r="BS9" s="21">
        <f t="shared" si="2"/>
        <v>0</v>
      </c>
      <c r="BT9" s="21">
        <f t="shared" si="2"/>
        <v>0</v>
      </c>
      <c r="BU9" s="21">
        <f t="shared" si="2"/>
        <v>0</v>
      </c>
      <c r="BV9" s="21">
        <f t="shared" si="2"/>
        <v>0</v>
      </c>
      <c r="BW9" s="21">
        <f t="shared" si="2"/>
        <v>0</v>
      </c>
      <c r="BX9" s="21">
        <f t="shared" si="2"/>
        <v>0</v>
      </c>
      <c r="BY9" s="21">
        <f t="shared" si="2"/>
        <v>0</v>
      </c>
      <c r="BZ9" s="21">
        <f t="shared" si="2"/>
        <v>0</v>
      </c>
      <c r="CA9" s="21">
        <f t="shared" si="2"/>
        <v>0</v>
      </c>
      <c r="CB9" s="21">
        <f t="shared" si="2"/>
        <v>0</v>
      </c>
      <c r="CC9" s="21">
        <f t="shared" si="2"/>
        <v>0</v>
      </c>
      <c r="CD9" s="21">
        <f t="shared" si="3"/>
        <v>0</v>
      </c>
      <c r="CE9" s="21">
        <f t="shared" si="3"/>
        <v>0</v>
      </c>
      <c r="CF9" s="21">
        <f t="shared" si="3"/>
        <v>0</v>
      </c>
      <c r="CG9" s="21">
        <f t="shared" si="3"/>
        <v>0</v>
      </c>
      <c r="CH9" s="21">
        <f t="shared" si="3"/>
        <v>0</v>
      </c>
      <c r="CI9" s="21">
        <f t="shared" si="3"/>
        <v>0</v>
      </c>
      <c r="CJ9" s="21">
        <f t="shared" si="3"/>
        <v>0</v>
      </c>
      <c r="CK9" s="21">
        <f t="shared" si="3"/>
        <v>0</v>
      </c>
      <c r="CL9" s="21">
        <f t="shared" si="3"/>
        <v>0</v>
      </c>
      <c r="CM9" s="21">
        <f t="shared" si="3"/>
        <v>0</v>
      </c>
      <c r="CN9" s="21">
        <f t="shared" si="3"/>
        <v>0</v>
      </c>
      <c r="CO9" s="21">
        <f t="shared" si="3"/>
        <v>0</v>
      </c>
      <c r="CP9" s="21">
        <f t="shared" si="3"/>
        <v>0</v>
      </c>
      <c r="CQ9" s="21">
        <f t="shared" si="3"/>
        <v>0</v>
      </c>
      <c r="CR9" s="21">
        <f t="shared" si="3"/>
        <v>0</v>
      </c>
      <c r="CS9" s="21">
        <f t="shared" si="3"/>
        <v>0</v>
      </c>
      <c r="CT9" s="21">
        <f t="shared" si="3"/>
        <v>0</v>
      </c>
      <c r="CU9" s="21">
        <f t="shared" si="3"/>
        <v>0</v>
      </c>
      <c r="CV9" s="21">
        <f t="shared" si="3"/>
        <v>0</v>
      </c>
      <c r="CW9" s="21">
        <f t="shared" si="3"/>
        <v>0</v>
      </c>
      <c r="CX9" s="21">
        <f t="shared" si="3"/>
        <v>0</v>
      </c>
      <c r="CY9" s="21">
        <f t="shared" si="3"/>
        <v>0</v>
      </c>
      <c r="CZ9" s="21">
        <f t="shared" si="3"/>
        <v>0</v>
      </c>
      <c r="DA9" s="21">
        <f t="shared" si="3"/>
        <v>0</v>
      </c>
      <c r="DB9" s="21">
        <f t="shared" si="3"/>
        <v>0</v>
      </c>
      <c r="DC9" s="21">
        <f t="shared" si="3"/>
        <v>0</v>
      </c>
      <c r="DD9" s="21">
        <f t="shared" si="3"/>
        <v>0</v>
      </c>
      <c r="DE9" s="21">
        <f t="shared" si="3"/>
        <v>0</v>
      </c>
      <c r="DF9" s="21">
        <f t="shared" si="3"/>
        <v>0</v>
      </c>
      <c r="DG9" s="21">
        <f t="shared" si="3"/>
        <v>0</v>
      </c>
      <c r="DH9" s="21">
        <f t="shared" si="3"/>
        <v>0</v>
      </c>
      <c r="DI9" s="21">
        <f t="shared" si="3"/>
        <v>0</v>
      </c>
      <c r="DJ9" s="21">
        <f t="shared" si="3"/>
        <v>0</v>
      </c>
      <c r="DK9" s="21">
        <f t="shared" si="3"/>
        <v>0</v>
      </c>
      <c r="DL9" s="21">
        <f t="shared" si="3"/>
        <v>0</v>
      </c>
      <c r="DM9" s="21">
        <f t="shared" si="3"/>
        <v>0</v>
      </c>
      <c r="DN9" s="21">
        <f t="shared" si="3"/>
        <v>0</v>
      </c>
      <c r="DO9" s="21">
        <f t="shared" si="4"/>
        <v>0</v>
      </c>
      <c r="DP9" s="21">
        <f t="shared" si="4"/>
        <v>0</v>
      </c>
      <c r="DQ9" s="21">
        <f t="shared" si="4"/>
        <v>0</v>
      </c>
      <c r="DR9" s="21">
        <f t="shared" si="4"/>
        <v>0</v>
      </c>
      <c r="DS9" s="21">
        <f t="shared" si="4"/>
        <v>0</v>
      </c>
      <c r="DT9" s="21">
        <f t="shared" si="4"/>
        <v>0</v>
      </c>
      <c r="DU9" s="21">
        <f t="shared" si="4"/>
        <v>0</v>
      </c>
      <c r="DV9" s="21">
        <f t="shared" si="4"/>
        <v>0</v>
      </c>
      <c r="DW9" s="21">
        <f t="shared" si="4"/>
        <v>0</v>
      </c>
      <c r="DX9" s="21">
        <f t="shared" si="4"/>
        <v>0</v>
      </c>
      <c r="DY9" s="21">
        <f t="shared" si="4"/>
        <v>0</v>
      </c>
      <c r="DZ9" s="21">
        <f t="shared" si="4"/>
        <v>0</v>
      </c>
      <c r="EA9" s="21">
        <f t="shared" si="4"/>
        <v>0</v>
      </c>
      <c r="EB9" s="21">
        <f t="shared" si="4"/>
        <v>0</v>
      </c>
      <c r="EC9" s="21">
        <f t="shared" si="4"/>
        <v>0</v>
      </c>
      <c r="ED9" s="21">
        <f t="shared" si="4"/>
        <v>0</v>
      </c>
      <c r="EE9" s="21">
        <f t="shared" si="4"/>
        <v>0</v>
      </c>
      <c r="EF9" s="21">
        <f t="shared" si="4"/>
        <v>0</v>
      </c>
      <c r="EG9" s="21">
        <f t="shared" si="4"/>
        <v>0</v>
      </c>
      <c r="EH9" s="21">
        <f t="shared" si="4"/>
        <v>0</v>
      </c>
      <c r="EI9" s="21">
        <f t="shared" si="4"/>
        <v>0</v>
      </c>
      <c r="EJ9" s="21">
        <f t="shared" si="4"/>
        <v>0</v>
      </c>
      <c r="EK9" s="21">
        <f t="shared" si="4"/>
        <v>0</v>
      </c>
      <c r="EL9" s="21">
        <f t="shared" si="4"/>
        <v>0</v>
      </c>
    </row>
    <row r="10" spans="2:142" x14ac:dyDescent="0.45">
      <c r="B10" s="1" t="s">
        <v>425</v>
      </c>
      <c r="D10" s="496"/>
      <c r="E10" s="9">
        <v>5000</v>
      </c>
      <c r="G10" s="13">
        <v>10</v>
      </c>
      <c r="H10" s="13">
        <v>10</v>
      </c>
      <c r="I10" s="21"/>
      <c r="J10" s="21">
        <f t="shared" si="5"/>
        <v>0</v>
      </c>
      <c r="K10" s="21">
        <f t="shared" si="0"/>
        <v>0</v>
      </c>
      <c r="L10" s="21">
        <f t="shared" si="0"/>
        <v>0</v>
      </c>
      <c r="M10" s="21">
        <f t="shared" si="0"/>
        <v>0</v>
      </c>
      <c r="N10" s="21">
        <f t="shared" si="0"/>
        <v>0</v>
      </c>
      <c r="O10" s="21">
        <f t="shared" si="0"/>
        <v>0</v>
      </c>
      <c r="P10" s="21">
        <f t="shared" si="0"/>
        <v>0</v>
      </c>
      <c r="Q10" s="21">
        <f t="shared" si="0"/>
        <v>0</v>
      </c>
      <c r="R10" s="21">
        <f t="shared" si="0"/>
        <v>0</v>
      </c>
      <c r="S10" s="21">
        <f t="shared" si="0"/>
        <v>0</v>
      </c>
      <c r="T10" s="21">
        <f t="shared" si="0"/>
        <v>5000</v>
      </c>
      <c r="U10" s="21">
        <f t="shared" si="0"/>
        <v>0</v>
      </c>
      <c r="V10" s="21">
        <f t="shared" si="0"/>
        <v>0</v>
      </c>
      <c r="W10" s="21">
        <f t="shared" si="0"/>
        <v>0</v>
      </c>
      <c r="X10" s="21">
        <f t="shared" si="0"/>
        <v>0</v>
      </c>
      <c r="Y10" s="21">
        <f t="shared" si="0"/>
        <v>0</v>
      </c>
      <c r="Z10" s="21">
        <f t="shared" si="0"/>
        <v>0</v>
      </c>
      <c r="AA10" s="21">
        <f t="shared" si="1"/>
        <v>0</v>
      </c>
      <c r="AB10" s="21">
        <f t="shared" si="1"/>
        <v>0</v>
      </c>
      <c r="AC10" s="21">
        <f t="shared" si="1"/>
        <v>0</v>
      </c>
      <c r="AD10" s="21">
        <f t="shared" si="1"/>
        <v>0</v>
      </c>
      <c r="AE10" s="21">
        <f t="shared" si="1"/>
        <v>0</v>
      </c>
      <c r="AF10" s="21">
        <f t="shared" si="1"/>
        <v>0</v>
      </c>
      <c r="AG10" s="21">
        <f t="shared" si="1"/>
        <v>0</v>
      </c>
      <c r="AH10" s="21">
        <f t="shared" si="1"/>
        <v>0</v>
      </c>
      <c r="AI10" s="21">
        <f t="shared" si="1"/>
        <v>0</v>
      </c>
      <c r="AJ10" s="21">
        <f t="shared" si="1"/>
        <v>0</v>
      </c>
      <c r="AK10" s="21">
        <f t="shared" si="1"/>
        <v>0</v>
      </c>
      <c r="AL10" s="21">
        <f t="shared" si="1"/>
        <v>0</v>
      </c>
      <c r="AM10" s="21">
        <f t="shared" si="1"/>
        <v>0</v>
      </c>
      <c r="AN10" s="21">
        <f t="shared" si="1"/>
        <v>0</v>
      </c>
      <c r="AO10" s="21">
        <f t="shared" si="1"/>
        <v>0</v>
      </c>
      <c r="AP10" s="21">
        <f t="shared" si="1"/>
        <v>0</v>
      </c>
      <c r="AQ10" s="21">
        <f t="shared" si="1"/>
        <v>0</v>
      </c>
      <c r="AR10" s="21">
        <f t="shared" si="1"/>
        <v>0</v>
      </c>
      <c r="AS10" s="21">
        <f t="shared" si="1"/>
        <v>0</v>
      </c>
      <c r="AT10" s="21">
        <f t="shared" si="1"/>
        <v>0</v>
      </c>
      <c r="AU10" s="21">
        <f t="shared" si="1"/>
        <v>0</v>
      </c>
      <c r="AV10" s="21">
        <f t="shared" ref="AV10:EK14" si="7">IF(AND($G10=AV$4,$H10=AV$4),$E10,IF($G10&gt;AV$4,0,IF($H10&lt;AV$4,0,$E10/($H10-$G10+1))))</f>
        <v>0</v>
      </c>
      <c r="AW10" s="21">
        <f t="shared" si="7"/>
        <v>0</v>
      </c>
      <c r="AX10" s="21">
        <f t="shared" si="7"/>
        <v>0</v>
      </c>
      <c r="AY10" s="21">
        <f t="shared" si="7"/>
        <v>0</v>
      </c>
      <c r="AZ10" s="21">
        <f t="shared" si="7"/>
        <v>0</v>
      </c>
      <c r="BA10" s="21">
        <f t="shared" si="7"/>
        <v>0</v>
      </c>
      <c r="BB10" s="21">
        <f t="shared" si="7"/>
        <v>0</v>
      </c>
      <c r="BC10" s="21">
        <f t="shared" si="7"/>
        <v>0</v>
      </c>
      <c r="BD10" s="21">
        <f t="shared" si="7"/>
        <v>0</v>
      </c>
      <c r="BE10" s="21">
        <f t="shared" si="7"/>
        <v>0</v>
      </c>
      <c r="BF10" s="21">
        <f t="shared" si="7"/>
        <v>0</v>
      </c>
      <c r="BG10" s="21">
        <f t="shared" si="7"/>
        <v>0</v>
      </c>
      <c r="BH10" s="21">
        <f t="shared" si="7"/>
        <v>0</v>
      </c>
      <c r="BI10" s="21">
        <f t="shared" si="7"/>
        <v>0</v>
      </c>
      <c r="BJ10" s="21">
        <f t="shared" si="7"/>
        <v>0</v>
      </c>
      <c r="BK10" s="21">
        <f t="shared" si="7"/>
        <v>0</v>
      </c>
      <c r="BL10" s="21">
        <f t="shared" si="7"/>
        <v>0</v>
      </c>
      <c r="BM10" s="21">
        <f t="shared" si="7"/>
        <v>0</v>
      </c>
      <c r="BN10" s="21">
        <f t="shared" si="7"/>
        <v>0</v>
      </c>
      <c r="BO10" s="21">
        <f t="shared" si="7"/>
        <v>0</v>
      </c>
      <c r="BP10" s="21">
        <f t="shared" si="7"/>
        <v>0</v>
      </c>
      <c r="BQ10" s="21">
        <f t="shared" si="7"/>
        <v>0</v>
      </c>
      <c r="BR10" s="21">
        <f t="shared" si="7"/>
        <v>0</v>
      </c>
      <c r="BS10" s="21">
        <f t="shared" si="7"/>
        <v>0</v>
      </c>
      <c r="BT10" s="21">
        <f t="shared" si="7"/>
        <v>0</v>
      </c>
      <c r="BU10" s="21">
        <f t="shared" si="7"/>
        <v>0</v>
      </c>
      <c r="BV10" s="21">
        <f t="shared" si="7"/>
        <v>0</v>
      </c>
      <c r="BW10" s="21">
        <f t="shared" si="7"/>
        <v>0</v>
      </c>
      <c r="BX10" s="21">
        <f t="shared" si="7"/>
        <v>0</v>
      </c>
      <c r="BY10" s="21">
        <f t="shared" si="7"/>
        <v>0</v>
      </c>
      <c r="BZ10" s="21">
        <f t="shared" si="7"/>
        <v>0</v>
      </c>
      <c r="CA10" s="21">
        <f t="shared" si="7"/>
        <v>0</v>
      </c>
      <c r="CB10" s="21">
        <f t="shared" si="7"/>
        <v>0</v>
      </c>
      <c r="CC10" s="21">
        <f t="shared" si="7"/>
        <v>0</v>
      </c>
      <c r="CD10" s="21">
        <f t="shared" si="7"/>
        <v>0</v>
      </c>
      <c r="CE10" s="21">
        <f t="shared" si="7"/>
        <v>0</v>
      </c>
      <c r="CF10" s="21">
        <f t="shared" si="7"/>
        <v>0</v>
      </c>
      <c r="CG10" s="21">
        <f t="shared" si="7"/>
        <v>0</v>
      </c>
      <c r="CH10" s="21">
        <f t="shared" si="7"/>
        <v>0</v>
      </c>
      <c r="CI10" s="21">
        <f t="shared" si="7"/>
        <v>0</v>
      </c>
      <c r="CJ10" s="21">
        <f t="shared" si="7"/>
        <v>0</v>
      </c>
      <c r="CK10" s="21">
        <f t="shared" si="7"/>
        <v>0</v>
      </c>
      <c r="CL10" s="21">
        <f t="shared" si="7"/>
        <v>0</v>
      </c>
      <c r="CM10" s="21">
        <f t="shared" si="7"/>
        <v>0</v>
      </c>
      <c r="CN10" s="21">
        <f t="shared" si="7"/>
        <v>0</v>
      </c>
      <c r="CO10" s="21">
        <f t="shared" si="7"/>
        <v>0</v>
      </c>
      <c r="CP10" s="21">
        <f t="shared" si="7"/>
        <v>0</v>
      </c>
      <c r="CQ10" s="21">
        <f t="shared" si="7"/>
        <v>0</v>
      </c>
      <c r="CR10" s="21">
        <f t="shared" si="7"/>
        <v>0</v>
      </c>
      <c r="CS10" s="21">
        <f t="shared" si="7"/>
        <v>0</v>
      </c>
      <c r="CT10" s="21">
        <f t="shared" si="7"/>
        <v>0</v>
      </c>
      <c r="CU10" s="21">
        <f t="shared" si="7"/>
        <v>0</v>
      </c>
      <c r="CV10" s="21">
        <f t="shared" si="7"/>
        <v>0</v>
      </c>
      <c r="CW10" s="21">
        <f t="shared" si="7"/>
        <v>0</v>
      </c>
      <c r="CX10" s="21">
        <f t="shared" si="7"/>
        <v>0</v>
      </c>
      <c r="CY10" s="21">
        <f t="shared" si="7"/>
        <v>0</v>
      </c>
      <c r="CZ10" s="21">
        <f t="shared" si="7"/>
        <v>0</v>
      </c>
      <c r="DA10" s="21">
        <f t="shared" si="7"/>
        <v>0</v>
      </c>
      <c r="DB10" s="21">
        <f t="shared" si="7"/>
        <v>0</v>
      </c>
      <c r="DC10" s="21">
        <f t="shared" si="7"/>
        <v>0</v>
      </c>
      <c r="DD10" s="21">
        <f t="shared" si="7"/>
        <v>0</v>
      </c>
      <c r="DE10" s="21">
        <f t="shared" si="7"/>
        <v>0</v>
      </c>
      <c r="DF10" s="21">
        <f t="shared" si="7"/>
        <v>0</v>
      </c>
      <c r="DG10" s="21">
        <f t="shared" si="7"/>
        <v>0</v>
      </c>
      <c r="DH10" s="21">
        <f t="shared" si="7"/>
        <v>0</v>
      </c>
      <c r="DI10" s="21">
        <f t="shared" si="7"/>
        <v>0</v>
      </c>
      <c r="DJ10" s="21">
        <f t="shared" si="7"/>
        <v>0</v>
      </c>
      <c r="DK10" s="21">
        <f t="shared" si="7"/>
        <v>0</v>
      </c>
      <c r="DL10" s="21">
        <f t="shared" si="7"/>
        <v>0</v>
      </c>
      <c r="DM10" s="21">
        <f t="shared" si="7"/>
        <v>0</v>
      </c>
      <c r="DN10" s="21">
        <f t="shared" si="7"/>
        <v>0</v>
      </c>
      <c r="DO10" s="21">
        <f t="shared" si="7"/>
        <v>0</v>
      </c>
      <c r="DP10" s="21">
        <f t="shared" si="7"/>
        <v>0</v>
      </c>
      <c r="DQ10" s="21">
        <f t="shared" si="7"/>
        <v>0</v>
      </c>
      <c r="DR10" s="21">
        <f t="shared" si="7"/>
        <v>0</v>
      </c>
      <c r="DS10" s="21">
        <f t="shared" si="7"/>
        <v>0</v>
      </c>
      <c r="DT10" s="21">
        <f t="shared" si="7"/>
        <v>0</v>
      </c>
      <c r="DU10" s="21">
        <f t="shared" si="7"/>
        <v>0</v>
      </c>
      <c r="DV10" s="21">
        <f t="shared" si="7"/>
        <v>0</v>
      </c>
      <c r="DW10" s="21">
        <f t="shared" si="7"/>
        <v>0</v>
      </c>
      <c r="DX10" s="21">
        <f t="shared" si="7"/>
        <v>0</v>
      </c>
      <c r="DY10" s="21">
        <f t="shared" si="7"/>
        <v>0</v>
      </c>
      <c r="DZ10" s="21">
        <f t="shared" si="7"/>
        <v>0</v>
      </c>
      <c r="EA10" s="21">
        <f t="shared" si="7"/>
        <v>0</v>
      </c>
      <c r="EB10" s="21">
        <f t="shared" si="7"/>
        <v>0</v>
      </c>
      <c r="EC10" s="21">
        <f t="shared" si="7"/>
        <v>0</v>
      </c>
      <c r="ED10" s="21">
        <f t="shared" si="7"/>
        <v>0</v>
      </c>
      <c r="EE10" s="21">
        <f t="shared" si="7"/>
        <v>0</v>
      </c>
      <c r="EF10" s="21">
        <f t="shared" si="7"/>
        <v>0</v>
      </c>
      <c r="EG10" s="21">
        <f t="shared" si="7"/>
        <v>0</v>
      </c>
      <c r="EH10" s="21">
        <f t="shared" si="7"/>
        <v>0</v>
      </c>
      <c r="EI10" s="21">
        <f t="shared" si="7"/>
        <v>0</v>
      </c>
      <c r="EJ10" s="21">
        <f t="shared" si="7"/>
        <v>0</v>
      </c>
      <c r="EK10" s="21">
        <f t="shared" si="7"/>
        <v>0</v>
      </c>
      <c r="EL10" s="21">
        <f t="shared" si="4"/>
        <v>0</v>
      </c>
    </row>
    <row r="11" spans="2:142" x14ac:dyDescent="0.45">
      <c r="B11" s="1" t="s">
        <v>423</v>
      </c>
      <c r="D11" s="496"/>
      <c r="E11" s="9">
        <v>10000</v>
      </c>
      <c r="G11" s="13">
        <v>5</v>
      </c>
      <c r="H11" s="13">
        <v>5</v>
      </c>
      <c r="I11" s="21"/>
      <c r="J11" s="21">
        <f t="shared" si="5"/>
        <v>0</v>
      </c>
      <c r="K11" s="21">
        <f t="shared" si="0"/>
        <v>0</v>
      </c>
      <c r="L11" s="21">
        <f t="shared" si="0"/>
        <v>0</v>
      </c>
      <c r="M11" s="21">
        <f t="shared" si="0"/>
        <v>0</v>
      </c>
      <c r="N11" s="21">
        <f t="shared" si="0"/>
        <v>0</v>
      </c>
      <c r="O11" s="21">
        <f t="shared" si="0"/>
        <v>10000</v>
      </c>
      <c r="P11" s="21">
        <f t="shared" si="0"/>
        <v>0</v>
      </c>
      <c r="Q11" s="21">
        <f t="shared" si="0"/>
        <v>0</v>
      </c>
      <c r="R11" s="21">
        <f t="shared" si="0"/>
        <v>0</v>
      </c>
      <c r="S11" s="21">
        <f t="shared" si="0"/>
        <v>0</v>
      </c>
      <c r="T11" s="21">
        <f t="shared" si="0"/>
        <v>0</v>
      </c>
      <c r="U11" s="21">
        <f t="shared" si="0"/>
        <v>0</v>
      </c>
      <c r="V11" s="21">
        <f t="shared" si="0"/>
        <v>0</v>
      </c>
      <c r="W11" s="21">
        <f t="shared" si="0"/>
        <v>0</v>
      </c>
      <c r="X11" s="21">
        <f t="shared" si="0"/>
        <v>0</v>
      </c>
      <c r="Y11" s="21">
        <f t="shared" si="0"/>
        <v>0</v>
      </c>
      <c r="Z11" s="21">
        <f t="shared" si="0"/>
        <v>0</v>
      </c>
      <c r="AA11" s="21">
        <f t="shared" si="1"/>
        <v>0</v>
      </c>
      <c r="AB11" s="21">
        <f t="shared" si="1"/>
        <v>0</v>
      </c>
      <c r="AC11" s="21">
        <f t="shared" si="1"/>
        <v>0</v>
      </c>
      <c r="AD11" s="21">
        <f t="shared" si="1"/>
        <v>0</v>
      </c>
      <c r="AE11" s="21">
        <f t="shared" si="1"/>
        <v>0</v>
      </c>
      <c r="AF11" s="21">
        <f t="shared" si="1"/>
        <v>0</v>
      </c>
      <c r="AG11" s="21">
        <f t="shared" si="1"/>
        <v>0</v>
      </c>
      <c r="AH11" s="21">
        <f t="shared" si="1"/>
        <v>0</v>
      </c>
      <c r="AI11" s="21">
        <f t="shared" si="1"/>
        <v>0</v>
      </c>
      <c r="AJ11" s="21">
        <f t="shared" si="1"/>
        <v>0</v>
      </c>
      <c r="AK11" s="21">
        <f t="shared" si="1"/>
        <v>0</v>
      </c>
      <c r="AL11" s="21">
        <f t="shared" si="1"/>
        <v>0</v>
      </c>
      <c r="AM11" s="21">
        <f t="shared" si="1"/>
        <v>0</v>
      </c>
      <c r="AN11" s="21">
        <f t="shared" si="1"/>
        <v>0</v>
      </c>
      <c r="AO11" s="21">
        <f t="shared" si="1"/>
        <v>0</v>
      </c>
      <c r="AP11" s="21">
        <f t="shared" si="1"/>
        <v>0</v>
      </c>
      <c r="AQ11" s="21">
        <f t="shared" si="1"/>
        <v>0</v>
      </c>
      <c r="AR11" s="21">
        <f t="shared" si="1"/>
        <v>0</v>
      </c>
      <c r="AS11" s="21">
        <f t="shared" si="1"/>
        <v>0</v>
      </c>
      <c r="AT11" s="21">
        <f t="shared" si="1"/>
        <v>0</v>
      </c>
      <c r="AU11" s="21">
        <f t="shared" si="1"/>
        <v>0</v>
      </c>
      <c r="AV11" s="21">
        <f t="shared" si="7"/>
        <v>0</v>
      </c>
      <c r="AW11" s="21">
        <f t="shared" si="7"/>
        <v>0</v>
      </c>
      <c r="AX11" s="21">
        <f t="shared" si="7"/>
        <v>0</v>
      </c>
      <c r="AY11" s="21">
        <f t="shared" si="7"/>
        <v>0</v>
      </c>
      <c r="AZ11" s="21">
        <f t="shared" si="7"/>
        <v>0</v>
      </c>
      <c r="BA11" s="21">
        <f t="shared" si="7"/>
        <v>0</v>
      </c>
      <c r="BB11" s="21">
        <f t="shared" si="7"/>
        <v>0</v>
      </c>
      <c r="BC11" s="21">
        <f t="shared" si="7"/>
        <v>0</v>
      </c>
      <c r="BD11" s="21">
        <f t="shared" si="7"/>
        <v>0</v>
      </c>
      <c r="BE11" s="21">
        <f t="shared" si="7"/>
        <v>0</v>
      </c>
      <c r="BF11" s="21">
        <f t="shared" si="7"/>
        <v>0</v>
      </c>
      <c r="BG11" s="21">
        <f t="shared" si="7"/>
        <v>0</v>
      </c>
      <c r="BH11" s="21">
        <f t="shared" si="7"/>
        <v>0</v>
      </c>
      <c r="BI11" s="21">
        <f t="shared" si="7"/>
        <v>0</v>
      </c>
      <c r="BJ11" s="21">
        <f t="shared" si="7"/>
        <v>0</v>
      </c>
      <c r="BK11" s="21">
        <f t="shared" si="7"/>
        <v>0</v>
      </c>
      <c r="BL11" s="21">
        <f t="shared" si="7"/>
        <v>0</v>
      </c>
      <c r="BM11" s="21">
        <f t="shared" si="7"/>
        <v>0</v>
      </c>
      <c r="BN11" s="21">
        <f t="shared" si="7"/>
        <v>0</v>
      </c>
      <c r="BO11" s="21">
        <f t="shared" si="7"/>
        <v>0</v>
      </c>
      <c r="BP11" s="21">
        <f t="shared" si="7"/>
        <v>0</v>
      </c>
      <c r="BQ11" s="21">
        <f t="shared" si="7"/>
        <v>0</v>
      </c>
      <c r="BR11" s="21">
        <f t="shared" si="7"/>
        <v>0</v>
      </c>
      <c r="BS11" s="21">
        <f t="shared" si="7"/>
        <v>0</v>
      </c>
      <c r="BT11" s="21">
        <f t="shared" si="7"/>
        <v>0</v>
      </c>
      <c r="BU11" s="21">
        <f t="shared" si="7"/>
        <v>0</v>
      </c>
      <c r="BV11" s="21">
        <f t="shared" si="7"/>
        <v>0</v>
      </c>
      <c r="BW11" s="21">
        <f t="shared" si="7"/>
        <v>0</v>
      </c>
      <c r="BX11" s="21">
        <f t="shared" si="7"/>
        <v>0</v>
      </c>
      <c r="BY11" s="21">
        <f t="shared" si="7"/>
        <v>0</v>
      </c>
      <c r="BZ11" s="21">
        <f t="shared" si="7"/>
        <v>0</v>
      </c>
      <c r="CA11" s="21">
        <f t="shared" si="7"/>
        <v>0</v>
      </c>
      <c r="CB11" s="21">
        <f t="shared" si="7"/>
        <v>0</v>
      </c>
      <c r="CC11" s="21">
        <f t="shared" si="7"/>
        <v>0</v>
      </c>
      <c r="CD11" s="21">
        <f t="shared" si="7"/>
        <v>0</v>
      </c>
      <c r="CE11" s="21">
        <f t="shared" si="7"/>
        <v>0</v>
      </c>
      <c r="CF11" s="21">
        <f t="shared" si="7"/>
        <v>0</v>
      </c>
      <c r="CG11" s="21">
        <f t="shared" si="7"/>
        <v>0</v>
      </c>
      <c r="CH11" s="21">
        <f t="shared" si="7"/>
        <v>0</v>
      </c>
      <c r="CI11" s="21">
        <f t="shared" si="7"/>
        <v>0</v>
      </c>
      <c r="CJ11" s="21">
        <f t="shared" si="7"/>
        <v>0</v>
      </c>
      <c r="CK11" s="21">
        <f t="shared" si="7"/>
        <v>0</v>
      </c>
      <c r="CL11" s="21">
        <f t="shared" si="7"/>
        <v>0</v>
      </c>
      <c r="CM11" s="21">
        <f t="shared" si="7"/>
        <v>0</v>
      </c>
      <c r="CN11" s="21">
        <f t="shared" si="7"/>
        <v>0</v>
      </c>
      <c r="CO11" s="21">
        <f t="shared" si="7"/>
        <v>0</v>
      </c>
      <c r="CP11" s="21">
        <f t="shared" si="7"/>
        <v>0</v>
      </c>
      <c r="CQ11" s="21">
        <f t="shared" si="7"/>
        <v>0</v>
      </c>
      <c r="CR11" s="21">
        <f t="shared" si="7"/>
        <v>0</v>
      </c>
      <c r="CS11" s="21">
        <f t="shared" si="7"/>
        <v>0</v>
      </c>
      <c r="CT11" s="21">
        <f t="shared" si="7"/>
        <v>0</v>
      </c>
      <c r="CU11" s="21">
        <f t="shared" si="7"/>
        <v>0</v>
      </c>
      <c r="CV11" s="21">
        <f t="shared" si="7"/>
        <v>0</v>
      </c>
      <c r="CW11" s="21">
        <f t="shared" si="7"/>
        <v>0</v>
      </c>
      <c r="CX11" s="21">
        <f t="shared" si="7"/>
        <v>0</v>
      </c>
      <c r="CY11" s="21">
        <f t="shared" si="7"/>
        <v>0</v>
      </c>
      <c r="CZ11" s="21">
        <f t="shared" si="7"/>
        <v>0</v>
      </c>
      <c r="DA11" s="21">
        <f t="shared" si="7"/>
        <v>0</v>
      </c>
      <c r="DB11" s="21">
        <f t="shared" si="7"/>
        <v>0</v>
      </c>
      <c r="DC11" s="21">
        <f t="shared" si="7"/>
        <v>0</v>
      </c>
      <c r="DD11" s="21">
        <f t="shared" si="7"/>
        <v>0</v>
      </c>
      <c r="DE11" s="21">
        <f t="shared" si="7"/>
        <v>0</v>
      </c>
      <c r="DF11" s="21">
        <f t="shared" si="7"/>
        <v>0</v>
      </c>
      <c r="DG11" s="21">
        <f t="shared" si="7"/>
        <v>0</v>
      </c>
      <c r="DH11" s="21">
        <f t="shared" si="7"/>
        <v>0</v>
      </c>
      <c r="DI11" s="21">
        <f t="shared" si="7"/>
        <v>0</v>
      </c>
      <c r="DJ11" s="21">
        <f t="shared" si="7"/>
        <v>0</v>
      </c>
      <c r="DK11" s="21">
        <f t="shared" si="7"/>
        <v>0</v>
      </c>
      <c r="DL11" s="21">
        <f t="shared" si="7"/>
        <v>0</v>
      </c>
      <c r="DM11" s="21">
        <f t="shared" si="7"/>
        <v>0</v>
      </c>
      <c r="DN11" s="21">
        <f t="shared" si="7"/>
        <v>0</v>
      </c>
      <c r="DO11" s="21">
        <f t="shared" si="7"/>
        <v>0</v>
      </c>
      <c r="DP11" s="21">
        <f t="shared" si="7"/>
        <v>0</v>
      </c>
      <c r="DQ11" s="21">
        <f t="shared" si="7"/>
        <v>0</v>
      </c>
      <c r="DR11" s="21">
        <f t="shared" si="7"/>
        <v>0</v>
      </c>
      <c r="DS11" s="21">
        <f t="shared" si="7"/>
        <v>0</v>
      </c>
      <c r="DT11" s="21">
        <f t="shared" si="7"/>
        <v>0</v>
      </c>
      <c r="DU11" s="21">
        <f t="shared" si="7"/>
        <v>0</v>
      </c>
      <c r="DV11" s="21">
        <f t="shared" si="7"/>
        <v>0</v>
      </c>
      <c r="DW11" s="21">
        <f t="shared" si="7"/>
        <v>0</v>
      </c>
      <c r="DX11" s="21">
        <f t="shared" si="7"/>
        <v>0</v>
      </c>
      <c r="DY11" s="21">
        <f t="shared" si="7"/>
        <v>0</v>
      </c>
      <c r="DZ11" s="21">
        <f t="shared" si="4"/>
        <v>0</v>
      </c>
      <c r="EA11" s="21">
        <f t="shared" si="4"/>
        <v>0</v>
      </c>
      <c r="EB11" s="21">
        <f t="shared" si="4"/>
        <v>0</v>
      </c>
      <c r="EC11" s="21">
        <f t="shared" si="4"/>
        <v>0</v>
      </c>
      <c r="ED11" s="21">
        <f t="shared" si="4"/>
        <v>0</v>
      </c>
      <c r="EE11" s="21">
        <f t="shared" si="4"/>
        <v>0</v>
      </c>
      <c r="EF11" s="21">
        <f t="shared" si="4"/>
        <v>0</v>
      </c>
      <c r="EG11" s="21">
        <f t="shared" si="4"/>
        <v>0</v>
      </c>
      <c r="EH11" s="21">
        <f t="shared" si="4"/>
        <v>0</v>
      </c>
      <c r="EI11" s="21">
        <f t="shared" si="4"/>
        <v>0</v>
      </c>
      <c r="EJ11" s="21">
        <f t="shared" si="4"/>
        <v>0</v>
      </c>
      <c r="EK11" s="21">
        <f t="shared" si="4"/>
        <v>0</v>
      </c>
      <c r="EL11" s="21">
        <f t="shared" si="4"/>
        <v>0</v>
      </c>
    </row>
    <row r="12" spans="2:142" x14ac:dyDescent="0.45">
      <c r="B12" s="1" t="s">
        <v>424</v>
      </c>
      <c r="D12" s="496"/>
      <c r="E12" s="9">
        <v>0</v>
      </c>
      <c r="G12" s="13">
        <v>0</v>
      </c>
      <c r="H12" s="13">
        <v>0</v>
      </c>
      <c r="I12" s="21"/>
      <c r="J12" s="21">
        <f t="shared" si="5"/>
        <v>0</v>
      </c>
      <c r="K12" s="21">
        <f t="shared" si="0"/>
        <v>0</v>
      </c>
      <c r="L12" s="21">
        <f t="shared" si="0"/>
        <v>0</v>
      </c>
      <c r="M12" s="21">
        <f t="shared" si="0"/>
        <v>0</v>
      </c>
      <c r="N12" s="21">
        <f t="shared" si="0"/>
        <v>0</v>
      </c>
      <c r="O12" s="21">
        <f t="shared" si="0"/>
        <v>0</v>
      </c>
      <c r="P12" s="21">
        <f t="shared" si="0"/>
        <v>0</v>
      </c>
      <c r="Q12" s="21">
        <f t="shared" si="0"/>
        <v>0</v>
      </c>
      <c r="R12" s="21">
        <f t="shared" si="0"/>
        <v>0</v>
      </c>
      <c r="S12" s="21">
        <f t="shared" si="0"/>
        <v>0</v>
      </c>
      <c r="T12" s="21">
        <f t="shared" si="0"/>
        <v>0</v>
      </c>
      <c r="U12" s="21">
        <f t="shared" si="0"/>
        <v>0</v>
      </c>
      <c r="V12" s="21">
        <f t="shared" si="0"/>
        <v>0</v>
      </c>
      <c r="W12" s="21">
        <f t="shared" si="0"/>
        <v>0</v>
      </c>
      <c r="X12" s="21">
        <f t="shared" si="0"/>
        <v>0</v>
      </c>
      <c r="Y12" s="21">
        <f t="shared" si="0"/>
        <v>0</v>
      </c>
      <c r="Z12" s="21">
        <f t="shared" si="0"/>
        <v>0</v>
      </c>
      <c r="AA12" s="21">
        <f t="shared" si="1"/>
        <v>0</v>
      </c>
      <c r="AB12" s="21">
        <f t="shared" si="1"/>
        <v>0</v>
      </c>
      <c r="AC12" s="21">
        <f t="shared" si="1"/>
        <v>0</v>
      </c>
      <c r="AD12" s="21">
        <f t="shared" si="1"/>
        <v>0</v>
      </c>
      <c r="AE12" s="21">
        <f t="shared" si="1"/>
        <v>0</v>
      </c>
      <c r="AF12" s="21">
        <f t="shared" si="1"/>
        <v>0</v>
      </c>
      <c r="AG12" s="21">
        <f t="shared" si="1"/>
        <v>0</v>
      </c>
      <c r="AH12" s="21">
        <f t="shared" si="1"/>
        <v>0</v>
      </c>
      <c r="AI12" s="21">
        <f t="shared" si="1"/>
        <v>0</v>
      </c>
      <c r="AJ12" s="21">
        <f t="shared" si="1"/>
        <v>0</v>
      </c>
      <c r="AK12" s="21">
        <f t="shared" si="1"/>
        <v>0</v>
      </c>
      <c r="AL12" s="21">
        <f t="shared" si="1"/>
        <v>0</v>
      </c>
      <c r="AM12" s="21">
        <f t="shared" si="1"/>
        <v>0</v>
      </c>
      <c r="AN12" s="21">
        <f t="shared" si="1"/>
        <v>0</v>
      </c>
      <c r="AO12" s="21">
        <f t="shared" si="1"/>
        <v>0</v>
      </c>
      <c r="AP12" s="21">
        <f t="shared" si="1"/>
        <v>0</v>
      </c>
      <c r="AQ12" s="21">
        <f t="shared" si="1"/>
        <v>0</v>
      </c>
      <c r="AR12" s="21">
        <f t="shared" si="1"/>
        <v>0</v>
      </c>
      <c r="AS12" s="21">
        <f t="shared" si="1"/>
        <v>0</v>
      </c>
      <c r="AT12" s="21">
        <f t="shared" si="1"/>
        <v>0</v>
      </c>
      <c r="AU12" s="21">
        <f t="shared" si="1"/>
        <v>0</v>
      </c>
      <c r="AV12" s="21">
        <f t="shared" si="7"/>
        <v>0</v>
      </c>
      <c r="AW12" s="21">
        <f t="shared" si="7"/>
        <v>0</v>
      </c>
      <c r="AX12" s="21">
        <f t="shared" si="7"/>
        <v>0</v>
      </c>
      <c r="AY12" s="21">
        <f t="shared" si="7"/>
        <v>0</v>
      </c>
      <c r="AZ12" s="21">
        <f t="shared" si="7"/>
        <v>0</v>
      </c>
      <c r="BA12" s="21">
        <f t="shared" si="7"/>
        <v>0</v>
      </c>
      <c r="BB12" s="21">
        <f t="shared" si="7"/>
        <v>0</v>
      </c>
      <c r="BC12" s="21">
        <f t="shared" si="7"/>
        <v>0</v>
      </c>
      <c r="BD12" s="21">
        <f t="shared" si="7"/>
        <v>0</v>
      </c>
      <c r="BE12" s="21">
        <f t="shared" si="7"/>
        <v>0</v>
      </c>
      <c r="BF12" s="21">
        <f t="shared" si="7"/>
        <v>0</v>
      </c>
      <c r="BG12" s="21">
        <f t="shared" si="7"/>
        <v>0</v>
      </c>
      <c r="BH12" s="21">
        <f t="shared" si="7"/>
        <v>0</v>
      </c>
      <c r="BI12" s="21">
        <f t="shared" si="7"/>
        <v>0</v>
      </c>
      <c r="BJ12" s="21">
        <f t="shared" si="7"/>
        <v>0</v>
      </c>
      <c r="BK12" s="21">
        <f t="shared" si="7"/>
        <v>0</v>
      </c>
      <c r="BL12" s="21">
        <f t="shared" si="7"/>
        <v>0</v>
      </c>
      <c r="BM12" s="21">
        <f t="shared" si="7"/>
        <v>0</v>
      </c>
      <c r="BN12" s="21">
        <f t="shared" si="7"/>
        <v>0</v>
      </c>
      <c r="BO12" s="21">
        <f t="shared" si="7"/>
        <v>0</v>
      </c>
      <c r="BP12" s="21">
        <f t="shared" si="7"/>
        <v>0</v>
      </c>
      <c r="BQ12" s="21">
        <f t="shared" si="7"/>
        <v>0</v>
      </c>
      <c r="BR12" s="21">
        <f t="shared" si="7"/>
        <v>0</v>
      </c>
      <c r="BS12" s="21">
        <f t="shared" si="7"/>
        <v>0</v>
      </c>
      <c r="BT12" s="21">
        <f t="shared" si="7"/>
        <v>0</v>
      </c>
      <c r="BU12" s="21">
        <f t="shared" si="7"/>
        <v>0</v>
      </c>
      <c r="BV12" s="21">
        <f t="shared" si="7"/>
        <v>0</v>
      </c>
      <c r="BW12" s="21">
        <f t="shared" si="7"/>
        <v>0</v>
      </c>
      <c r="BX12" s="21">
        <f t="shared" si="7"/>
        <v>0</v>
      </c>
      <c r="BY12" s="21">
        <f t="shared" si="7"/>
        <v>0</v>
      </c>
      <c r="BZ12" s="21">
        <f t="shared" si="7"/>
        <v>0</v>
      </c>
      <c r="CA12" s="21">
        <f t="shared" si="7"/>
        <v>0</v>
      </c>
      <c r="CB12" s="21">
        <f t="shared" si="7"/>
        <v>0</v>
      </c>
      <c r="CC12" s="21">
        <f t="shared" si="7"/>
        <v>0</v>
      </c>
      <c r="CD12" s="21">
        <f t="shared" si="7"/>
        <v>0</v>
      </c>
      <c r="CE12" s="21">
        <f t="shared" si="7"/>
        <v>0</v>
      </c>
      <c r="CF12" s="21">
        <f t="shared" si="7"/>
        <v>0</v>
      </c>
      <c r="CG12" s="21">
        <f t="shared" si="7"/>
        <v>0</v>
      </c>
      <c r="CH12" s="21">
        <f t="shared" si="7"/>
        <v>0</v>
      </c>
      <c r="CI12" s="21">
        <f t="shared" si="7"/>
        <v>0</v>
      </c>
      <c r="CJ12" s="21">
        <f t="shared" si="7"/>
        <v>0</v>
      </c>
      <c r="CK12" s="21">
        <f t="shared" si="7"/>
        <v>0</v>
      </c>
      <c r="CL12" s="21">
        <f t="shared" si="7"/>
        <v>0</v>
      </c>
      <c r="CM12" s="21">
        <f t="shared" si="7"/>
        <v>0</v>
      </c>
      <c r="CN12" s="21">
        <f t="shared" si="7"/>
        <v>0</v>
      </c>
      <c r="CO12" s="21">
        <f t="shared" si="7"/>
        <v>0</v>
      </c>
      <c r="CP12" s="21">
        <f t="shared" si="7"/>
        <v>0</v>
      </c>
      <c r="CQ12" s="21">
        <f t="shared" si="7"/>
        <v>0</v>
      </c>
      <c r="CR12" s="21">
        <f t="shared" si="7"/>
        <v>0</v>
      </c>
      <c r="CS12" s="21">
        <f t="shared" si="7"/>
        <v>0</v>
      </c>
      <c r="CT12" s="21">
        <f t="shared" si="7"/>
        <v>0</v>
      </c>
      <c r="CU12" s="21">
        <f t="shared" si="7"/>
        <v>0</v>
      </c>
      <c r="CV12" s="21">
        <f t="shared" si="7"/>
        <v>0</v>
      </c>
      <c r="CW12" s="21">
        <f t="shared" si="7"/>
        <v>0</v>
      </c>
      <c r="CX12" s="21">
        <f t="shared" si="7"/>
        <v>0</v>
      </c>
      <c r="CY12" s="21">
        <f t="shared" si="7"/>
        <v>0</v>
      </c>
      <c r="CZ12" s="21">
        <f t="shared" si="7"/>
        <v>0</v>
      </c>
      <c r="DA12" s="21">
        <f t="shared" si="7"/>
        <v>0</v>
      </c>
      <c r="DB12" s="21">
        <f t="shared" si="7"/>
        <v>0</v>
      </c>
      <c r="DC12" s="21">
        <f t="shared" si="7"/>
        <v>0</v>
      </c>
      <c r="DD12" s="21">
        <f t="shared" si="7"/>
        <v>0</v>
      </c>
      <c r="DE12" s="21">
        <f t="shared" si="7"/>
        <v>0</v>
      </c>
      <c r="DF12" s="21">
        <f t="shared" si="7"/>
        <v>0</v>
      </c>
      <c r="DG12" s="21">
        <f t="shared" si="7"/>
        <v>0</v>
      </c>
      <c r="DH12" s="21">
        <f t="shared" si="7"/>
        <v>0</v>
      </c>
      <c r="DI12" s="21">
        <f t="shared" ref="DI12:DX13" si="8">IF(AND($G12=DI$4,$H12=DI$4),$E12,IF($G12&gt;DI$4,0,IF($H12&lt;DI$4,0,$E12/($H12-$G12+1))))</f>
        <v>0</v>
      </c>
      <c r="DJ12" s="21">
        <f t="shared" si="8"/>
        <v>0</v>
      </c>
      <c r="DK12" s="21">
        <f t="shared" si="8"/>
        <v>0</v>
      </c>
      <c r="DL12" s="21">
        <f t="shared" si="8"/>
        <v>0</v>
      </c>
      <c r="DM12" s="21">
        <f t="shared" si="8"/>
        <v>0</v>
      </c>
      <c r="DN12" s="21">
        <f t="shared" si="8"/>
        <v>0</v>
      </c>
      <c r="DO12" s="21">
        <f t="shared" si="8"/>
        <v>0</v>
      </c>
      <c r="DP12" s="21">
        <f t="shared" si="8"/>
        <v>0</v>
      </c>
      <c r="DQ12" s="21">
        <f t="shared" si="8"/>
        <v>0</v>
      </c>
      <c r="DR12" s="21">
        <f t="shared" si="8"/>
        <v>0</v>
      </c>
      <c r="DS12" s="21">
        <f t="shared" si="8"/>
        <v>0</v>
      </c>
      <c r="DT12" s="21">
        <f t="shared" si="8"/>
        <v>0</v>
      </c>
      <c r="DU12" s="21">
        <f t="shared" si="8"/>
        <v>0</v>
      </c>
      <c r="DV12" s="21">
        <f t="shared" si="8"/>
        <v>0</v>
      </c>
      <c r="DW12" s="21">
        <f t="shared" si="8"/>
        <v>0</v>
      </c>
      <c r="DX12" s="21">
        <f t="shared" si="8"/>
        <v>0</v>
      </c>
      <c r="DY12" s="21">
        <f t="shared" ref="DY12:EL13" si="9">IF(AND($G12=DY$4,$H12=DY$4),$E12,IF($G12&gt;DY$4,0,IF($H12&lt;DY$4,0,$E12/($H12-$G12+1))))</f>
        <v>0</v>
      </c>
      <c r="DZ12" s="21">
        <f t="shared" si="9"/>
        <v>0</v>
      </c>
      <c r="EA12" s="21">
        <f t="shared" si="9"/>
        <v>0</v>
      </c>
      <c r="EB12" s="21">
        <f t="shared" si="9"/>
        <v>0</v>
      </c>
      <c r="EC12" s="21">
        <f t="shared" si="9"/>
        <v>0</v>
      </c>
      <c r="ED12" s="21">
        <f t="shared" si="9"/>
        <v>0</v>
      </c>
      <c r="EE12" s="21">
        <f t="shared" si="9"/>
        <v>0</v>
      </c>
      <c r="EF12" s="21">
        <f t="shared" si="9"/>
        <v>0</v>
      </c>
      <c r="EG12" s="21">
        <f t="shared" si="9"/>
        <v>0</v>
      </c>
      <c r="EH12" s="21">
        <f t="shared" si="9"/>
        <v>0</v>
      </c>
      <c r="EI12" s="21">
        <f t="shared" si="9"/>
        <v>0</v>
      </c>
      <c r="EJ12" s="21">
        <f t="shared" si="9"/>
        <v>0</v>
      </c>
      <c r="EK12" s="21">
        <f t="shared" si="9"/>
        <v>0</v>
      </c>
      <c r="EL12" s="21">
        <f t="shared" si="9"/>
        <v>0</v>
      </c>
    </row>
    <row r="13" spans="2:142" x14ac:dyDescent="0.45">
      <c r="B13" s="1" t="s">
        <v>296</v>
      </c>
      <c r="D13" s="496"/>
      <c r="E13" s="9">
        <v>0</v>
      </c>
      <c r="G13" s="13">
        <v>0</v>
      </c>
      <c r="H13" s="13">
        <v>0</v>
      </c>
      <c r="I13" s="21"/>
      <c r="J13" s="21">
        <f t="shared" si="5"/>
        <v>0</v>
      </c>
      <c r="K13" s="21">
        <f t="shared" si="0"/>
        <v>0</v>
      </c>
      <c r="L13" s="21">
        <f t="shared" si="0"/>
        <v>0</v>
      </c>
      <c r="M13" s="21">
        <f t="shared" si="0"/>
        <v>0</v>
      </c>
      <c r="N13" s="21">
        <f t="shared" si="0"/>
        <v>0</v>
      </c>
      <c r="O13" s="21">
        <f t="shared" si="0"/>
        <v>0</v>
      </c>
      <c r="P13" s="21">
        <f t="shared" si="0"/>
        <v>0</v>
      </c>
      <c r="Q13" s="21">
        <f t="shared" si="0"/>
        <v>0</v>
      </c>
      <c r="R13" s="21">
        <f t="shared" si="0"/>
        <v>0</v>
      </c>
      <c r="S13" s="21">
        <f t="shared" si="0"/>
        <v>0</v>
      </c>
      <c r="T13" s="21">
        <f t="shared" si="0"/>
        <v>0</v>
      </c>
      <c r="U13" s="21">
        <f t="shared" si="0"/>
        <v>0</v>
      </c>
      <c r="V13" s="21">
        <f t="shared" si="0"/>
        <v>0</v>
      </c>
      <c r="W13" s="21">
        <f t="shared" si="0"/>
        <v>0</v>
      </c>
      <c r="X13" s="21">
        <f t="shared" si="0"/>
        <v>0</v>
      </c>
      <c r="Y13" s="21">
        <f t="shared" si="0"/>
        <v>0</v>
      </c>
      <c r="Z13" s="21">
        <f t="shared" si="0"/>
        <v>0</v>
      </c>
      <c r="AA13" s="21">
        <f t="shared" si="1"/>
        <v>0</v>
      </c>
      <c r="AB13" s="21">
        <f t="shared" si="1"/>
        <v>0</v>
      </c>
      <c r="AC13" s="21">
        <f t="shared" si="1"/>
        <v>0</v>
      </c>
      <c r="AD13" s="21">
        <f t="shared" si="1"/>
        <v>0</v>
      </c>
      <c r="AE13" s="21">
        <f t="shared" si="1"/>
        <v>0</v>
      </c>
      <c r="AF13" s="21">
        <f t="shared" si="1"/>
        <v>0</v>
      </c>
      <c r="AG13" s="21">
        <f t="shared" si="1"/>
        <v>0</v>
      </c>
      <c r="AH13" s="21">
        <f t="shared" si="1"/>
        <v>0</v>
      </c>
      <c r="AI13" s="21">
        <f t="shared" si="1"/>
        <v>0</v>
      </c>
      <c r="AJ13" s="21">
        <f t="shared" si="1"/>
        <v>0</v>
      </c>
      <c r="AK13" s="21">
        <f t="shared" si="1"/>
        <v>0</v>
      </c>
      <c r="AL13" s="21">
        <f t="shared" si="1"/>
        <v>0</v>
      </c>
      <c r="AM13" s="21">
        <f t="shared" si="1"/>
        <v>0</v>
      </c>
      <c r="AN13" s="21">
        <f t="shared" si="1"/>
        <v>0</v>
      </c>
      <c r="AO13" s="21">
        <f t="shared" si="1"/>
        <v>0</v>
      </c>
      <c r="AP13" s="21">
        <f t="shared" si="1"/>
        <v>0</v>
      </c>
      <c r="AQ13" s="21">
        <f t="shared" si="1"/>
        <v>0</v>
      </c>
      <c r="AR13" s="21">
        <f t="shared" si="1"/>
        <v>0</v>
      </c>
      <c r="AS13" s="21">
        <f t="shared" si="1"/>
        <v>0</v>
      </c>
      <c r="AT13" s="21">
        <f t="shared" si="1"/>
        <v>0</v>
      </c>
      <c r="AU13" s="21">
        <f t="shared" si="1"/>
        <v>0</v>
      </c>
      <c r="AV13" s="21">
        <f t="shared" si="1"/>
        <v>0</v>
      </c>
      <c r="AW13" s="21">
        <f t="shared" si="1"/>
        <v>0</v>
      </c>
      <c r="AX13" s="21">
        <f t="shared" si="1"/>
        <v>0</v>
      </c>
      <c r="AY13" s="21">
        <f t="shared" si="1"/>
        <v>0</v>
      </c>
      <c r="AZ13" s="21">
        <f t="shared" si="1"/>
        <v>0</v>
      </c>
      <c r="BA13" s="21">
        <f t="shared" ref="BA13:DL13" si="10">IF(AND($G13=BA$4,$H13=BA$4),$E13,IF($G13&gt;BA$4,0,IF($H13&lt;BA$4,0,$E13/($H13-$G13+1))))</f>
        <v>0</v>
      </c>
      <c r="BB13" s="21">
        <f t="shared" si="10"/>
        <v>0</v>
      </c>
      <c r="BC13" s="21">
        <f t="shared" si="10"/>
        <v>0</v>
      </c>
      <c r="BD13" s="21">
        <f t="shared" si="10"/>
        <v>0</v>
      </c>
      <c r="BE13" s="21">
        <f t="shared" si="10"/>
        <v>0</v>
      </c>
      <c r="BF13" s="21">
        <f t="shared" si="10"/>
        <v>0</v>
      </c>
      <c r="BG13" s="21">
        <f t="shared" si="10"/>
        <v>0</v>
      </c>
      <c r="BH13" s="21">
        <f t="shared" si="10"/>
        <v>0</v>
      </c>
      <c r="BI13" s="21">
        <f t="shared" si="10"/>
        <v>0</v>
      </c>
      <c r="BJ13" s="21">
        <f t="shared" si="10"/>
        <v>0</v>
      </c>
      <c r="BK13" s="21">
        <f t="shared" si="10"/>
        <v>0</v>
      </c>
      <c r="BL13" s="21">
        <f t="shared" si="10"/>
        <v>0</v>
      </c>
      <c r="BM13" s="21">
        <f t="shared" si="10"/>
        <v>0</v>
      </c>
      <c r="BN13" s="21">
        <f t="shared" si="10"/>
        <v>0</v>
      </c>
      <c r="BO13" s="21">
        <f t="shared" si="10"/>
        <v>0</v>
      </c>
      <c r="BP13" s="21">
        <f t="shared" si="10"/>
        <v>0</v>
      </c>
      <c r="BQ13" s="21">
        <f t="shared" si="10"/>
        <v>0</v>
      </c>
      <c r="BR13" s="21">
        <f t="shared" si="10"/>
        <v>0</v>
      </c>
      <c r="BS13" s="21">
        <f t="shared" si="10"/>
        <v>0</v>
      </c>
      <c r="BT13" s="21">
        <f t="shared" si="10"/>
        <v>0</v>
      </c>
      <c r="BU13" s="21">
        <f t="shared" si="10"/>
        <v>0</v>
      </c>
      <c r="BV13" s="21">
        <f t="shared" si="10"/>
        <v>0</v>
      </c>
      <c r="BW13" s="21">
        <f t="shared" si="10"/>
        <v>0</v>
      </c>
      <c r="BX13" s="21">
        <f t="shared" si="10"/>
        <v>0</v>
      </c>
      <c r="BY13" s="21">
        <f t="shared" si="10"/>
        <v>0</v>
      </c>
      <c r="BZ13" s="21">
        <f t="shared" si="10"/>
        <v>0</v>
      </c>
      <c r="CA13" s="21">
        <f t="shared" si="10"/>
        <v>0</v>
      </c>
      <c r="CB13" s="21">
        <f t="shared" si="10"/>
        <v>0</v>
      </c>
      <c r="CC13" s="21">
        <f t="shared" si="10"/>
        <v>0</v>
      </c>
      <c r="CD13" s="21">
        <f t="shared" si="10"/>
        <v>0</v>
      </c>
      <c r="CE13" s="21">
        <f t="shared" si="10"/>
        <v>0</v>
      </c>
      <c r="CF13" s="21">
        <f t="shared" si="10"/>
        <v>0</v>
      </c>
      <c r="CG13" s="21">
        <f t="shared" si="10"/>
        <v>0</v>
      </c>
      <c r="CH13" s="21">
        <f t="shared" si="10"/>
        <v>0</v>
      </c>
      <c r="CI13" s="21">
        <f t="shared" si="10"/>
        <v>0</v>
      </c>
      <c r="CJ13" s="21">
        <f t="shared" si="10"/>
        <v>0</v>
      </c>
      <c r="CK13" s="21">
        <f t="shared" si="10"/>
        <v>0</v>
      </c>
      <c r="CL13" s="21">
        <f t="shared" si="10"/>
        <v>0</v>
      </c>
      <c r="CM13" s="21">
        <f t="shared" si="10"/>
        <v>0</v>
      </c>
      <c r="CN13" s="21">
        <f t="shared" si="10"/>
        <v>0</v>
      </c>
      <c r="CO13" s="21">
        <f t="shared" si="10"/>
        <v>0</v>
      </c>
      <c r="CP13" s="21">
        <f t="shared" si="10"/>
        <v>0</v>
      </c>
      <c r="CQ13" s="21">
        <f t="shared" si="10"/>
        <v>0</v>
      </c>
      <c r="CR13" s="21">
        <f t="shared" si="10"/>
        <v>0</v>
      </c>
      <c r="CS13" s="21">
        <f t="shared" si="10"/>
        <v>0</v>
      </c>
      <c r="CT13" s="21">
        <f t="shared" si="10"/>
        <v>0</v>
      </c>
      <c r="CU13" s="21">
        <f t="shared" si="10"/>
        <v>0</v>
      </c>
      <c r="CV13" s="21">
        <f t="shared" si="10"/>
        <v>0</v>
      </c>
      <c r="CW13" s="21">
        <f t="shared" si="10"/>
        <v>0</v>
      </c>
      <c r="CX13" s="21">
        <f t="shared" si="10"/>
        <v>0</v>
      </c>
      <c r="CY13" s="21">
        <f t="shared" si="10"/>
        <v>0</v>
      </c>
      <c r="CZ13" s="21">
        <f t="shared" si="10"/>
        <v>0</v>
      </c>
      <c r="DA13" s="21">
        <f t="shared" si="10"/>
        <v>0</v>
      </c>
      <c r="DB13" s="21">
        <f t="shared" si="10"/>
        <v>0</v>
      </c>
      <c r="DC13" s="21">
        <f t="shared" si="10"/>
        <v>0</v>
      </c>
      <c r="DD13" s="21">
        <f t="shared" si="10"/>
        <v>0</v>
      </c>
      <c r="DE13" s="21">
        <f t="shared" si="10"/>
        <v>0</v>
      </c>
      <c r="DF13" s="21">
        <f t="shared" si="10"/>
        <v>0</v>
      </c>
      <c r="DG13" s="21">
        <f t="shared" si="10"/>
        <v>0</v>
      </c>
      <c r="DH13" s="21">
        <f t="shared" si="10"/>
        <v>0</v>
      </c>
      <c r="DI13" s="21">
        <f t="shared" si="10"/>
        <v>0</v>
      </c>
      <c r="DJ13" s="21">
        <f t="shared" si="10"/>
        <v>0</v>
      </c>
      <c r="DK13" s="21">
        <f t="shared" si="10"/>
        <v>0</v>
      </c>
      <c r="DL13" s="21">
        <f t="shared" si="10"/>
        <v>0</v>
      </c>
      <c r="DM13" s="21">
        <f t="shared" si="8"/>
        <v>0</v>
      </c>
      <c r="DN13" s="21">
        <f t="shared" si="8"/>
        <v>0</v>
      </c>
      <c r="DO13" s="21">
        <f t="shared" si="8"/>
        <v>0</v>
      </c>
      <c r="DP13" s="21">
        <f t="shared" si="8"/>
        <v>0</v>
      </c>
      <c r="DQ13" s="21">
        <f t="shared" si="8"/>
        <v>0</v>
      </c>
      <c r="DR13" s="21">
        <f t="shared" si="8"/>
        <v>0</v>
      </c>
      <c r="DS13" s="21">
        <f t="shared" si="8"/>
        <v>0</v>
      </c>
      <c r="DT13" s="21">
        <f t="shared" si="8"/>
        <v>0</v>
      </c>
      <c r="DU13" s="21">
        <f t="shared" si="8"/>
        <v>0</v>
      </c>
      <c r="DV13" s="21">
        <f t="shared" si="8"/>
        <v>0</v>
      </c>
      <c r="DW13" s="21">
        <f t="shared" si="8"/>
        <v>0</v>
      </c>
      <c r="DX13" s="21">
        <f t="shared" si="8"/>
        <v>0</v>
      </c>
      <c r="DY13" s="21">
        <f t="shared" si="9"/>
        <v>0</v>
      </c>
      <c r="DZ13" s="21">
        <f t="shared" si="9"/>
        <v>0</v>
      </c>
      <c r="EA13" s="21">
        <f t="shared" si="9"/>
        <v>0</v>
      </c>
      <c r="EB13" s="21">
        <f t="shared" si="9"/>
        <v>0</v>
      </c>
      <c r="EC13" s="21">
        <f t="shared" si="9"/>
        <v>0</v>
      </c>
      <c r="ED13" s="21">
        <f t="shared" si="9"/>
        <v>0</v>
      </c>
      <c r="EE13" s="21">
        <f t="shared" si="9"/>
        <v>0</v>
      </c>
      <c r="EF13" s="21">
        <f t="shared" si="9"/>
        <v>0</v>
      </c>
      <c r="EG13" s="21">
        <f t="shared" si="9"/>
        <v>0</v>
      </c>
      <c r="EH13" s="21">
        <f t="shared" si="9"/>
        <v>0</v>
      </c>
      <c r="EI13" s="21">
        <f t="shared" si="9"/>
        <v>0</v>
      </c>
      <c r="EJ13" s="21">
        <f t="shared" si="9"/>
        <v>0</v>
      </c>
      <c r="EK13" s="21">
        <f t="shared" si="9"/>
        <v>0</v>
      </c>
      <c r="EL13" s="21">
        <f t="shared" si="9"/>
        <v>0</v>
      </c>
    </row>
    <row r="14" spans="2:142" x14ac:dyDescent="0.35">
      <c r="B14" s="1" t="s">
        <v>316</v>
      </c>
      <c r="C14" s="241">
        <f>IFERROR(SUMIFS(Assumptions!$C$46:$C$123,Assumptions!$C$46:$C$123,1),0)</f>
        <v>78</v>
      </c>
      <c r="D14" s="208">
        <v>28500</v>
      </c>
      <c r="E14" s="19">
        <f>+D14*C14</f>
        <v>2223000</v>
      </c>
      <c r="G14" s="13">
        <v>2</v>
      </c>
      <c r="H14" s="13">
        <v>24</v>
      </c>
      <c r="I14" s="21"/>
      <c r="J14" s="21">
        <f t="shared" ref="J14:AO14" si="11">IF(AND($G14=J$4,$H14=J$4),$E14,IF($G14&gt;J$4,0,IF($H14&lt;J$4,0,$E14/($H14-$G14+1))))</f>
        <v>0</v>
      </c>
      <c r="K14" s="21">
        <f t="shared" si="11"/>
        <v>0</v>
      </c>
      <c r="L14" s="21">
        <f t="shared" si="11"/>
        <v>96652.173913043473</v>
      </c>
      <c r="M14" s="21">
        <f t="shared" si="11"/>
        <v>96652.173913043473</v>
      </c>
      <c r="N14" s="21">
        <f t="shared" si="11"/>
        <v>96652.173913043473</v>
      </c>
      <c r="O14" s="21">
        <f t="shared" si="11"/>
        <v>96652.173913043473</v>
      </c>
      <c r="P14" s="21">
        <f t="shared" si="11"/>
        <v>96652.173913043473</v>
      </c>
      <c r="Q14" s="21">
        <f t="shared" si="11"/>
        <v>96652.173913043473</v>
      </c>
      <c r="R14" s="21">
        <f t="shared" si="11"/>
        <v>96652.173913043473</v>
      </c>
      <c r="S14" s="21">
        <f t="shared" si="11"/>
        <v>96652.173913043473</v>
      </c>
      <c r="T14" s="21">
        <f t="shared" si="11"/>
        <v>96652.173913043473</v>
      </c>
      <c r="U14" s="21">
        <f t="shared" si="11"/>
        <v>96652.173913043473</v>
      </c>
      <c r="V14" s="21">
        <f t="shared" si="11"/>
        <v>96652.173913043473</v>
      </c>
      <c r="W14" s="21">
        <f t="shared" si="11"/>
        <v>96652.173913043473</v>
      </c>
      <c r="X14" s="21">
        <f t="shared" si="11"/>
        <v>96652.173913043473</v>
      </c>
      <c r="Y14" s="21">
        <f t="shared" si="11"/>
        <v>96652.173913043473</v>
      </c>
      <c r="Z14" s="21">
        <f t="shared" si="11"/>
        <v>96652.173913043473</v>
      </c>
      <c r="AA14" s="21">
        <f t="shared" si="11"/>
        <v>96652.173913043473</v>
      </c>
      <c r="AB14" s="21">
        <f t="shared" si="11"/>
        <v>96652.173913043473</v>
      </c>
      <c r="AC14" s="21">
        <f t="shared" si="11"/>
        <v>96652.173913043473</v>
      </c>
      <c r="AD14" s="21">
        <f t="shared" si="11"/>
        <v>96652.173913043473</v>
      </c>
      <c r="AE14" s="21">
        <f t="shared" si="11"/>
        <v>96652.173913043473</v>
      </c>
      <c r="AF14" s="21">
        <f t="shared" si="11"/>
        <v>96652.173913043473</v>
      </c>
      <c r="AG14" s="21">
        <f t="shared" si="11"/>
        <v>96652.173913043473</v>
      </c>
      <c r="AH14" s="21">
        <f t="shared" si="11"/>
        <v>96652.173913043473</v>
      </c>
      <c r="AI14" s="21">
        <f t="shared" si="11"/>
        <v>0</v>
      </c>
      <c r="AJ14" s="21">
        <f t="shared" si="11"/>
        <v>0</v>
      </c>
      <c r="AK14" s="21">
        <f t="shared" si="11"/>
        <v>0</v>
      </c>
      <c r="AL14" s="21">
        <f t="shared" si="11"/>
        <v>0</v>
      </c>
      <c r="AM14" s="21">
        <f t="shared" si="11"/>
        <v>0</v>
      </c>
      <c r="AN14" s="21">
        <f t="shared" si="11"/>
        <v>0</v>
      </c>
      <c r="AO14" s="21">
        <f t="shared" si="11"/>
        <v>0</v>
      </c>
      <c r="AP14" s="21">
        <f t="shared" ref="AP14:DN14" si="12">IF(AND($G14=AP$4,$H14=AP$4),$E14,IF($G14&gt;AP$4,0,IF($H14&lt;AP$4,0,$E14/($H14-$G14+1))))</f>
        <v>0</v>
      </c>
      <c r="AQ14" s="21">
        <f t="shared" si="12"/>
        <v>0</v>
      </c>
      <c r="AR14" s="21">
        <f t="shared" si="12"/>
        <v>0</v>
      </c>
      <c r="AS14" s="21">
        <f t="shared" si="12"/>
        <v>0</v>
      </c>
      <c r="AT14" s="21">
        <f t="shared" si="12"/>
        <v>0</v>
      </c>
      <c r="AU14" s="21">
        <f t="shared" si="12"/>
        <v>0</v>
      </c>
      <c r="AV14" s="21">
        <f t="shared" si="12"/>
        <v>0</v>
      </c>
      <c r="AW14" s="21">
        <f t="shared" si="12"/>
        <v>0</v>
      </c>
      <c r="AX14" s="21">
        <f t="shared" si="12"/>
        <v>0</v>
      </c>
      <c r="AY14" s="21">
        <f t="shared" si="12"/>
        <v>0</v>
      </c>
      <c r="AZ14" s="21">
        <f t="shared" si="12"/>
        <v>0</v>
      </c>
      <c r="BA14" s="21">
        <f t="shared" si="12"/>
        <v>0</v>
      </c>
      <c r="BB14" s="21">
        <f t="shared" si="12"/>
        <v>0</v>
      </c>
      <c r="BC14" s="21">
        <f t="shared" si="12"/>
        <v>0</v>
      </c>
      <c r="BD14" s="21">
        <f t="shared" si="12"/>
        <v>0</v>
      </c>
      <c r="BE14" s="21">
        <f t="shared" si="12"/>
        <v>0</v>
      </c>
      <c r="BF14" s="21">
        <f t="shared" si="12"/>
        <v>0</v>
      </c>
      <c r="BG14" s="21">
        <f t="shared" si="12"/>
        <v>0</v>
      </c>
      <c r="BH14" s="21">
        <f t="shared" si="12"/>
        <v>0</v>
      </c>
      <c r="BI14" s="21">
        <f t="shared" si="12"/>
        <v>0</v>
      </c>
      <c r="BJ14" s="21">
        <f t="shared" si="12"/>
        <v>0</v>
      </c>
      <c r="BK14" s="21">
        <f t="shared" si="12"/>
        <v>0</v>
      </c>
      <c r="BL14" s="21">
        <f t="shared" si="12"/>
        <v>0</v>
      </c>
      <c r="BM14" s="21">
        <f t="shared" si="12"/>
        <v>0</v>
      </c>
      <c r="BN14" s="21">
        <f t="shared" si="12"/>
        <v>0</v>
      </c>
      <c r="BO14" s="21">
        <f t="shared" si="12"/>
        <v>0</v>
      </c>
      <c r="BP14" s="21">
        <f t="shared" si="12"/>
        <v>0</v>
      </c>
      <c r="BQ14" s="21">
        <f t="shared" si="12"/>
        <v>0</v>
      </c>
      <c r="BR14" s="21">
        <f t="shared" si="12"/>
        <v>0</v>
      </c>
      <c r="BS14" s="21">
        <f t="shared" si="12"/>
        <v>0</v>
      </c>
      <c r="BT14" s="21">
        <f t="shared" si="12"/>
        <v>0</v>
      </c>
      <c r="BU14" s="21">
        <f t="shared" si="12"/>
        <v>0</v>
      </c>
      <c r="BV14" s="21">
        <f t="shared" si="12"/>
        <v>0</v>
      </c>
      <c r="BW14" s="21">
        <f t="shared" si="12"/>
        <v>0</v>
      </c>
      <c r="BX14" s="21">
        <f t="shared" si="12"/>
        <v>0</v>
      </c>
      <c r="BY14" s="21">
        <f t="shared" si="12"/>
        <v>0</v>
      </c>
      <c r="BZ14" s="21">
        <f t="shared" si="12"/>
        <v>0</v>
      </c>
      <c r="CA14" s="21">
        <f t="shared" si="12"/>
        <v>0</v>
      </c>
      <c r="CB14" s="21">
        <f t="shared" si="12"/>
        <v>0</v>
      </c>
      <c r="CC14" s="21">
        <f t="shared" si="12"/>
        <v>0</v>
      </c>
      <c r="CD14" s="21">
        <f t="shared" si="12"/>
        <v>0</v>
      </c>
      <c r="CE14" s="21">
        <f t="shared" si="12"/>
        <v>0</v>
      </c>
      <c r="CF14" s="21">
        <f t="shared" si="12"/>
        <v>0</v>
      </c>
      <c r="CG14" s="21">
        <f t="shared" si="12"/>
        <v>0</v>
      </c>
      <c r="CH14" s="21">
        <f t="shared" si="12"/>
        <v>0</v>
      </c>
      <c r="CI14" s="21">
        <f t="shared" si="12"/>
        <v>0</v>
      </c>
      <c r="CJ14" s="21">
        <f t="shared" si="12"/>
        <v>0</v>
      </c>
      <c r="CK14" s="21">
        <f t="shared" si="12"/>
        <v>0</v>
      </c>
      <c r="CL14" s="21">
        <f t="shared" si="12"/>
        <v>0</v>
      </c>
      <c r="CM14" s="21">
        <f t="shared" si="12"/>
        <v>0</v>
      </c>
      <c r="CN14" s="21">
        <f t="shared" si="12"/>
        <v>0</v>
      </c>
      <c r="CO14" s="21">
        <f t="shared" si="12"/>
        <v>0</v>
      </c>
      <c r="CP14" s="21">
        <f t="shared" si="12"/>
        <v>0</v>
      </c>
      <c r="CQ14" s="21">
        <f t="shared" si="12"/>
        <v>0</v>
      </c>
      <c r="CR14" s="21">
        <f t="shared" si="12"/>
        <v>0</v>
      </c>
      <c r="CS14" s="21">
        <f t="shared" si="12"/>
        <v>0</v>
      </c>
      <c r="CT14" s="21">
        <f t="shared" si="12"/>
        <v>0</v>
      </c>
      <c r="CU14" s="21">
        <f t="shared" si="12"/>
        <v>0</v>
      </c>
      <c r="CV14" s="21">
        <f t="shared" si="12"/>
        <v>0</v>
      </c>
      <c r="CW14" s="21">
        <f t="shared" si="12"/>
        <v>0</v>
      </c>
      <c r="CX14" s="21">
        <f t="shared" si="12"/>
        <v>0</v>
      </c>
      <c r="CY14" s="21">
        <f t="shared" si="12"/>
        <v>0</v>
      </c>
      <c r="CZ14" s="21">
        <f t="shared" si="12"/>
        <v>0</v>
      </c>
      <c r="DA14" s="21">
        <f t="shared" si="12"/>
        <v>0</v>
      </c>
      <c r="DB14" s="21">
        <f t="shared" si="12"/>
        <v>0</v>
      </c>
      <c r="DC14" s="21">
        <f t="shared" si="12"/>
        <v>0</v>
      </c>
      <c r="DD14" s="21">
        <f t="shared" si="12"/>
        <v>0</v>
      </c>
      <c r="DE14" s="21">
        <f t="shared" si="12"/>
        <v>0</v>
      </c>
      <c r="DF14" s="21">
        <f t="shared" si="12"/>
        <v>0</v>
      </c>
      <c r="DG14" s="21">
        <f t="shared" si="12"/>
        <v>0</v>
      </c>
      <c r="DH14" s="21">
        <f t="shared" si="12"/>
        <v>0</v>
      </c>
      <c r="DI14" s="21">
        <f t="shared" si="12"/>
        <v>0</v>
      </c>
      <c r="DJ14" s="21">
        <f t="shared" si="12"/>
        <v>0</v>
      </c>
      <c r="DK14" s="21">
        <f t="shared" si="12"/>
        <v>0</v>
      </c>
      <c r="DL14" s="21">
        <f t="shared" si="12"/>
        <v>0</v>
      </c>
      <c r="DM14" s="21">
        <f t="shared" si="12"/>
        <v>0</v>
      </c>
      <c r="DN14" s="21">
        <f t="shared" si="12"/>
        <v>0</v>
      </c>
      <c r="DO14" s="21">
        <f t="shared" si="7"/>
        <v>0</v>
      </c>
      <c r="DP14" s="21">
        <f t="shared" si="7"/>
        <v>0</v>
      </c>
      <c r="DQ14" s="21">
        <f t="shared" si="7"/>
        <v>0</v>
      </c>
      <c r="DR14" s="21">
        <f t="shared" si="7"/>
        <v>0</v>
      </c>
      <c r="DS14" s="21">
        <f t="shared" si="7"/>
        <v>0</v>
      </c>
      <c r="DT14" s="21">
        <f t="shared" si="7"/>
        <v>0</v>
      </c>
      <c r="DU14" s="21">
        <f t="shared" si="7"/>
        <v>0</v>
      </c>
      <c r="DV14" s="21">
        <f t="shared" si="7"/>
        <v>0</v>
      </c>
      <c r="DW14" s="21">
        <f t="shared" si="7"/>
        <v>0</v>
      </c>
      <c r="DX14" s="21">
        <f t="shared" si="7"/>
        <v>0</v>
      </c>
      <c r="DY14" s="21">
        <f t="shared" si="7"/>
        <v>0</v>
      </c>
      <c r="DZ14" s="21">
        <f t="shared" si="4"/>
        <v>0</v>
      </c>
      <c r="EA14" s="21">
        <f t="shared" si="4"/>
        <v>0</v>
      </c>
      <c r="EB14" s="21">
        <f t="shared" si="4"/>
        <v>0</v>
      </c>
      <c r="EC14" s="21">
        <f t="shared" si="4"/>
        <v>0</v>
      </c>
      <c r="ED14" s="21">
        <f t="shared" si="4"/>
        <v>0</v>
      </c>
      <c r="EE14" s="21">
        <f t="shared" si="4"/>
        <v>0</v>
      </c>
      <c r="EF14" s="21">
        <f t="shared" si="4"/>
        <v>0</v>
      </c>
      <c r="EG14" s="21">
        <f t="shared" si="4"/>
        <v>0</v>
      </c>
      <c r="EH14" s="21">
        <f t="shared" si="4"/>
        <v>0</v>
      </c>
      <c r="EI14" s="21">
        <f t="shared" si="4"/>
        <v>0</v>
      </c>
      <c r="EJ14" s="21">
        <f t="shared" si="4"/>
        <v>0</v>
      </c>
      <c r="EK14" s="21">
        <f t="shared" si="4"/>
        <v>0</v>
      </c>
      <c r="EL14" s="21">
        <f t="shared" si="4"/>
        <v>0</v>
      </c>
    </row>
    <row r="15" spans="2:142" x14ac:dyDescent="0.45">
      <c r="B15" s="1" t="s">
        <v>6</v>
      </c>
      <c r="D15" s="14">
        <v>0.1</v>
      </c>
      <c r="E15" s="19">
        <f>+D15*SUM(E5:E14)</f>
        <v>234300</v>
      </c>
      <c r="G15" s="22">
        <f>+H15</f>
        <v>24</v>
      </c>
      <c r="H15" s="22">
        <f>MAX(H5:H14)</f>
        <v>24</v>
      </c>
      <c r="I15" s="21"/>
      <c r="J15" s="21">
        <f t="shared" ref="J15:AO15" si="13">IF(AND($G15=J$4,$H15=J$4),$E15,IF($G15&gt;J$4,0,IF($H15&lt;J$4,0,$E15/($H15-$G15+1))))</f>
        <v>0</v>
      </c>
      <c r="K15" s="21">
        <f t="shared" si="13"/>
        <v>0</v>
      </c>
      <c r="L15" s="21">
        <f t="shared" si="13"/>
        <v>0</v>
      </c>
      <c r="M15" s="21">
        <f t="shared" si="13"/>
        <v>0</v>
      </c>
      <c r="N15" s="21">
        <f t="shared" si="13"/>
        <v>0</v>
      </c>
      <c r="O15" s="21">
        <f t="shared" si="13"/>
        <v>0</v>
      </c>
      <c r="P15" s="21">
        <f t="shared" si="13"/>
        <v>0</v>
      </c>
      <c r="Q15" s="21">
        <f t="shared" si="13"/>
        <v>0</v>
      </c>
      <c r="R15" s="21">
        <f t="shared" si="13"/>
        <v>0</v>
      </c>
      <c r="S15" s="21">
        <f t="shared" si="13"/>
        <v>0</v>
      </c>
      <c r="T15" s="21">
        <f t="shared" si="13"/>
        <v>0</v>
      </c>
      <c r="U15" s="21">
        <f t="shared" si="13"/>
        <v>0</v>
      </c>
      <c r="V15" s="21">
        <f t="shared" si="13"/>
        <v>0</v>
      </c>
      <c r="W15" s="21">
        <f t="shared" si="13"/>
        <v>0</v>
      </c>
      <c r="X15" s="21">
        <f t="shared" si="13"/>
        <v>0</v>
      </c>
      <c r="Y15" s="21">
        <f t="shared" si="13"/>
        <v>0</v>
      </c>
      <c r="Z15" s="21">
        <f t="shared" si="13"/>
        <v>0</v>
      </c>
      <c r="AA15" s="21">
        <f t="shared" si="13"/>
        <v>0</v>
      </c>
      <c r="AB15" s="21">
        <f t="shared" si="13"/>
        <v>0</v>
      </c>
      <c r="AC15" s="21">
        <f t="shared" si="13"/>
        <v>0</v>
      </c>
      <c r="AD15" s="21">
        <f t="shared" si="13"/>
        <v>0</v>
      </c>
      <c r="AE15" s="21">
        <f t="shared" si="13"/>
        <v>0</v>
      </c>
      <c r="AF15" s="21">
        <f t="shared" si="13"/>
        <v>0</v>
      </c>
      <c r="AG15" s="21">
        <f t="shared" si="13"/>
        <v>0</v>
      </c>
      <c r="AH15" s="21">
        <f t="shared" si="13"/>
        <v>234300</v>
      </c>
      <c r="AI15" s="21">
        <f t="shared" si="13"/>
        <v>0</v>
      </c>
      <c r="AJ15" s="21">
        <f t="shared" si="13"/>
        <v>0</v>
      </c>
      <c r="AK15" s="21">
        <f t="shared" si="13"/>
        <v>0</v>
      </c>
      <c r="AL15" s="21">
        <f t="shared" si="13"/>
        <v>0</v>
      </c>
      <c r="AM15" s="21">
        <f t="shared" si="13"/>
        <v>0</v>
      </c>
      <c r="AN15" s="21">
        <f t="shared" si="13"/>
        <v>0</v>
      </c>
      <c r="AO15" s="21">
        <f t="shared" si="13"/>
        <v>0</v>
      </c>
      <c r="AP15" s="21">
        <f t="shared" ref="AP15:BE15" si="14">IF(AND($G15=AP$4,$H15=AP$4),$E15,IF($G15&gt;AP$4,0,IF($H15&lt;AP$4,0,$E15/($H15-$G15+1))))</f>
        <v>0</v>
      </c>
      <c r="AQ15" s="21">
        <f t="shared" si="14"/>
        <v>0</v>
      </c>
      <c r="AR15" s="21">
        <f t="shared" si="14"/>
        <v>0</v>
      </c>
      <c r="AS15" s="21">
        <f t="shared" si="14"/>
        <v>0</v>
      </c>
      <c r="AT15" s="21">
        <f t="shared" si="14"/>
        <v>0</v>
      </c>
      <c r="AU15" s="21">
        <f t="shared" si="14"/>
        <v>0</v>
      </c>
      <c r="AV15" s="21">
        <f t="shared" si="14"/>
        <v>0</v>
      </c>
      <c r="AW15" s="21">
        <f t="shared" si="14"/>
        <v>0</v>
      </c>
      <c r="AX15" s="21">
        <f t="shared" si="14"/>
        <v>0</v>
      </c>
      <c r="AY15" s="21">
        <f t="shared" si="14"/>
        <v>0</v>
      </c>
      <c r="AZ15" s="21">
        <f t="shared" si="14"/>
        <v>0</v>
      </c>
      <c r="BA15" s="21">
        <f t="shared" si="14"/>
        <v>0</v>
      </c>
      <c r="BB15" s="21">
        <f t="shared" si="14"/>
        <v>0</v>
      </c>
      <c r="BC15" s="21">
        <f t="shared" si="14"/>
        <v>0</v>
      </c>
      <c r="BD15" s="21">
        <f t="shared" si="14"/>
        <v>0</v>
      </c>
      <c r="BE15" s="21">
        <f t="shared" si="14"/>
        <v>0</v>
      </c>
      <c r="BF15" s="21">
        <f t="shared" ref="BF15:BN15" si="15">IF(AND($G15=BF$4,$H15=BF$4),$E15,IF($G15&gt;BF$4,0,IF($H15&lt;BF$4,0,$E15/($H15-$G15+1))))</f>
        <v>0</v>
      </c>
      <c r="BG15" s="21">
        <f t="shared" si="15"/>
        <v>0</v>
      </c>
      <c r="BH15" s="21">
        <f t="shared" si="15"/>
        <v>0</v>
      </c>
      <c r="BI15" s="21">
        <f t="shared" si="15"/>
        <v>0</v>
      </c>
      <c r="BJ15" s="21">
        <f t="shared" si="15"/>
        <v>0</v>
      </c>
      <c r="BK15" s="21">
        <f t="shared" si="15"/>
        <v>0</v>
      </c>
      <c r="BL15" s="21">
        <f t="shared" si="15"/>
        <v>0</v>
      </c>
      <c r="BM15" s="21">
        <f t="shared" si="15"/>
        <v>0</v>
      </c>
      <c r="BN15" s="21">
        <f t="shared" si="15"/>
        <v>0</v>
      </c>
      <c r="BO15" s="21">
        <f t="shared" ref="BO15:CD15" si="16">IF(AND($G15=BO$4,$H15=BO$4),$E15,IF($G15&gt;BO$4,0,IF($H15&lt;BO$4,0,$E15/($H15-$G15+1))))</f>
        <v>0</v>
      </c>
      <c r="BP15" s="21">
        <f t="shared" si="16"/>
        <v>0</v>
      </c>
      <c r="BQ15" s="21">
        <f t="shared" si="16"/>
        <v>0</v>
      </c>
      <c r="BR15" s="21">
        <f t="shared" si="16"/>
        <v>0</v>
      </c>
      <c r="BS15" s="21">
        <f t="shared" si="16"/>
        <v>0</v>
      </c>
      <c r="BT15" s="21">
        <f t="shared" si="16"/>
        <v>0</v>
      </c>
      <c r="BU15" s="21">
        <f t="shared" si="16"/>
        <v>0</v>
      </c>
      <c r="BV15" s="21">
        <f t="shared" si="16"/>
        <v>0</v>
      </c>
      <c r="BW15" s="21">
        <f t="shared" si="16"/>
        <v>0</v>
      </c>
      <c r="BX15" s="21">
        <f t="shared" si="16"/>
        <v>0</v>
      </c>
      <c r="BY15" s="21">
        <f t="shared" si="16"/>
        <v>0</v>
      </c>
      <c r="BZ15" s="21">
        <f t="shared" si="16"/>
        <v>0</v>
      </c>
      <c r="CA15" s="21">
        <f t="shared" si="16"/>
        <v>0</v>
      </c>
      <c r="CB15" s="21">
        <f t="shared" si="16"/>
        <v>0</v>
      </c>
      <c r="CC15" s="21">
        <f t="shared" si="16"/>
        <v>0</v>
      </c>
      <c r="CD15" s="21">
        <f t="shared" si="16"/>
        <v>0</v>
      </c>
      <c r="CE15" s="21">
        <f t="shared" ref="CE15:CT15" si="17">IF(AND($G15=CE$4,$H15=CE$4),$E15,IF($G15&gt;CE$4,0,IF($H15&lt;CE$4,0,$E15/($H15-$G15+1))))</f>
        <v>0</v>
      </c>
      <c r="CF15" s="21">
        <f t="shared" si="17"/>
        <v>0</v>
      </c>
      <c r="CG15" s="21">
        <f t="shared" si="17"/>
        <v>0</v>
      </c>
      <c r="CH15" s="21">
        <f t="shared" si="17"/>
        <v>0</v>
      </c>
      <c r="CI15" s="21">
        <f t="shared" si="17"/>
        <v>0</v>
      </c>
      <c r="CJ15" s="21">
        <f t="shared" si="17"/>
        <v>0</v>
      </c>
      <c r="CK15" s="21">
        <f t="shared" si="17"/>
        <v>0</v>
      </c>
      <c r="CL15" s="21">
        <f t="shared" si="17"/>
        <v>0</v>
      </c>
      <c r="CM15" s="21">
        <f t="shared" si="17"/>
        <v>0</v>
      </c>
      <c r="CN15" s="21">
        <f t="shared" si="17"/>
        <v>0</v>
      </c>
      <c r="CO15" s="21">
        <f t="shared" si="17"/>
        <v>0</v>
      </c>
      <c r="CP15" s="21">
        <f t="shared" si="17"/>
        <v>0</v>
      </c>
      <c r="CQ15" s="21">
        <f t="shared" si="17"/>
        <v>0</v>
      </c>
      <c r="CR15" s="21">
        <f t="shared" si="17"/>
        <v>0</v>
      </c>
      <c r="CS15" s="21">
        <f t="shared" si="17"/>
        <v>0</v>
      </c>
      <c r="CT15" s="21">
        <f t="shared" si="17"/>
        <v>0</v>
      </c>
      <c r="CU15" s="21">
        <f t="shared" ref="CU15:DJ15" si="18">IF(AND($G15=CU$4,$H15=CU$4),$E15,IF($G15&gt;CU$4,0,IF($H15&lt;CU$4,0,$E15/($H15-$G15+1))))</f>
        <v>0</v>
      </c>
      <c r="CV15" s="21">
        <f t="shared" si="18"/>
        <v>0</v>
      </c>
      <c r="CW15" s="21">
        <f t="shared" si="18"/>
        <v>0</v>
      </c>
      <c r="CX15" s="21">
        <f t="shared" si="18"/>
        <v>0</v>
      </c>
      <c r="CY15" s="21">
        <f t="shared" si="18"/>
        <v>0</v>
      </c>
      <c r="CZ15" s="21">
        <f t="shared" si="18"/>
        <v>0</v>
      </c>
      <c r="DA15" s="21">
        <f t="shared" si="18"/>
        <v>0</v>
      </c>
      <c r="DB15" s="21">
        <f t="shared" si="18"/>
        <v>0</v>
      </c>
      <c r="DC15" s="21">
        <f t="shared" si="18"/>
        <v>0</v>
      </c>
      <c r="DD15" s="21">
        <f t="shared" si="18"/>
        <v>0</v>
      </c>
      <c r="DE15" s="21">
        <f t="shared" si="18"/>
        <v>0</v>
      </c>
      <c r="DF15" s="21">
        <f t="shared" si="18"/>
        <v>0</v>
      </c>
      <c r="DG15" s="21">
        <f t="shared" si="18"/>
        <v>0</v>
      </c>
      <c r="DH15" s="21">
        <f t="shared" si="18"/>
        <v>0</v>
      </c>
      <c r="DI15" s="21">
        <f t="shared" si="18"/>
        <v>0</v>
      </c>
      <c r="DJ15" s="21">
        <f t="shared" si="18"/>
        <v>0</v>
      </c>
      <c r="DK15" s="21">
        <f t="shared" ref="DK15:DN15" si="19">IF(AND($G15=DK$4,$H15=DK$4),$E15,IF($G15&gt;DK$4,0,IF($H15&lt;DK$4,0,$E15/($H15-$G15+1))))</f>
        <v>0</v>
      </c>
      <c r="DL15" s="21">
        <f t="shared" si="19"/>
        <v>0</v>
      </c>
      <c r="DM15" s="21">
        <f t="shared" si="19"/>
        <v>0</v>
      </c>
      <c r="DN15" s="21">
        <f t="shared" si="19"/>
        <v>0</v>
      </c>
      <c r="DO15" s="21">
        <f t="shared" ref="DO15:EL15" si="20">IF(AND($G15=DO$4,$H15=DO$4),$E15,IF($G15&gt;DO$4,0,IF($H15&lt;DO$4,0,$E15/($H15-$G15+1))))</f>
        <v>0</v>
      </c>
      <c r="DP15" s="21">
        <f t="shared" si="20"/>
        <v>0</v>
      </c>
      <c r="DQ15" s="21">
        <f t="shared" si="20"/>
        <v>0</v>
      </c>
      <c r="DR15" s="21">
        <f t="shared" si="20"/>
        <v>0</v>
      </c>
      <c r="DS15" s="21">
        <f t="shared" si="20"/>
        <v>0</v>
      </c>
      <c r="DT15" s="21">
        <f t="shared" si="20"/>
        <v>0</v>
      </c>
      <c r="DU15" s="21">
        <f t="shared" si="20"/>
        <v>0</v>
      </c>
      <c r="DV15" s="21">
        <f t="shared" si="20"/>
        <v>0</v>
      </c>
      <c r="DW15" s="21">
        <f t="shared" si="20"/>
        <v>0</v>
      </c>
      <c r="DX15" s="21">
        <f t="shared" si="20"/>
        <v>0</v>
      </c>
      <c r="DY15" s="21">
        <f t="shared" si="20"/>
        <v>0</v>
      </c>
      <c r="DZ15" s="21">
        <f t="shared" si="20"/>
        <v>0</v>
      </c>
      <c r="EA15" s="21">
        <f t="shared" si="20"/>
        <v>0</v>
      </c>
      <c r="EB15" s="21">
        <f t="shared" si="20"/>
        <v>0</v>
      </c>
      <c r="EC15" s="21">
        <f t="shared" si="20"/>
        <v>0</v>
      </c>
      <c r="ED15" s="21">
        <f t="shared" si="20"/>
        <v>0</v>
      </c>
      <c r="EE15" s="21">
        <f t="shared" si="20"/>
        <v>0</v>
      </c>
      <c r="EF15" s="21">
        <f t="shared" si="20"/>
        <v>0</v>
      </c>
      <c r="EG15" s="21">
        <f t="shared" si="20"/>
        <v>0</v>
      </c>
      <c r="EH15" s="21">
        <f t="shared" si="20"/>
        <v>0</v>
      </c>
      <c r="EI15" s="21">
        <f t="shared" si="20"/>
        <v>0</v>
      </c>
      <c r="EJ15" s="21">
        <f t="shared" si="20"/>
        <v>0</v>
      </c>
      <c r="EK15" s="21">
        <f t="shared" si="20"/>
        <v>0</v>
      </c>
      <c r="EL15" s="21">
        <f t="shared" si="20"/>
        <v>0</v>
      </c>
    </row>
    <row r="16" spans="2:142" x14ac:dyDescent="0.45">
      <c r="B16" s="4" t="s">
        <v>233</v>
      </c>
      <c r="C16" s="4"/>
      <c r="D16" s="497">
        <f>+E16/D4</f>
        <v>46.86</v>
      </c>
      <c r="E16" s="7">
        <f>SUM(E5:E15)</f>
        <v>2577300</v>
      </c>
      <c r="F16" s="11"/>
      <c r="I16" s="21"/>
      <c r="J16" s="23">
        <f t="shared" ref="J16:AO16" si="21">SUM(J5:J15)</f>
        <v>20000</v>
      </c>
      <c r="K16" s="23">
        <f t="shared" si="21"/>
        <v>0</v>
      </c>
      <c r="L16" s="23">
        <f t="shared" si="21"/>
        <v>97652.173913043473</v>
      </c>
      <c r="M16" s="23">
        <f t="shared" si="21"/>
        <v>97652.173913043473</v>
      </c>
      <c r="N16" s="23">
        <f t="shared" si="21"/>
        <v>97652.173913043473</v>
      </c>
      <c r="O16" s="23">
        <f t="shared" si="21"/>
        <v>145152.17391304346</v>
      </c>
      <c r="P16" s="23">
        <f t="shared" si="21"/>
        <v>135152.17391304346</v>
      </c>
      <c r="Q16" s="23">
        <f t="shared" si="21"/>
        <v>97652.173913043473</v>
      </c>
      <c r="R16" s="23">
        <f t="shared" si="21"/>
        <v>97652.173913043473</v>
      </c>
      <c r="S16" s="23">
        <f t="shared" si="21"/>
        <v>97652.173913043473</v>
      </c>
      <c r="T16" s="23">
        <f t="shared" si="21"/>
        <v>102652.17391304347</v>
      </c>
      <c r="U16" s="23">
        <f t="shared" si="21"/>
        <v>97652.173913043473</v>
      </c>
      <c r="V16" s="23">
        <f t="shared" si="21"/>
        <v>96652.173913043473</v>
      </c>
      <c r="W16" s="23">
        <f t="shared" si="21"/>
        <v>96652.173913043473</v>
      </c>
      <c r="X16" s="23">
        <f t="shared" si="21"/>
        <v>96652.173913043473</v>
      </c>
      <c r="Y16" s="23">
        <f t="shared" si="21"/>
        <v>96652.173913043473</v>
      </c>
      <c r="Z16" s="23">
        <f t="shared" si="21"/>
        <v>96652.173913043473</v>
      </c>
      <c r="AA16" s="23">
        <f t="shared" si="21"/>
        <v>96652.173913043473</v>
      </c>
      <c r="AB16" s="23">
        <f t="shared" si="21"/>
        <v>96652.173913043473</v>
      </c>
      <c r="AC16" s="23">
        <f t="shared" si="21"/>
        <v>96652.173913043473</v>
      </c>
      <c r="AD16" s="23">
        <f t="shared" si="21"/>
        <v>96652.173913043473</v>
      </c>
      <c r="AE16" s="23">
        <f t="shared" si="21"/>
        <v>96652.173913043473</v>
      </c>
      <c r="AF16" s="23">
        <f t="shared" si="21"/>
        <v>96652.173913043473</v>
      </c>
      <c r="AG16" s="23">
        <f t="shared" si="21"/>
        <v>96652.173913043473</v>
      </c>
      <c r="AH16" s="23">
        <f t="shared" si="21"/>
        <v>330952.17391304346</v>
      </c>
      <c r="AI16" s="23">
        <f t="shared" si="21"/>
        <v>0</v>
      </c>
      <c r="AJ16" s="23">
        <f t="shared" si="21"/>
        <v>0</v>
      </c>
      <c r="AK16" s="23">
        <f t="shared" si="21"/>
        <v>0</v>
      </c>
      <c r="AL16" s="23">
        <f t="shared" si="21"/>
        <v>0</v>
      </c>
      <c r="AM16" s="23">
        <f t="shared" si="21"/>
        <v>0</v>
      </c>
      <c r="AN16" s="23">
        <f t="shared" si="21"/>
        <v>0</v>
      </c>
      <c r="AO16" s="23">
        <f t="shared" si="21"/>
        <v>0</v>
      </c>
      <c r="AP16" s="23">
        <f t="shared" ref="AP16:BU16" si="22">SUM(AP5:AP15)</f>
        <v>0</v>
      </c>
      <c r="AQ16" s="23">
        <f t="shared" si="22"/>
        <v>0</v>
      </c>
      <c r="AR16" s="23">
        <f t="shared" si="22"/>
        <v>0</v>
      </c>
      <c r="AS16" s="23">
        <f t="shared" si="22"/>
        <v>0</v>
      </c>
      <c r="AT16" s="23">
        <f t="shared" si="22"/>
        <v>0</v>
      </c>
      <c r="AU16" s="23">
        <f t="shared" si="22"/>
        <v>0</v>
      </c>
      <c r="AV16" s="23">
        <f t="shared" si="22"/>
        <v>0</v>
      </c>
      <c r="AW16" s="23">
        <f t="shared" si="22"/>
        <v>0</v>
      </c>
      <c r="AX16" s="23">
        <f t="shared" si="22"/>
        <v>0</v>
      </c>
      <c r="AY16" s="23">
        <f t="shared" si="22"/>
        <v>0</v>
      </c>
      <c r="AZ16" s="23">
        <f t="shared" si="22"/>
        <v>0</v>
      </c>
      <c r="BA16" s="23">
        <f t="shared" si="22"/>
        <v>0</v>
      </c>
      <c r="BB16" s="23">
        <f t="shared" si="22"/>
        <v>0</v>
      </c>
      <c r="BC16" s="23">
        <f t="shared" si="22"/>
        <v>0</v>
      </c>
      <c r="BD16" s="23">
        <f t="shared" si="22"/>
        <v>0</v>
      </c>
      <c r="BE16" s="23">
        <f t="shared" si="22"/>
        <v>0</v>
      </c>
      <c r="BF16" s="23">
        <f t="shared" si="22"/>
        <v>0</v>
      </c>
      <c r="BG16" s="23">
        <f t="shared" si="22"/>
        <v>0</v>
      </c>
      <c r="BH16" s="23">
        <f t="shared" si="22"/>
        <v>0</v>
      </c>
      <c r="BI16" s="23">
        <f t="shared" si="22"/>
        <v>0</v>
      </c>
      <c r="BJ16" s="23">
        <f t="shared" si="22"/>
        <v>0</v>
      </c>
      <c r="BK16" s="23">
        <f t="shared" si="22"/>
        <v>0</v>
      </c>
      <c r="BL16" s="23">
        <f t="shared" si="22"/>
        <v>0</v>
      </c>
      <c r="BM16" s="23">
        <f t="shared" si="22"/>
        <v>0</v>
      </c>
      <c r="BN16" s="23">
        <f t="shared" si="22"/>
        <v>0</v>
      </c>
      <c r="BO16" s="23">
        <f t="shared" si="22"/>
        <v>0</v>
      </c>
      <c r="BP16" s="23">
        <f t="shared" si="22"/>
        <v>0</v>
      </c>
      <c r="BQ16" s="23">
        <f t="shared" si="22"/>
        <v>0</v>
      </c>
      <c r="BR16" s="23">
        <f t="shared" si="22"/>
        <v>0</v>
      </c>
      <c r="BS16" s="23">
        <f t="shared" si="22"/>
        <v>0</v>
      </c>
      <c r="BT16" s="23">
        <f t="shared" si="22"/>
        <v>0</v>
      </c>
      <c r="BU16" s="23">
        <f t="shared" si="22"/>
        <v>0</v>
      </c>
      <c r="BV16" s="23">
        <f t="shared" ref="BV16:DA16" si="23">SUM(BV5:BV15)</f>
        <v>0</v>
      </c>
      <c r="BW16" s="23">
        <f t="shared" si="23"/>
        <v>0</v>
      </c>
      <c r="BX16" s="23">
        <f t="shared" si="23"/>
        <v>0</v>
      </c>
      <c r="BY16" s="23">
        <f t="shared" si="23"/>
        <v>0</v>
      </c>
      <c r="BZ16" s="23">
        <f t="shared" si="23"/>
        <v>0</v>
      </c>
      <c r="CA16" s="23">
        <f t="shared" si="23"/>
        <v>0</v>
      </c>
      <c r="CB16" s="23">
        <f t="shared" si="23"/>
        <v>0</v>
      </c>
      <c r="CC16" s="23">
        <f t="shared" si="23"/>
        <v>0</v>
      </c>
      <c r="CD16" s="23">
        <f t="shared" si="23"/>
        <v>0</v>
      </c>
      <c r="CE16" s="23">
        <f t="shared" si="23"/>
        <v>0</v>
      </c>
      <c r="CF16" s="23">
        <f t="shared" si="23"/>
        <v>0</v>
      </c>
      <c r="CG16" s="23">
        <f t="shared" si="23"/>
        <v>0</v>
      </c>
      <c r="CH16" s="23">
        <f t="shared" si="23"/>
        <v>0</v>
      </c>
      <c r="CI16" s="23">
        <f t="shared" si="23"/>
        <v>0</v>
      </c>
      <c r="CJ16" s="23">
        <f t="shared" si="23"/>
        <v>0</v>
      </c>
      <c r="CK16" s="23">
        <f t="shared" si="23"/>
        <v>0</v>
      </c>
      <c r="CL16" s="23">
        <f t="shared" si="23"/>
        <v>0</v>
      </c>
      <c r="CM16" s="23">
        <f t="shared" si="23"/>
        <v>0</v>
      </c>
      <c r="CN16" s="23">
        <f t="shared" si="23"/>
        <v>0</v>
      </c>
      <c r="CO16" s="23">
        <f t="shared" si="23"/>
        <v>0</v>
      </c>
      <c r="CP16" s="23">
        <f t="shared" si="23"/>
        <v>0</v>
      </c>
      <c r="CQ16" s="23">
        <f t="shared" si="23"/>
        <v>0</v>
      </c>
      <c r="CR16" s="23">
        <f t="shared" si="23"/>
        <v>0</v>
      </c>
      <c r="CS16" s="23">
        <f t="shared" si="23"/>
        <v>0</v>
      </c>
      <c r="CT16" s="23">
        <f t="shared" si="23"/>
        <v>0</v>
      </c>
      <c r="CU16" s="23">
        <f t="shared" si="23"/>
        <v>0</v>
      </c>
      <c r="CV16" s="23">
        <f t="shared" si="23"/>
        <v>0</v>
      </c>
      <c r="CW16" s="23">
        <f t="shared" si="23"/>
        <v>0</v>
      </c>
      <c r="CX16" s="23">
        <f t="shared" si="23"/>
        <v>0</v>
      </c>
      <c r="CY16" s="23">
        <f t="shared" si="23"/>
        <v>0</v>
      </c>
      <c r="CZ16" s="23">
        <f t="shared" si="23"/>
        <v>0</v>
      </c>
      <c r="DA16" s="23">
        <f t="shared" si="23"/>
        <v>0</v>
      </c>
      <c r="DB16" s="23">
        <f t="shared" ref="DB16:DY16" si="24">SUM(DB5:DB15)</f>
        <v>0</v>
      </c>
      <c r="DC16" s="23">
        <f t="shared" si="24"/>
        <v>0</v>
      </c>
      <c r="DD16" s="23">
        <f t="shared" si="24"/>
        <v>0</v>
      </c>
      <c r="DE16" s="23">
        <f t="shared" si="24"/>
        <v>0</v>
      </c>
      <c r="DF16" s="23">
        <f t="shared" si="24"/>
        <v>0</v>
      </c>
      <c r="DG16" s="23">
        <f t="shared" si="24"/>
        <v>0</v>
      </c>
      <c r="DH16" s="23">
        <f t="shared" si="24"/>
        <v>0</v>
      </c>
      <c r="DI16" s="23">
        <f t="shared" si="24"/>
        <v>0</v>
      </c>
      <c r="DJ16" s="23">
        <f t="shared" si="24"/>
        <v>0</v>
      </c>
      <c r="DK16" s="23">
        <f t="shared" si="24"/>
        <v>0</v>
      </c>
      <c r="DL16" s="23">
        <f t="shared" si="24"/>
        <v>0</v>
      </c>
      <c r="DM16" s="23">
        <f t="shared" si="24"/>
        <v>0</v>
      </c>
      <c r="DN16" s="23">
        <f t="shared" si="24"/>
        <v>0</v>
      </c>
      <c r="DO16" s="23">
        <f t="shared" si="24"/>
        <v>0</v>
      </c>
      <c r="DP16" s="23">
        <f t="shared" si="24"/>
        <v>0</v>
      </c>
      <c r="DQ16" s="23">
        <f t="shared" si="24"/>
        <v>0</v>
      </c>
      <c r="DR16" s="23">
        <f t="shared" si="24"/>
        <v>0</v>
      </c>
      <c r="DS16" s="23">
        <f t="shared" si="24"/>
        <v>0</v>
      </c>
      <c r="DT16" s="23">
        <f t="shared" si="24"/>
        <v>0</v>
      </c>
      <c r="DU16" s="23">
        <f t="shared" si="24"/>
        <v>0</v>
      </c>
      <c r="DV16" s="23">
        <f t="shared" si="24"/>
        <v>0</v>
      </c>
      <c r="DW16" s="23">
        <f t="shared" si="24"/>
        <v>0</v>
      </c>
      <c r="DX16" s="23">
        <f t="shared" si="24"/>
        <v>0</v>
      </c>
      <c r="DY16" s="23">
        <f t="shared" si="24"/>
        <v>0</v>
      </c>
      <c r="DZ16" s="23">
        <f t="shared" ref="DZ16:EL16" si="25">SUM(DZ5:DZ15)</f>
        <v>0</v>
      </c>
      <c r="EA16" s="23">
        <f t="shared" si="25"/>
        <v>0</v>
      </c>
      <c r="EB16" s="23">
        <f t="shared" si="25"/>
        <v>0</v>
      </c>
      <c r="EC16" s="23">
        <f t="shared" si="25"/>
        <v>0</v>
      </c>
      <c r="ED16" s="23">
        <f t="shared" si="25"/>
        <v>0</v>
      </c>
      <c r="EE16" s="23">
        <f t="shared" si="25"/>
        <v>0</v>
      </c>
      <c r="EF16" s="23">
        <f t="shared" si="25"/>
        <v>0</v>
      </c>
      <c r="EG16" s="23">
        <f t="shared" si="25"/>
        <v>0</v>
      </c>
      <c r="EH16" s="23">
        <f t="shared" si="25"/>
        <v>0</v>
      </c>
      <c r="EI16" s="23">
        <f t="shared" si="25"/>
        <v>0</v>
      </c>
      <c r="EJ16" s="23">
        <f t="shared" si="25"/>
        <v>0</v>
      </c>
      <c r="EK16" s="23">
        <f t="shared" si="25"/>
        <v>0</v>
      </c>
      <c r="EL16" s="23">
        <f t="shared" si="25"/>
        <v>0</v>
      </c>
    </row>
    <row r="17" spans="4:142" x14ac:dyDescent="0.45">
      <c r="D17" s="498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6C7B4-9DE4-4E8B-B56A-AEE296178E0E}">
  <dimension ref="B8:Q132"/>
  <sheetViews>
    <sheetView showGridLines="0" topLeftCell="A11" workbookViewId="0">
      <selection activeCell="O12" sqref="O12"/>
    </sheetView>
  </sheetViews>
  <sheetFormatPr defaultColWidth="9.1328125" defaultRowHeight="12.75" x14ac:dyDescent="0.35"/>
  <cols>
    <col min="1" max="1" width="9.1328125" style="30"/>
    <col min="2" max="2" width="38.1328125" style="30" customWidth="1"/>
    <col min="3" max="15" width="9.1328125" style="30"/>
    <col min="16" max="16" width="14.73046875" style="30" customWidth="1"/>
    <col min="17" max="17" width="27.59765625" style="30" customWidth="1"/>
    <col min="18" max="16384" width="9.1328125" style="30"/>
  </cols>
  <sheetData>
    <row r="8" spans="2:17" ht="25.5" x14ac:dyDescent="0.75">
      <c r="B8" s="29" t="s">
        <v>40</v>
      </c>
    </row>
    <row r="9" spans="2:17" ht="14.25" x14ac:dyDescent="0.45">
      <c r="B9" s="31">
        <v>45717</v>
      </c>
    </row>
    <row r="11" spans="2:17" ht="15.75" x14ac:dyDescent="0.5">
      <c r="P11" s="32" t="s">
        <v>41</v>
      </c>
      <c r="Q11" s="32" t="s">
        <v>40</v>
      </c>
    </row>
    <row r="12" spans="2:17" ht="14.25" x14ac:dyDescent="0.45">
      <c r="O12" s="39">
        <f>EOMONTH(P12,0)</f>
        <v>45747</v>
      </c>
      <c r="P12" s="33">
        <v>45727</v>
      </c>
      <c r="Q12" s="34">
        <v>4.3301699999999999E-2</v>
      </c>
    </row>
    <row r="13" spans="2:17" ht="14.25" x14ac:dyDescent="0.45">
      <c r="O13" s="39">
        <f t="shared" ref="O13:O76" si="0">EOMONTH(P13,0)</f>
        <v>45777</v>
      </c>
      <c r="P13" s="35">
        <v>45758</v>
      </c>
      <c r="Q13" s="36">
        <v>4.3052899999999998E-2</v>
      </c>
    </row>
    <row r="14" spans="2:17" ht="14.25" x14ac:dyDescent="0.45">
      <c r="O14" s="39">
        <f t="shared" si="0"/>
        <v>45808</v>
      </c>
      <c r="P14" s="33">
        <v>45789</v>
      </c>
      <c r="Q14" s="34">
        <v>4.2218499999999999E-2</v>
      </c>
    </row>
    <row r="15" spans="2:17" ht="14.25" x14ac:dyDescent="0.45">
      <c r="O15" s="39">
        <f t="shared" si="0"/>
        <v>45838</v>
      </c>
      <c r="P15" s="35">
        <v>45819</v>
      </c>
      <c r="Q15" s="36">
        <v>4.1257700000000001E-2</v>
      </c>
    </row>
    <row r="16" spans="2:17" ht="14.25" x14ac:dyDescent="0.45">
      <c r="O16" s="39">
        <f t="shared" si="0"/>
        <v>45869</v>
      </c>
      <c r="P16" s="33">
        <v>45849</v>
      </c>
      <c r="Q16" s="34">
        <v>4.0362500000000003E-2</v>
      </c>
    </row>
    <row r="17" spans="15:17" ht="14.25" x14ac:dyDescent="0.45">
      <c r="O17" s="39">
        <f t="shared" si="0"/>
        <v>45900</v>
      </c>
      <c r="P17" s="35">
        <v>45880</v>
      </c>
      <c r="Q17" s="36">
        <v>3.9592599999999999E-2</v>
      </c>
    </row>
    <row r="18" spans="15:17" ht="14.25" x14ac:dyDescent="0.45">
      <c r="O18" s="39">
        <f t="shared" si="0"/>
        <v>45930</v>
      </c>
      <c r="P18" s="33">
        <v>45911</v>
      </c>
      <c r="Q18" s="34">
        <v>3.8102499999999997E-2</v>
      </c>
    </row>
    <row r="19" spans="15:17" ht="14.25" x14ac:dyDescent="0.45">
      <c r="O19" s="39">
        <f t="shared" si="0"/>
        <v>45961</v>
      </c>
      <c r="P19" s="35">
        <v>45944</v>
      </c>
      <c r="Q19" s="36">
        <v>3.78538E-2</v>
      </c>
    </row>
    <row r="20" spans="15:17" ht="14.25" x14ac:dyDescent="0.45">
      <c r="O20" s="39">
        <f t="shared" si="0"/>
        <v>45991</v>
      </c>
      <c r="P20" s="33">
        <v>45973</v>
      </c>
      <c r="Q20" s="34">
        <v>3.7851799999999998E-2</v>
      </c>
    </row>
    <row r="21" spans="15:17" ht="14.25" x14ac:dyDescent="0.45">
      <c r="O21" s="39">
        <f t="shared" si="0"/>
        <v>46022</v>
      </c>
      <c r="P21" s="35">
        <v>46002</v>
      </c>
      <c r="Q21" s="36">
        <v>3.6711399999999998E-2</v>
      </c>
    </row>
    <row r="22" spans="15:17" ht="14.25" x14ac:dyDescent="0.45">
      <c r="O22" s="39">
        <f t="shared" si="0"/>
        <v>46053</v>
      </c>
      <c r="P22" s="33">
        <v>46034</v>
      </c>
      <c r="Q22" s="34">
        <v>3.6445499999999999E-2</v>
      </c>
    </row>
    <row r="23" spans="15:17" ht="14.25" x14ac:dyDescent="0.45">
      <c r="O23" s="39">
        <f t="shared" si="0"/>
        <v>46081</v>
      </c>
      <c r="P23" s="35">
        <v>46064</v>
      </c>
      <c r="Q23" s="36">
        <v>3.644E-2</v>
      </c>
    </row>
    <row r="24" spans="15:17" ht="14.25" x14ac:dyDescent="0.45">
      <c r="O24" s="39">
        <f t="shared" si="0"/>
        <v>46112</v>
      </c>
      <c r="P24" s="33">
        <v>46092</v>
      </c>
      <c r="Q24" s="34">
        <v>3.5883900000000003E-2</v>
      </c>
    </row>
    <row r="25" spans="15:17" ht="14.25" x14ac:dyDescent="0.45">
      <c r="O25" s="39">
        <f t="shared" si="0"/>
        <v>46142</v>
      </c>
      <c r="P25" s="35">
        <v>46125</v>
      </c>
      <c r="Q25" s="36">
        <v>3.5726399999999998E-2</v>
      </c>
    </row>
    <row r="26" spans="15:17" ht="14.25" x14ac:dyDescent="0.45">
      <c r="O26" s="39">
        <f t="shared" si="0"/>
        <v>46173</v>
      </c>
      <c r="P26" s="33">
        <v>46153</v>
      </c>
      <c r="Q26" s="34">
        <v>3.5728200000000002E-2</v>
      </c>
    </row>
    <row r="27" spans="15:17" ht="14.25" x14ac:dyDescent="0.45">
      <c r="O27" s="39">
        <f t="shared" si="0"/>
        <v>46203</v>
      </c>
      <c r="P27" s="35">
        <v>46184</v>
      </c>
      <c r="Q27" s="36">
        <v>3.5572600000000003E-2</v>
      </c>
    </row>
    <row r="28" spans="15:17" ht="14.25" x14ac:dyDescent="0.45">
      <c r="O28" s="39">
        <f t="shared" si="0"/>
        <v>46234</v>
      </c>
      <c r="P28" s="33">
        <v>46216</v>
      </c>
      <c r="Q28" s="34">
        <v>3.5496800000000002E-2</v>
      </c>
    </row>
    <row r="29" spans="15:17" ht="14.25" x14ac:dyDescent="0.45">
      <c r="O29" s="39">
        <f t="shared" si="0"/>
        <v>46265</v>
      </c>
      <c r="P29" s="35">
        <v>46245</v>
      </c>
      <c r="Q29" s="36">
        <v>3.5473600000000001E-2</v>
      </c>
    </row>
    <row r="30" spans="15:17" ht="14.25" x14ac:dyDescent="0.45">
      <c r="O30" s="39">
        <f t="shared" si="0"/>
        <v>46295</v>
      </c>
      <c r="P30" s="33">
        <v>46276</v>
      </c>
      <c r="Q30" s="34">
        <v>3.5467800000000001E-2</v>
      </c>
    </row>
    <row r="31" spans="15:17" ht="14.25" x14ac:dyDescent="0.45">
      <c r="O31" s="39">
        <f t="shared" si="0"/>
        <v>46326</v>
      </c>
      <c r="P31" s="35">
        <v>46308</v>
      </c>
      <c r="Q31" s="36">
        <v>3.54767E-2</v>
      </c>
    </row>
    <row r="32" spans="15:17" ht="14.25" x14ac:dyDescent="0.45">
      <c r="O32" s="39">
        <f t="shared" si="0"/>
        <v>46356</v>
      </c>
      <c r="P32" s="33">
        <v>46338</v>
      </c>
      <c r="Q32" s="34">
        <v>3.5506299999999998E-2</v>
      </c>
    </row>
    <row r="33" spans="2:17" ht="14.25" x14ac:dyDescent="0.45">
      <c r="O33" s="39">
        <f t="shared" si="0"/>
        <v>46387</v>
      </c>
      <c r="P33" s="35">
        <v>46367</v>
      </c>
      <c r="Q33" s="36">
        <v>3.5545899999999998E-2</v>
      </c>
    </row>
    <row r="34" spans="2:17" ht="14.25" x14ac:dyDescent="0.45">
      <c r="O34" s="39">
        <f t="shared" si="0"/>
        <v>46418</v>
      </c>
      <c r="P34" s="33">
        <v>46398</v>
      </c>
      <c r="Q34" s="34">
        <v>3.5608000000000001E-2</v>
      </c>
    </row>
    <row r="35" spans="2:17" ht="14.25" x14ac:dyDescent="0.45">
      <c r="B35" s="37" t="s">
        <v>42</v>
      </c>
      <c r="O35" s="39">
        <f t="shared" si="0"/>
        <v>46446</v>
      </c>
      <c r="P35" s="35">
        <v>46429</v>
      </c>
      <c r="Q35" s="36">
        <v>3.5678099999999997E-2</v>
      </c>
    </row>
    <row r="36" spans="2:17" ht="14.25" x14ac:dyDescent="0.45">
      <c r="B36" s="38" t="s">
        <v>43</v>
      </c>
      <c r="O36" s="39">
        <f t="shared" si="0"/>
        <v>46477</v>
      </c>
      <c r="P36" s="33">
        <v>46457</v>
      </c>
      <c r="Q36" s="34">
        <v>3.5775300000000003E-2</v>
      </c>
    </row>
    <row r="37" spans="2:17" ht="14.25" x14ac:dyDescent="0.45">
      <c r="O37" s="39">
        <f t="shared" si="0"/>
        <v>46507</v>
      </c>
      <c r="P37" s="35">
        <v>46489</v>
      </c>
      <c r="Q37" s="36">
        <v>3.5866599999999998E-2</v>
      </c>
    </row>
    <row r="38" spans="2:17" ht="14.25" x14ac:dyDescent="0.45">
      <c r="O38" s="39">
        <f t="shared" si="0"/>
        <v>46538</v>
      </c>
      <c r="P38" s="33">
        <v>46518</v>
      </c>
      <c r="Q38" s="34">
        <v>3.5957900000000001E-2</v>
      </c>
    </row>
    <row r="39" spans="2:17" ht="14.25" x14ac:dyDescent="0.45">
      <c r="O39" s="39">
        <f t="shared" si="0"/>
        <v>46568</v>
      </c>
      <c r="P39" s="35">
        <v>46549</v>
      </c>
      <c r="Q39" s="36">
        <v>3.6051E-2</v>
      </c>
    </row>
    <row r="40" spans="2:17" ht="14.25" x14ac:dyDescent="0.45">
      <c r="O40" s="39">
        <f t="shared" si="0"/>
        <v>46599</v>
      </c>
      <c r="P40" s="33">
        <v>46580</v>
      </c>
      <c r="Q40" s="34">
        <v>3.61432E-2</v>
      </c>
    </row>
    <row r="41" spans="2:17" ht="14.25" x14ac:dyDescent="0.45">
      <c r="O41" s="39">
        <f t="shared" si="0"/>
        <v>46630</v>
      </c>
      <c r="P41" s="35">
        <v>46610</v>
      </c>
      <c r="Q41" s="36">
        <v>3.6238100000000002E-2</v>
      </c>
    </row>
    <row r="42" spans="2:17" ht="14.25" x14ac:dyDescent="0.45">
      <c r="O42" s="39">
        <f t="shared" si="0"/>
        <v>46660</v>
      </c>
      <c r="P42" s="33">
        <v>46643</v>
      </c>
      <c r="Q42" s="34">
        <v>3.6324500000000003E-2</v>
      </c>
    </row>
    <row r="43" spans="2:17" ht="14.25" x14ac:dyDescent="0.45">
      <c r="O43" s="39">
        <f t="shared" si="0"/>
        <v>46691</v>
      </c>
      <c r="P43" s="35">
        <v>46672</v>
      </c>
      <c r="Q43" s="36">
        <v>3.6411399999999997E-2</v>
      </c>
    </row>
    <row r="44" spans="2:17" ht="14.25" x14ac:dyDescent="0.45">
      <c r="O44" s="39">
        <f t="shared" si="0"/>
        <v>46721</v>
      </c>
      <c r="P44" s="33">
        <v>46703</v>
      </c>
      <c r="Q44" s="34">
        <v>3.6499999999999998E-2</v>
      </c>
    </row>
    <row r="45" spans="2:17" ht="14.25" x14ac:dyDescent="0.45">
      <c r="O45" s="39">
        <f t="shared" si="0"/>
        <v>46752</v>
      </c>
      <c r="P45" s="35">
        <v>46734</v>
      </c>
      <c r="Q45" s="36">
        <v>3.6587700000000001E-2</v>
      </c>
    </row>
    <row r="46" spans="2:17" ht="14.25" x14ac:dyDescent="0.45">
      <c r="O46" s="39">
        <f t="shared" si="0"/>
        <v>46783</v>
      </c>
      <c r="P46" s="33">
        <v>46763</v>
      </c>
      <c r="Q46" s="34">
        <v>3.6668899999999997E-2</v>
      </c>
    </row>
    <row r="47" spans="2:17" ht="14.25" x14ac:dyDescent="0.45">
      <c r="O47" s="39">
        <f t="shared" si="0"/>
        <v>46812</v>
      </c>
      <c r="P47" s="35">
        <v>46794</v>
      </c>
      <c r="Q47" s="36">
        <v>3.6754799999999997E-2</v>
      </c>
    </row>
    <row r="48" spans="2:17" ht="14.25" x14ac:dyDescent="0.45">
      <c r="O48" s="39">
        <f t="shared" si="0"/>
        <v>46843</v>
      </c>
      <c r="P48" s="33">
        <v>46825</v>
      </c>
      <c r="Q48" s="34">
        <v>3.6839299999999998E-2</v>
      </c>
    </row>
    <row r="49" spans="15:17" ht="14.25" x14ac:dyDescent="0.45">
      <c r="O49" s="39">
        <f t="shared" si="0"/>
        <v>46873</v>
      </c>
      <c r="P49" s="35">
        <v>46854</v>
      </c>
      <c r="Q49" s="36">
        <v>3.6912300000000002E-2</v>
      </c>
    </row>
    <row r="50" spans="15:17" ht="14.25" x14ac:dyDescent="0.45">
      <c r="O50" s="39">
        <f t="shared" si="0"/>
        <v>46904</v>
      </c>
      <c r="P50" s="33">
        <v>46884</v>
      </c>
      <c r="Q50" s="34">
        <v>3.6993999999999999E-2</v>
      </c>
    </row>
    <row r="51" spans="15:17" ht="14.25" x14ac:dyDescent="0.45">
      <c r="O51" s="39">
        <f t="shared" si="0"/>
        <v>46934</v>
      </c>
      <c r="P51" s="35">
        <v>46916</v>
      </c>
      <c r="Q51" s="36">
        <v>3.7064399999999997E-2</v>
      </c>
    </row>
    <row r="52" spans="15:17" ht="14.25" x14ac:dyDescent="0.45">
      <c r="O52" s="39">
        <f t="shared" si="0"/>
        <v>46965</v>
      </c>
      <c r="P52" s="33">
        <v>46945</v>
      </c>
      <c r="Q52" s="34">
        <v>3.71335E-2</v>
      </c>
    </row>
    <row r="53" spans="15:17" ht="14.25" x14ac:dyDescent="0.45">
      <c r="O53" s="39">
        <f t="shared" si="0"/>
        <v>46996</v>
      </c>
      <c r="P53" s="35">
        <v>46976</v>
      </c>
      <c r="Q53" s="36">
        <v>3.7200499999999997E-2</v>
      </c>
    </row>
    <row r="54" spans="15:17" ht="14.25" x14ac:dyDescent="0.45">
      <c r="O54" s="39">
        <f t="shared" si="0"/>
        <v>47026</v>
      </c>
      <c r="P54" s="33">
        <v>47007</v>
      </c>
      <c r="Q54" s="34">
        <v>3.7261000000000002E-2</v>
      </c>
    </row>
    <row r="55" spans="15:17" ht="14.25" x14ac:dyDescent="0.45">
      <c r="O55" s="39">
        <f t="shared" si="0"/>
        <v>47057</v>
      </c>
      <c r="P55" s="35">
        <v>47037</v>
      </c>
      <c r="Q55" s="36">
        <v>3.7327300000000001E-2</v>
      </c>
    </row>
    <row r="56" spans="15:17" ht="14.25" x14ac:dyDescent="0.45">
      <c r="O56" s="39">
        <f t="shared" si="0"/>
        <v>47087</v>
      </c>
      <c r="P56" s="33">
        <v>47070</v>
      </c>
      <c r="Q56" s="34">
        <v>3.7378399999999999E-2</v>
      </c>
    </row>
    <row r="57" spans="15:17" ht="14.25" x14ac:dyDescent="0.45">
      <c r="O57" s="39">
        <f t="shared" si="0"/>
        <v>47118</v>
      </c>
      <c r="P57" s="35">
        <v>47098</v>
      </c>
      <c r="Q57" s="36">
        <v>3.7428400000000001E-2</v>
      </c>
    </row>
    <row r="58" spans="15:17" ht="14.25" x14ac:dyDescent="0.45">
      <c r="O58" s="39">
        <f t="shared" si="0"/>
        <v>47149</v>
      </c>
      <c r="P58" s="33">
        <v>47129</v>
      </c>
      <c r="Q58" s="34">
        <v>3.7479899999999997E-2</v>
      </c>
    </row>
    <row r="59" spans="15:17" ht="14.25" x14ac:dyDescent="0.45">
      <c r="O59" s="39">
        <f t="shared" si="0"/>
        <v>47177</v>
      </c>
      <c r="P59" s="35">
        <v>47161</v>
      </c>
      <c r="Q59" s="36">
        <v>3.7515800000000002E-2</v>
      </c>
    </row>
    <row r="60" spans="15:17" ht="14.25" x14ac:dyDescent="0.45">
      <c r="O60" s="39">
        <f t="shared" si="0"/>
        <v>47208</v>
      </c>
      <c r="P60" s="33">
        <v>47189</v>
      </c>
      <c r="Q60" s="34">
        <v>3.7561900000000002E-2</v>
      </c>
    </row>
    <row r="61" spans="15:17" ht="14.25" x14ac:dyDescent="0.45">
      <c r="O61" s="39">
        <f t="shared" si="0"/>
        <v>47238</v>
      </c>
      <c r="P61" s="35">
        <v>47219</v>
      </c>
      <c r="Q61" s="36">
        <v>3.7599800000000003E-2</v>
      </c>
    </row>
    <row r="62" spans="15:17" ht="14.25" x14ac:dyDescent="0.45">
      <c r="O62" s="39">
        <f t="shared" si="0"/>
        <v>47269</v>
      </c>
      <c r="P62" s="33">
        <v>47249</v>
      </c>
      <c r="Q62" s="34">
        <v>3.7643299999999998E-2</v>
      </c>
    </row>
    <row r="63" spans="15:17" ht="14.25" x14ac:dyDescent="0.45">
      <c r="O63" s="39">
        <f t="shared" si="0"/>
        <v>47299</v>
      </c>
      <c r="P63" s="35">
        <v>47280</v>
      </c>
      <c r="Q63" s="36">
        <v>3.76832E-2</v>
      </c>
    </row>
    <row r="64" spans="15:17" ht="14.25" x14ac:dyDescent="0.45">
      <c r="O64" s="39">
        <f t="shared" si="0"/>
        <v>47330</v>
      </c>
      <c r="P64" s="33">
        <v>47310</v>
      </c>
      <c r="Q64" s="34">
        <v>3.7732599999999998E-2</v>
      </c>
    </row>
    <row r="65" spans="15:17" ht="14.25" x14ac:dyDescent="0.45">
      <c r="O65" s="39">
        <f t="shared" si="0"/>
        <v>47361</v>
      </c>
      <c r="P65" s="35">
        <v>47343</v>
      </c>
      <c r="Q65" s="36">
        <v>3.7773099999999997E-2</v>
      </c>
    </row>
    <row r="66" spans="15:17" ht="14.25" x14ac:dyDescent="0.45">
      <c r="O66" s="39">
        <f t="shared" si="0"/>
        <v>47391</v>
      </c>
      <c r="P66" s="33">
        <v>47372</v>
      </c>
      <c r="Q66" s="34">
        <v>3.7810999999999997E-2</v>
      </c>
    </row>
    <row r="67" spans="15:17" ht="14.25" x14ac:dyDescent="0.45">
      <c r="O67" s="39">
        <f t="shared" si="0"/>
        <v>47422</v>
      </c>
      <c r="P67" s="35">
        <v>47402</v>
      </c>
      <c r="Q67" s="36">
        <v>3.7861300000000001E-2</v>
      </c>
    </row>
    <row r="68" spans="15:17" ht="14.25" x14ac:dyDescent="0.45">
      <c r="O68" s="39">
        <f t="shared" si="0"/>
        <v>47452</v>
      </c>
      <c r="P68" s="33">
        <v>47435</v>
      </c>
      <c r="Q68" s="34">
        <v>3.7900000000000003E-2</v>
      </c>
    </row>
    <row r="69" spans="15:17" ht="14.25" x14ac:dyDescent="0.45">
      <c r="O69" s="39">
        <f t="shared" si="0"/>
        <v>47483</v>
      </c>
      <c r="P69" s="35">
        <v>47463</v>
      </c>
      <c r="Q69" s="36">
        <v>3.7942700000000003E-2</v>
      </c>
    </row>
    <row r="70" spans="15:17" ht="14.25" x14ac:dyDescent="0.45">
      <c r="O70" s="39">
        <f t="shared" si="0"/>
        <v>47514</v>
      </c>
      <c r="P70" s="33">
        <v>47494</v>
      </c>
      <c r="Q70" s="34">
        <v>3.7987199999999999E-2</v>
      </c>
    </row>
    <row r="71" spans="15:17" ht="14.25" x14ac:dyDescent="0.45">
      <c r="O71" s="39">
        <f t="shared" si="0"/>
        <v>47542</v>
      </c>
      <c r="P71" s="35">
        <v>47525</v>
      </c>
      <c r="Q71" s="36">
        <v>3.8023800000000003E-2</v>
      </c>
    </row>
    <row r="72" spans="15:17" ht="14.25" x14ac:dyDescent="0.45">
      <c r="O72" s="39">
        <f t="shared" si="0"/>
        <v>47573</v>
      </c>
      <c r="P72" s="33">
        <v>47553</v>
      </c>
      <c r="Q72" s="34">
        <v>3.8072599999999998E-2</v>
      </c>
    </row>
    <row r="73" spans="15:17" ht="14.25" x14ac:dyDescent="0.45">
      <c r="O73" s="39">
        <f t="shared" si="0"/>
        <v>47603</v>
      </c>
      <c r="P73" s="35">
        <v>47584</v>
      </c>
      <c r="Q73" s="36">
        <v>3.8119599999999997E-2</v>
      </c>
    </row>
    <row r="74" spans="15:17" ht="14.25" x14ac:dyDescent="0.45">
      <c r="O74" s="39">
        <f t="shared" si="0"/>
        <v>47634</v>
      </c>
      <c r="P74" s="33">
        <v>47616</v>
      </c>
      <c r="Q74" s="34">
        <v>3.8161800000000003E-2</v>
      </c>
    </row>
    <row r="75" spans="15:17" ht="14.25" x14ac:dyDescent="0.45">
      <c r="O75" s="39">
        <f t="shared" si="0"/>
        <v>47664</v>
      </c>
      <c r="P75" s="35">
        <v>47645</v>
      </c>
      <c r="Q75" s="36">
        <v>3.81991E-2</v>
      </c>
    </row>
    <row r="76" spans="15:17" ht="14.25" x14ac:dyDescent="0.45">
      <c r="O76" s="39">
        <f t="shared" si="0"/>
        <v>47695</v>
      </c>
      <c r="P76" s="33">
        <v>47675</v>
      </c>
      <c r="Q76" s="34">
        <v>3.82452E-2</v>
      </c>
    </row>
    <row r="77" spans="15:17" ht="14.25" x14ac:dyDescent="0.45">
      <c r="O77" s="39">
        <f t="shared" ref="O77:O132" si="1">EOMONTH(P77,0)</f>
        <v>47726</v>
      </c>
      <c r="P77" s="35">
        <v>47707</v>
      </c>
      <c r="Q77" s="36">
        <v>3.8285199999999998E-2</v>
      </c>
    </row>
    <row r="78" spans="15:17" ht="14.25" x14ac:dyDescent="0.45">
      <c r="O78" s="39">
        <f t="shared" si="1"/>
        <v>47756</v>
      </c>
      <c r="P78" s="33">
        <v>47737</v>
      </c>
      <c r="Q78" s="34">
        <v>3.83217E-2</v>
      </c>
    </row>
    <row r="79" spans="15:17" ht="14.25" x14ac:dyDescent="0.45">
      <c r="O79" s="39">
        <f t="shared" si="1"/>
        <v>47787</v>
      </c>
      <c r="P79" s="35">
        <v>47767</v>
      </c>
      <c r="Q79" s="36">
        <v>3.83656E-2</v>
      </c>
    </row>
    <row r="80" spans="15:17" ht="14.25" x14ac:dyDescent="0.45">
      <c r="O80" s="39">
        <f t="shared" si="1"/>
        <v>47817</v>
      </c>
      <c r="P80" s="33">
        <v>47799</v>
      </c>
      <c r="Q80" s="34">
        <v>3.84006E-2</v>
      </c>
    </row>
    <row r="81" spans="15:17" ht="14.25" x14ac:dyDescent="0.45">
      <c r="O81" s="39">
        <f t="shared" si="1"/>
        <v>47848</v>
      </c>
      <c r="P81" s="35">
        <v>47828</v>
      </c>
      <c r="Q81" s="36">
        <v>3.8444399999999997E-2</v>
      </c>
    </row>
    <row r="82" spans="15:17" ht="14.25" x14ac:dyDescent="0.45">
      <c r="O82" s="39">
        <f t="shared" si="1"/>
        <v>47879</v>
      </c>
      <c r="P82" s="33">
        <v>47861</v>
      </c>
      <c r="Q82" s="34">
        <v>3.8479100000000002E-2</v>
      </c>
    </row>
    <row r="83" spans="15:17" ht="14.25" x14ac:dyDescent="0.45">
      <c r="O83" s="39">
        <f t="shared" si="1"/>
        <v>47907</v>
      </c>
      <c r="P83" s="35">
        <v>47890</v>
      </c>
      <c r="Q83" s="36">
        <v>3.8505600000000001E-2</v>
      </c>
    </row>
    <row r="84" spans="15:17" ht="14.25" x14ac:dyDescent="0.45">
      <c r="O84" s="39">
        <f t="shared" si="1"/>
        <v>47938</v>
      </c>
      <c r="P84" s="33">
        <v>47918</v>
      </c>
      <c r="Q84" s="34">
        <v>3.8553999999999998E-2</v>
      </c>
    </row>
    <row r="85" spans="15:17" ht="14.25" x14ac:dyDescent="0.45">
      <c r="O85" s="39">
        <f t="shared" si="1"/>
        <v>47968</v>
      </c>
      <c r="P85" s="35">
        <v>47952</v>
      </c>
      <c r="Q85" s="36">
        <v>3.8582199999999997E-2</v>
      </c>
    </row>
    <row r="86" spans="15:17" ht="14.25" x14ac:dyDescent="0.45">
      <c r="O86" s="39">
        <f t="shared" si="1"/>
        <v>47999</v>
      </c>
      <c r="P86" s="33">
        <v>47980</v>
      </c>
      <c r="Q86" s="34">
        <v>3.86161E-2</v>
      </c>
    </row>
    <row r="87" spans="15:17" ht="14.25" x14ac:dyDescent="0.45">
      <c r="O87" s="39">
        <f t="shared" si="1"/>
        <v>48029</v>
      </c>
      <c r="P87" s="35">
        <v>48010</v>
      </c>
      <c r="Q87" s="36">
        <v>3.8646199999999999E-2</v>
      </c>
    </row>
    <row r="88" spans="15:17" ht="14.25" x14ac:dyDescent="0.45">
      <c r="O88" s="39">
        <f t="shared" si="1"/>
        <v>48060</v>
      </c>
      <c r="P88" s="33">
        <v>48040</v>
      </c>
      <c r="Q88" s="34">
        <v>3.8680899999999997E-2</v>
      </c>
    </row>
    <row r="89" spans="15:17" ht="14.25" x14ac:dyDescent="0.45">
      <c r="O89" s="39">
        <f t="shared" si="1"/>
        <v>48091</v>
      </c>
      <c r="P89" s="35">
        <v>48071</v>
      </c>
      <c r="Q89" s="36">
        <v>3.8713200000000003E-2</v>
      </c>
    </row>
    <row r="90" spans="15:17" ht="14.25" x14ac:dyDescent="0.45">
      <c r="O90" s="39">
        <f t="shared" si="1"/>
        <v>48121</v>
      </c>
      <c r="P90" s="33">
        <v>48102</v>
      </c>
      <c r="Q90" s="34">
        <v>3.875E-2</v>
      </c>
    </row>
    <row r="91" spans="15:17" ht="14.25" x14ac:dyDescent="0.45">
      <c r="O91" s="39">
        <f t="shared" si="1"/>
        <v>48152</v>
      </c>
      <c r="P91" s="35">
        <v>48135</v>
      </c>
      <c r="Q91" s="36">
        <v>3.8777699999999998E-2</v>
      </c>
    </row>
    <row r="92" spans="15:17" ht="14.25" x14ac:dyDescent="0.45">
      <c r="O92" s="39">
        <f t="shared" si="1"/>
        <v>48182</v>
      </c>
      <c r="P92" s="33">
        <v>48164</v>
      </c>
      <c r="Q92" s="34">
        <v>3.8803200000000003E-2</v>
      </c>
    </row>
    <row r="93" spans="15:17" ht="14.25" x14ac:dyDescent="0.45">
      <c r="O93" s="39">
        <f t="shared" si="1"/>
        <v>48213</v>
      </c>
      <c r="P93" s="35">
        <v>48193</v>
      </c>
      <c r="Q93" s="36">
        <v>3.8835799999999997E-2</v>
      </c>
    </row>
    <row r="94" spans="15:17" ht="14.25" x14ac:dyDescent="0.45">
      <c r="O94" s="39">
        <f t="shared" si="1"/>
        <v>48244</v>
      </c>
      <c r="P94" s="33">
        <v>48225</v>
      </c>
      <c r="Q94" s="34">
        <v>3.8862800000000003E-2</v>
      </c>
    </row>
    <row r="95" spans="15:17" ht="14.25" x14ac:dyDescent="0.45">
      <c r="O95" s="39">
        <f t="shared" si="1"/>
        <v>48273</v>
      </c>
      <c r="P95" s="35">
        <v>48255</v>
      </c>
      <c r="Q95" s="36">
        <v>3.8884700000000001E-2</v>
      </c>
    </row>
    <row r="96" spans="15:17" ht="14.25" x14ac:dyDescent="0.45">
      <c r="O96" s="39">
        <f t="shared" si="1"/>
        <v>48304</v>
      </c>
      <c r="P96" s="33">
        <v>48284</v>
      </c>
      <c r="Q96" s="34">
        <v>3.8917899999999998E-2</v>
      </c>
    </row>
    <row r="97" spans="15:17" ht="14.25" x14ac:dyDescent="0.45">
      <c r="O97" s="39">
        <f t="shared" si="1"/>
        <v>48334</v>
      </c>
      <c r="P97" s="35">
        <v>48316</v>
      </c>
      <c r="Q97" s="36">
        <v>3.8941400000000001E-2</v>
      </c>
    </row>
    <row r="98" spans="15:17" ht="14.25" x14ac:dyDescent="0.45">
      <c r="O98" s="39">
        <f t="shared" si="1"/>
        <v>48365</v>
      </c>
      <c r="P98" s="33">
        <v>48345</v>
      </c>
      <c r="Q98" s="34">
        <v>3.8970400000000002E-2</v>
      </c>
    </row>
    <row r="99" spans="15:17" ht="14.25" x14ac:dyDescent="0.45">
      <c r="O99" s="39">
        <f t="shared" si="1"/>
        <v>48395</v>
      </c>
      <c r="P99" s="35">
        <v>48376</v>
      </c>
      <c r="Q99" s="36">
        <v>3.8999300000000001E-2</v>
      </c>
    </row>
    <row r="100" spans="15:17" ht="14.25" x14ac:dyDescent="0.45">
      <c r="O100" s="39">
        <f t="shared" si="1"/>
        <v>48426</v>
      </c>
      <c r="P100" s="33">
        <v>48407</v>
      </c>
      <c r="Q100" s="34">
        <v>3.9028599999999997E-2</v>
      </c>
    </row>
    <row r="101" spans="15:17" ht="14.25" x14ac:dyDescent="0.45">
      <c r="O101" s="39">
        <f t="shared" si="1"/>
        <v>48457</v>
      </c>
      <c r="P101" s="35">
        <v>48437</v>
      </c>
      <c r="Q101" s="36">
        <v>3.9062800000000002E-2</v>
      </c>
    </row>
    <row r="102" spans="15:17" ht="14.25" x14ac:dyDescent="0.45">
      <c r="O102" s="39">
        <f t="shared" si="1"/>
        <v>48487</v>
      </c>
      <c r="P102" s="33">
        <v>48470</v>
      </c>
      <c r="Q102" s="34">
        <v>3.9087499999999997E-2</v>
      </c>
    </row>
    <row r="103" spans="15:17" ht="14.25" x14ac:dyDescent="0.45">
      <c r="O103" s="39">
        <f t="shared" si="1"/>
        <v>48518</v>
      </c>
      <c r="P103" s="35">
        <v>48499</v>
      </c>
      <c r="Q103" s="36">
        <v>3.9119099999999997E-2</v>
      </c>
    </row>
    <row r="104" spans="15:17" ht="14.25" x14ac:dyDescent="0.45">
      <c r="O104" s="39">
        <f t="shared" si="1"/>
        <v>48548</v>
      </c>
      <c r="P104" s="33">
        <v>48530</v>
      </c>
      <c r="Q104" s="34">
        <v>3.9150699999999997E-2</v>
      </c>
    </row>
    <row r="105" spans="15:17" ht="14.25" x14ac:dyDescent="0.45">
      <c r="O105" s="39">
        <f t="shared" si="1"/>
        <v>48579</v>
      </c>
      <c r="P105" s="35">
        <v>48561</v>
      </c>
      <c r="Q105" s="36">
        <v>3.91829E-2</v>
      </c>
    </row>
    <row r="106" spans="15:17" ht="14.25" x14ac:dyDescent="0.45">
      <c r="O106" s="39">
        <f t="shared" si="1"/>
        <v>48610</v>
      </c>
      <c r="P106" s="33">
        <v>48590</v>
      </c>
      <c r="Q106" s="34">
        <v>3.9213499999999998E-2</v>
      </c>
    </row>
    <row r="107" spans="15:17" ht="14.25" x14ac:dyDescent="0.45">
      <c r="O107" s="39">
        <f t="shared" si="1"/>
        <v>48638</v>
      </c>
      <c r="P107" s="35">
        <v>48621</v>
      </c>
      <c r="Q107" s="36">
        <v>3.9238700000000001E-2</v>
      </c>
    </row>
    <row r="108" spans="15:17" ht="14.25" x14ac:dyDescent="0.45">
      <c r="O108" s="39">
        <f t="shared" si="1"/>
        <v>48669</v>
      </c>
      <c r="P108" s="33">
        <v>48649</v>
      </c>
      <c r="Q108" s="34">
        <v>3.9277300000000001E-2</v>
      </c>
    </row>
    <row r="109" spans="15:17" ht="14.25" x14ac:dyDescent="0.45">
      <c r="O109" s="39">
        <f t="shared" si="1"/>
        <v>48699</v>
      </c>
      <c r="P109" s="35">
        <v>48680</v>
      </c>
      <c r="Q109" s="36">
        <v>3.9308900000000001E-2</v>
      </c>
    </row>
    <row r="110" spans="15:17" ht="14.25" x14ac:dyDescent="0.45">
      <c r="O110" s="39">
        <f t="shared" si="1"/>
        <v>48730</v>
      </c>
      <c r="P110" s="33">
        <v>48710</v>
      </c>
      <c r="Q110" s="34">
        <v>3.9350799999999998E-2</v>
      </c>
    </row>
    <row r="111" spans="15:17" ht="14.25" x14ac:dyDescent="0.45">
      <c r="O111" s="39">
        <f t="shared" si="1"/>
        <v>48760</v>
      </c>
      <c r="P111" s="35">
        <v>48743</v>
      </c>
      <c r="Q111" s="36">
        <v>3.93803E-2</v>
      </c>
    </row>
    <row r="112" spans="15:17" ht="14.25" x14ac:dyDescent="0.45">
      <c r="O112" s="39">
        <f t="shared" si="1"/>
        <v>48791</v>
      </c>
      <c r="P112" s="33">
        <v>48771</v>
      </c>
      <c r="Q112" s="34">
        <v>3.9415600000000002E-2</v>
      </c>
    </row>
    <row r="113" spans="15:17" ht="14.25" x14ac:dyDescent="0.45">
      <c r="O113" s="39">
        <f t="shared" si="1"/>
        <v>48822</v>
      </c>
      <c r="P113" s="35">
        <v>48802</v>
      </c>
      <c r="Q113" s="36">
        <v>3.9454799999999998E-2</v>
      </c>
    </row>
    <row r="114" spans="15:17" ht="14.25" x14ac:dyDescent="0.45">
      <c r="O114" s="39">
        <f t="shared" si="1"/>
        <v>48852</v>
      </c>
      <c r="P114" s="33">
        <v>48834</v>
      </c>
      <c r="Q114" s="34">
        <v>3.9487599999999998E-2</v>
      </c>
    </row>
    <row r="115" spans="15:17" ht="14.25" x14ac:dyDescent="0.45">
      <c r="O115" s="39">
        <f t="shared" si="1"/>
        <v>48883</v>
      </c>
      <c r="P115" s="35">
        <v>48863</v>
      </c>
      <c r="Q115" s="36">
        <v>3.9533899999999997E-2</v>
      </c>
    </row>
    <row r="116" spans="15:17" ht="14.25" x14ac:dyDescent="0.45">
      <c r="O116" s="39">
        <f t="shared" si="1"/>
        <v>48913</v>
      </c>
      <c r="P116" s="33">
        <v>48897</v>
      </c>
      <c r="Q116" s="34">
        <v>3.9564700000000001E-2</v>
      </c>
    </row>
    <row r="117" spans="15:17" ht="14.25" x14ac:dyDescent="0.45">
      <c r="O117" s="39">
        <f t="shared" si="1"/>
        <v>48944</v>
      </c>
      <c r="P117" s="35">
        <v>48925</v>
      </c>
      <c r="Q117" s="36">
        <v>3.9602499999999999E-2</v>
      </c>
    </row>
    <row r="118" spans="15:17" ht="14.25" x14ac:dyDescent="0.45">
      <c r="O118" s="39">
        <f t="shared" si="1"/>
        <v>48975</v>
      </c>
      <c r="P118" s="33">
        <v>48955</v>
      </c>
      <c r="Q118" s="34">
        <v>3.9646199999999999E-2</v>
      </c>
    </row>
    <row r="119" spans="15:17" ht="14.25" x14ac:dyDescent="0.45">
      <c r="O119" s="39">
        <f t="shared" si="1"/>
        <v>49003</v>
      </c>
      <c r="P119" s="35">
        <v>48988</v>
      </c>
      <c r="Q119" s="36">
        <v>3.9674500000000001E-2</v>
      </c>
    </row>
    <row r="120" spans="15:17" ht="14.25" x14ac:dyDescent="0.45">
      <c r="O120" s="39">
        <f t="shared" si="1"/>
        <v>49034</v>
      </c>
      <c r="P120" s="33">
        <v>49016</v>
      </c>
      <c r="Q120" s="34">
        <v>3.9719499999999998E-2</v>
      </c>
    </row>
    <row r="121" spans="15:17" ht="14.25" x14ac:dyDescent="0.45">
      <c r="O121" s="39">
        <f t="shared" si="1"/>
        <v>49064</v>
      </c>
      <c r="P121" s="35">
        <v>49045</v>
      </c>
      <c r="Q121" s="36">
        <v>3.9754999999999999E-2</v>
      </c>
    </row>
    <row r="122" spans="15:17" ht="14.25" x14ac:dyDescent="0.45">
      <c r="O122" s="39">
        <f t="shared" si="1"/>
        <v>49095</v>
      </c>
      <c r="P122" s="33">
        <v>49075</v>
      </c>
      <c r="Q122" s="34">
        <v>3.9800799999999997E-2</v>
      </c>
    </row>
    <row r="123" spans="15:17" ht="14.25" x14ac:dyDescent="0.45">
      <c r="O123" s="39">
        <f t="shared" si="1"/>
        <v>49125</v>
      </c>
      <c r="P123" s="35">
        <v>49107</v>
      </c>
      <c r="Q123" s="36">
        <v>3.9838499999999999E-2</v>
      </c>
    </row>
    <row r="124" spans="15:17" ht="14.25" x14ac:dyDescent="0.45">
      <c r="O124" s="39">
        <f t="shared" si="1"/>
        <v>49156</v>
      </c>
      <c r="P124" s="33">
        <v>49136</v>
      </c>
      <c r="Q124" s="34">
        <v>3.9881199999999999E-2</v>
      </c>
    </row>
    <row r="125" spans="15:17" ht="14.25" x14ac:dyDescent="0.45">
      <c r="O125" s="39">
        <f t="shared" si="1"/>
        <v>49187</v>
      </c>
      <c r="P125" s="35">
        <v>49167</v>
      </c>
      <c r="Q125" s="36">
        <v>3.9924300000000003E-2</v>
      </c>
    </row>
    <row r="126" spans="15:17" ht="14.25" x14ac:dyDescent="0.45">
      <c r="O126" s="39">
        <f t="shared" si="1"/>
        <v>49217</v>
      </c>
      <c r="P126" s="33">
        <v>49198</v>
      </c>
      <c r="Q126" s="34">
        <v>3.9965100000000003E-2</v>
      </c>
    </row>
    <row r="127" spans="15:17" ht="14.25" x14ac:dyDescent="0.45">
      <c r="O127" s="39">
        <f t="shared" si="1"/>
        <v>49248</v>
      </c>
      <c r="P127" s="35">
        <v>49228</v>
      </c>
      <c r="Q127" s="36">
        <v>4.0016700000000002E-2</v>
      </c>
    </row>
    <row r="128" spans="15:17" ht="14.25" x14ac:dyDescent="0.45">
      <c r="O128" s="39">
        <f t="shared" si="1"/>
        <v>49278</v>
      </c>
      <c r="P128" s="33">
        <v>49261</v>
      </c>
      <c r="Q128" s="34">
        <v>4.0055599999999997E-2</v>
      </c>
    </row>
    <row r="129" spans="15:17" ht="14.25" x14ac:dyDescent="0.45">
      <c r="O129" s="39">
        <f t="shared" si="1"/>
        <v>49309</v>
      </c>
      <c r="P129" s="35">
        <v>49289</v>
      </c>
      <c r="Q129" s="36">
        <v>4.0099500000000003E-2</v>
      </c>
    </row>
    <row r="130" spans="15:17" ht="14.25" x14ac:dyDescent="0.45">
      <c r="O130" s="39">
        <f t="shared" si="1"/>
        <v>49340</v>
      </c>
      <c r="P130" s="33">
        <v>49320</v>
      </c>
      <c r="Q130" s="34">
        <v>4.0148400000000001E-2</v>
      </c>
    </row>
    <row r="131" spans="15:17" ht="14.25" x14ac:dyDescent="0.45">
      <c r="O131" s="39">
        <f t="shared" si="1"/>
        <v>49368</v>
      </c>
      <c r="P131" s="35">
        <v>49352</v>
      </c>
      <c r="Q131" s="36">
        <v>4.0184400000000002E-2</v>
      </c>
    </row>
    <row r="132" spans="15:17" ht="14.25" x14ac:dyDescent="0.45">
      <c r="O132" s="39">
        <f t="shared" si="1"/>
        <v>49399</v>
      </c>
      <c r="P132" s="33">
        <v>49380</v>
      </c>
      <c r="Q132" s="34">
        <v>4.02355E-2</v>
      </c>
    </row>
  </sheetData>
  <hyperlinks>
    <hyperlink ref="B36" r:id="rId1" tooltip="Click to visit Chatham Rates" xr:uid="{B4287C72-5160-44D9-A42B-09691F24896C}"/>
  </hyperlinks>
  <pageMargins left="0.75" right="0.75" top="1" bottom="1" header="0.5" footer="0.5"/>
  <pageSetup orientation="portrait" r:id="rId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2C5EA-40E1-43AF-AC20-936467BE3E74}">
  <sheetPr>
    <tabColor theme="1"/>
  </sheetPr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CB8F0-9225-49CD-AA6C-3523F041286C}">
  <sheetPr>
    <tabColor theme="1"/>
    <pageSetUpPr fitToPage="1"/>
  </sheetPr>
  <dimension ref="A1:L40"/>
  <sheetViews>
    <sheetView zoomScale="82" zoomScaleNormal="96" workbookViewId="0">
      <selection activeCell="L2" sqref="L2"/>
    </sheetView>
  </sheetViews>
  <sheetFormatPr defaultColWidth="9.1328125" defaultRowHeight="13.15" x14ac:dyDescent="0.4"/>
  <cols>
    <col min="1" max="1" width="9.1328125" style="430"/>
    <col min="2" max="2" width="33.1328125" style="431" customWidth="1"/>
    <col min="3" max="3" width="15.1328125" style="431" customWidth="1"/>
    <col min="4" max="4" width="14.3984375" style="432" customWidth="1"/>
    <col min="5" max="5" width="13.3984375" style="430" customWidth="1"/>
    <col min="6" max="6" width="26.3984375" style="430" customWidth="1"/>
    <col min="7" max="7" width="22.265625" style="430" customWidth="1"/>
    <col min="8" max="8" width="31.3984375" style="430" customWidth="1"/>
    <col min="9" max="9" width="18.265625" style="430" customWidth="1"/>
    <col min="10" max="10" width="19.1328125" style="430" customWidth="1"/>
    <col min="11" max="11" width="9.1328125" style="430"/>
    <col min="12" max="12" width="14.86328125" style="430" customWidth="1"/>
    <col min="13" max="16384" width="9.1328125" style="430"/>
  </cols>
  <sheetData>
    <row r="1" spans="1:10" s="428" customFormat="1" ht="30.6" customHeight="1" thickBot="1" x14ac:dyDescent="0.5">
      <c r="A1" s="553" t="s">
        <v>439</v>
      </c>
      <c r="B1" s="554"/>
      <c r="D1" s="429"/>
    </row>
    <row r="2" spans="1:10" ht="13.5" thickBot="1" x14ac:dyDescent="0.45"/>
    <row r="3" spans="1:10" ht="15" customHeight="1" thickBot="1" x14ac:dyDescent="0.45">
      <c r="C3" s="433" t="s">
        <v>373</v>
      </c>
      <c r="D3" s="434">
        <f>G7</f>
        <v>78</v>
      </c>
      <c r="F3" s="555" t="s">
        <v>374</v>
      </c>
      <c r="G3" s="556"/>
      <c r="H3" s="556"/>
      <c r="I3" s="556"/>
      <c r="J3" s="556"/>
    </row>
    <row r="4" spans="1:10" ht="13.5" thickBot="1" x14ac:dyDescent="0.45">
      <c r="B4" s="510" t="s">
        <v>375</v>
      </c>
      <c r="C4" s="511" t="s">
        <v>376</v>
      </c>
      <c r="D4" s="512" t="s">
        <v>377</v>
      </c>
      <c r="F4" s="513" t="s">
        <v>378</v>
      </c>
      <c r="G4" s="514" t="s">
        <v>373</v>
      </c>
      <c r="H4" s="514" t="s">
        <v>248</v>
      </c>
      <c r="I4" s="514" t="s">
        <v>379</v>
      </c>
      <c r="J4" s="515" t="s">
        <v>380</v>
      </c>
    </row>
    <row r="5" spans="1:10" x14ac:dyDescent="0.4">
      <c r="B5" s="435" t="s">
        <v>381</v>
      </c>
      <c r="C5" s="436">
        <f t="shared" ref="C5:C11" si="0">D5/$D$3</f>
        <v>27969.23076923077</v>
      </c>
      <c r="D5" s="437">
        <f>J7*12</f>
        <v>2181600</v>
      </c>
      <c r="F5" s="438" t="s">
        <v>382</v>
      </c>
      <c r="G5" s="439">
        <v>72</v>
      </c>
      <c r="H5" s="440" t="s">
        <v>440</v>
      </c>
      <c r="I5" s="441">
        <v>1544</v>
      </c>
      <c r="J5" s="442">
        <v>2300</v>
      </c>
    </row>
    <row r="6" spans="1:10" x14ac:dyDescent="0.4">
      <c r="B6" s="443" t="s">
        <v>383</v>
      </c>
      <c r="C6" s="444">
        <f t="shared" si="0"/>
        <v>-9120.5169230769188</v>
      </c>
      <c r="D6" s="445">
        <f>D7-D5</f>
        <v>-711400.3199999996</v>
      </c>
      <c r="F6" s="438" t="s">
        <v>384</v>
      </c>
      <c r="G6" s="439">
        <v>6</v>
      </c>
      <c r="H6" s="440" t="s">
        <v>441</v>
      </c>
      <c r="I6" s="440">
        <v>1891</v>
      </c>
      <c r="J6" s="446">
        <v>2700</v>
      </c>
    </row>
    <row r="7" spans="1:10" x14ac:dyDescent="0.4">
      <c r="B7" s="447" t="s">
        <v>385</v>
      </c>
      <c r="C7" s="448">
        <f t="shared" si="0"/>
        <v>18848.713846153853</v>
      </c>
      <c r="D7" s="449">
        <f>H7*12</f>
        <v>1470199.6800000004</v>
      </c>
      <c r="F7" s="453" t="s">
        <v>389</v>
      </c>
      <c r="G7" s="454">
        <f>SUM(G5:G6)</f>
        <v>78</v>
      </c>
      <c r="H7" s="455">
        <f>'Rent Roll'!C81</f>
        <v>122516.64000000003</v>
      </c>
      <c r="I7" s="456"/>
      <c r="J7" s="457">
        <f>'Rent Roll'!E81</f>
        <v>181800</v>
      </c>
    </row>
    <row r="8" spans="1:10" ht="13.5" thickBot="1" x14ac:dyDescent="0.45">
      <c r="B8" s="450" t="s">
        <v>387</v>
      </c>
      <c r="C8" s="444">
        <f t="shared" si="0"/>
        <v>-565.46141538461552</v>
      </c>
      <c r="D8" s="451">
        <f>-(D7)*3%</f>
        <v>-44105.99040000001</v>
      </c>
      <c r="F8" s="460" t="s">
        <v>334</v>
      </c>
      <c r="G8" s="461"/>
      <c r="H8" s="462"/>
      <c r="I8" s="463">
        <f>H7/G7</f>
        <v>1570.7261538461541</v>
      </c>
      <c r="J8" s="464">
        <f>J7/G7</f>
        <v>2330.7692307692309</v>
      </c>
    </row>
    <row r="9" spans="1:10" x14ac:dyDescent="0.4">
      <c r="B9" s="447" t="s">
        <v>388</v>
      </c>
      <c r="C9" s="448">
        <f t="shared" si="0"/>
        <v>18283.252430769237</v>
      </c>
      <c r="D9" s="452">
        <f>SUM(D7:D8)</f>
        <v>1426093.6896000004</v>
      </c>
    </row>
    <row r="10" spans="1:10" x14ac:dyDescent="0.4">
      <c r="B10" s="450" t="s">
        <v>442</v>
      </c>
      <c r="C10" s="444">
        <f t="shared" si="0"/>
        <v>591.53846153846155</v>
      </c>
      <c r="D10" s="516">
        <f>'Rent Roll'!D81*12</f>
        <v>46140</v>
      </c>
    </row>
    <row r="11" spans="1:10" x14ac:dyDescent="0.4">
      <c r="B11" s="458" t="s">
        <v>390</v>
      </c>
      <c r="C11" s="444">
        <f t="shared" si="0"/>
        <v>137.5</v>
      </c>
      <c r="D11" s="459">
        <v>10725</v>
      </c>
    </row>
    <row r="12" spans="1:10" ht="13.5" thickBot="1" x14ac:dyDescent="0.45">
      <c r="B12" s="447" t="s">
        <v>391</v>
      </c>
      <c r="C12" s="449">
        <f>SUM(C9:C10)</f>
        <v>18874.790892307698</v>
      </c>
      <c r="D12" s="449">
        <f>SUM(D9:D11)</f>
        <v>1482958.6896000004</v>
      </c>
    </row>
    <row r="13" spans="1:10" x14ac:dyDescent="0.4">
      <c r="B13" s="465"/>
      <c r="C13" s="466"/>
      <c r="D13" s="467"/>
      <c r="F13" s="557" t="s">
        <v>339</v>
      </c>
      <c r="G13" s="558"/>
      <c r="H13" s="559"/>
      <c r="I13" s="468"/>
      <c r="J13" s="468"/>
    </row>
    <row r="14" spans="1:10" x14ac:dyDescent="0.4">
      <c r="B14" s="517" t="s">
        <v>392</v>
      </c>
      <c r="C14" s="518" t="s">
        <v>376</v>
      </c>
      <c r="D14" s="519" t="s">
        <v>377</v>
      </c>
      <c r="F14" s="550" t="s">
        <v>394</v>
      </c>
      <c r="G14" s="551"/>
      <c r="H14" s="552"/>
      <c r="I14" s="468"/>
      <c r="J14" s="468"/>
    </row>
    <row r="15" spans="1:10" x14ac:dyDescent="0.4">
      <c r="B15" s="443" t="s">
        <v>393</v>
      </c>
      <c r="C15" s="469">
        <f>D15/$D$3</f>
        <v>3594.7179487179487</v>
      </c>
      <c r="D15" s="470">
        <v>280388</v>
      </c>
      <c r="F15" s="438" t="s">
        <v>395</v>
      </c>
      <c r="G15" s="544" t="s">
        <v>396</v>
      </c>
      <c r="H15" s="545"/>
      <c r="I15" s="471"/>
      <c r="J15" s="520"/>
    </row>
    <row r="16" spans="1:10" x14ac:dyDescent="0.4">
      <c r="B16" s="443" t="s">
        <v>86</v>
      </c>
      <c r="C16" s="469">
        <f t="shared" ref="C16:C22" si="1">D16/$D$3</f>
        <v>750</v>
      </c>
      <c r="D16" s="470">
        <f>750*D3</f>
        <v>58500</v>
      </c>
      <c r="F16" s="438" t="s">
        <v>385</v>
      </c>
      <c r="G16" s="544" t="s">
        <v>396</v>
      </c>
      <c r="H16" s="545"/>
      <c r="I16" s="471"/>
      <c r="J16" s="520"/>
    </row>
    <row r="17" spans="2:12" x14ac:dyDescent="0.4">
      <c r="B17" s="443" t="s">
        <v>443</v>
      </c>
      <c r="C17" s="469">
        <f t="shared" si="1"/>
        <v>500</v>
      </c>
      <c r="D17" s="470">
        <f>500*D3</f>
        <v>39000</v>
      </c>
      <c r="F17" s="438" t="s">
        <v>62</v>
      </c>
      <c r="G17" s="548" t="s">
        <v>397</v>
      </c>
      <c r="H17" s="549"/>
      <c r="I17" s="471"/>
      <c r="J17" s="520"/>
    </row>
    <row r="18" spans="2:12" x14ac:dyDescent="0.4">
      <c r="B18" s="443" t="s">
        <v>444</v>
      </c>
      <c r="C18" s="469">
        <f t="shared" si="1"/>
        <v>863.89371794871806</v>
      </c>
      <c r="D18" s="472">
        <v>67383.710000000006</v>
      </c>
      <c r="F18" s="438" t="s">
        <v>442</v>
      </c>
      <c r="G18" s="544" t="s">
        <v>396</v>
      </c>
      <c r="H18" s="545"/>
      <c r="I18" s="473"/>
      <c r="J18" s="474"/>
    </row>
    <row r="19" spans="2:12" x14ac:dyDescent="0.4">
      <c r="B19" s="458" t="s">
        <v>398</v>
      </c>
      <c r="C19" s="469">
        <f t="shared" si="1"/>
        <v>78.701153846153844</v>
      </c>
      <c r="D19" s="459">
        <v>6138.69</v>
      </c>
      <c r="F19" s="550" t="s">
        <v>399</v>
      </c>
      <c r="G19" s="551"/>
      <c r="H19" s="552"/>
      <c r="L19" s="475"/>
    </row>
    <row r="20" spans="2:12" x14ac:dyDescent="0.4">
      <c r="B20" s="450" t="s">
        <v>445</v>
      </c>
      <c r="C20" s="469">
        <f t="shared" si="1"/>
        <v>600.89743589743591</v>
      </c>
      <c r="D20" s="472">
        <v>46870</v>
      </c>
      <c r="F20" s="438" t="s">
        <v>393</v>
      </c>
      <c r="G20" s="544" t="s">
        <v>401</v>
      </c>
      <c r="H20" s="545"/>
      <c r="L20" s="475"/>
    </row>
    <row r="21" spans="2:12" x14ac:dyDescent="0.4">
      <c r="B21" s="450" t="s">
        <v>400</v>
      </c>
      <c r="C21" s="469">
        <f t="shared" si="1"/>
        <v>500</v>
      </c>
      <c r="D21" s="472">
        <f>500*D3</f>
        <v>39000</v>
      </c>
      <c r="F21" s="438" t="s">
        <v>118</v>
      </c>
      <c r="G21" s="544" t="s">
        <v>406</v>
      </c>
      <c r="H21" s="545"/>
    </row>
    <row r="22" spans="2:12" x14ac:dyDescent="0.4">
      <c r="B22" s="450" t="s">
        <v>118</v>
      </c>
      <c r="C22" s="469">
        <f t="shared" si="1"/>
        <v>548.49757292307709</v>
      </c>
      <c r="D22" s="472">
        <f>0.03*D9</f>
        <v>42782.810688000012</v>
      </c>
      <c r="F22" s="438" t="s">
        <v>90</v>
      </c>
      <c r="G22" s="544" t="s">
        <v>402</v>
      </c>
      <c r="H22" s="545"/>
    </row>
    <row r="23" spans="2:12" x14ac:dyDescent="0.4">
      <c r="B23" s="447" t="s">
        <v>403</v>
      </c>
      <c r="C23" s="476">
        <f>SUM(C15:C22)</f>
        <v>7436.7078293333343</v>
      </c>
      <c r="D23" s="477">
        <f>SUM(D15:D22)</f>
        <v>580063.21068800008</v>
      </c>
      <c r="F23" s="438" t="s">
        <v>86</v>
      </c>
      <c r="G23" s="544" t="s">
        <v>402</v>
      </c>
      <c r="H23" s="545"/>
    </row>
    <row r="24" spans="2:12" x14ac:dyDescent="0.4">
      <c r="B24" s="447" t="s">
        <v>345</v>
      </c>
      <c r="C24" s="478">
        <f>C12-C23</f>
        <v>11438.083062974363</v>
      </c>
      <c r="D24" s="479">
        <f>D12-D23</f>
        <v>902895.47891200031</v>
      </c>
      <c r="F24" s="438" t="s">
        <v>443</v>
      </c>
      <c r="G24" s="544" t="s">
        <v>402</v>
      </c>
      <c r="H24" s="545"/>
    </row>
    <row r="25" spans="2:12" ht="13.5" thickBot="1" x14ac:dyDescent="0.45">
      <c r="B25" s="480" t="s">
        <v>404</v>
      </c>
      <c r="C25" s="481"/>
      <c r="D25" s="482">
        <f>-D6</f>
        <v>711400.3199999996</v>
      </c>
      <c r="F25" s="486" t="s">
        <v>446</v>
      </c>
      <c r="G25" s="546" t="s">
        <v>447</v>
      </c>
      <c r="H25" s="547"/>
    </row>
    <row r="26" spans="2:12" ht="13.5" thickBot="1" x14ac:dyDescent="0.45">
      <c r="B26" s="483" t="s">
        <v>405</v>
      </c>
      <c r="C26" s="484">
        <f>D26/D3</f>
        <v>20696.099986051282</v>
      </c>
      <c r="D26" s="485">
        <f>SUM(D24:D25)</f>
        <v>1614295.7989119999</v>
      </c>
    </row>
    <row r="27" spans="2:12" ht="15" customHeight="1" x14ac:dyDescent="0.4"/>
    <row r="28" spans="2:12" x14ac:dyDescent="0.4">
      <c r="F28" s="487"/>
      <c r="G28" s="487"/>
      <c r="H28" s="487"/>
    </row>
    <row r="29" spans="2:12" x14ac:dyDescent="0.4">
      <c r="G29" s="489"/>
      <c r="H29" s="489"/>
    </row>
    <row r="30" spans="2:12" x14ac:dyDescent="0.4">
      <c r="B30" s="521"/>
      <c r="C30" s="521"/>
      <c r="F30" s="490"/>
      <c r="G30" s="489"/>
      <c r="H30" s="489"/>
    </row>
    <row r="31" spans="2:12" x14ac:dyDescent="0.4">
      <c r="B31" s="522"/>
      <c r="C31" s="523"/>
      <c r="E31" s="487"/>
      <c r="F31" s="490"/>
      <c r="G31" s="491"/>
      <c r="H31" s="491"/>
    </row>
    <row r="32" spans="2:12" x14ac:dyDescent="0.4">
      <c r="B32" s="522"/>
      <c r="C32" s="523"/>
      <c r="E32" s="524"/>
      <c r="G32" s="491"/>
      <c r="H32" s="491"/>
    </row>
    <row r="33" spans="2:8" x14ac:dyDescent="0.4">
      <c r="B33" s="522"/>
      <c r="C33" s="525"/>
      <c r="E33" s="488"/>
      <c r="F33" s="490"/>
      <c r="G33" s="491"/>
      <c r="H33" s="491"/>
    </row>
    <row r="34" spans="2:8" x14ac:dyDescent="0.4">
      <c r="B34" s="522"/>
      <c r="C34" s="526"/>
      <c r="D34" s="487"/>
      <c r="E34" s="488"/>
      <c r="G34" s="491"/>
      <c r="H34" s="491"/>
    </row>
    <row r="35" spans="2:8" x14ac:dyDescent="0.4">
      <c r="B35" s="522"/>
      <c r="C35" s="527"/>
      <c r="D35" s="524"/>
      <c r="E35" s="488"/>
    </row>
    <row r="36" spans="2:8" x14ac:dyDescent="0.4">
      <c r="B36" s="522"/>
      <c r="C36" s="528"/>
      <c r="D36" s="529"/>
    </row>
    <row r="37" spans="2:8" x14ac:dyDescent="0.4">
      <c r="B37" s="522"/>
      <c r="C37" s="530"/>
      <c r="D37" s="529"/>
    </row>
    <row r="38" spans="2:8" x14ac:dyDescent="0.4">
      <c r="B38" s="522"/>
      <c r="C38" s="527"/>
      <c r="D38" s="529"/>
    </row>
    <row r="39" spans="2:8" x14ac:dyDescent="0.4">
      <c r="B39" s="522"/>
      <c r="C39" s="527"/>
      <c r="G39" s="488"/>
    </row>
    <row r="40" spans="2:8" x14ac:dyDescent="0.4">
      <c r="B40" s="490"/>
      <c r="C40" s="492"/>
    </row>
  </sheetData>
  <mergeCells count="15">
    <mergeCell ref="G16:H16"/>
    <mergeCell ref="A1:B1"/>
    <mergeCell ref="F3:J3"/>
    <mergeCell ref="F13:H13"/>
    <mergeCell ref="F14:H14"/>
    <mergeCell ref="G15:H15"/>
    <mergeCell ref="G23:H23"/>
    <mergeCell ref="G24:H24"/>
    <mergeCell ref="G25:H25"/>
    <mergeCell ref="G17:H17"/>
    <mergeCell ref="G18:H18"/>
    <mergeCell ref="F19:H19"/>
    <mergeCell ref="G20:H20"/>
    <mergeCell ref="G21:H21"/>
    <mergeCell ref="G22:H22"/>
  </mergeCells>
  <pageMargins left="0.7" right="0.7" top="0.75" bottom="0.75" header="0.3" footer="0.3"/>
  <pageSetup scale="5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C7BFA-123A-444B-B34E-4F905BA95FA7}">
  <sheetPr>
    <tabColor theme="1"/>
  </sheetPr>
  <dimension ref="A1:L89"/>
  <sheetViews>
    <sheetView topLeftCell="A50" zoomScale="120" zoomScaleNormal="120" workbookViewId="0">
      <selection activeCell="B3" sqref="B3:B80"/>
    </sheetView>
  </sheetViews>
  <sheetFormatPr defaultColWidth="8.86328125" defaultRowHeight="13.15" x14ac:dyDescent="0.4"/>
  <cols>
    <col min="1" max="1" width="19" style="531" customWidth="1"/>
    <col min="2" max="2" width="13.73046875" style="531" customWidth="1"/>
    <col min="3" max="3" width="17.73046875" style="531" customWidth="1"/>
    <col min="4" max="4" width="19.265625" style="531" customWidth="1"/>
    <col min="5" max="5" width="18.59765625" style="531" customWidth="1"/>
    <col min="6" max="6" width="4.265625" style="531" customWidth="1"/>
    <col min="7" max="7" width="9.1328125" style="531" bestFit="1" customWidth="1"/>
    <col min="8" max="16384" width="8.86328125" style="531"/>
  </cols>
  <sheetData>
    <row r="1" spans="1:12" ht="21" customHeight="1" x14ac:dyDescent="0.4">
      <c r="A1" s="560" t="s">
        <v>448</v>
      </c>
      <c r="B1" s="561"/>
      <c r="C1" s="561"/>
      <c r="D1" s="561"/>
      <c r="E1" s="562"/>
    </row>
    <row r="2" spans="1:12" x14ac:dyDescent="0.4">
      <c r="A2" s="532" t="s">
        <v>407</v>
      </c>
      <c r="B2" s="532" t="s">
        <v>378</v>
      </c>
      <c r="C2" s="532" t="s">
        <v>370</v>
      </c>
      <c r="D2" s="532" t="s">
        <v>296</v>
      </c>
      <c r="E2" s="532" t="s">
        <v>395</v>
      </c>
    </row>
    <row r="3" spans="1:12" ht="14.25" x14ac:dyDescent="0.45">
      <c r="A3" s="533">
        <v>1</v>
      </c>
      <c r="B3" s="533" t="s">
        <v>384</v>
      </c>
      <c r="C3" s="534">
        <v>1522.5</v>
      </c>
      <c r="D3" s="535">
        <v>0</v>
      </c>
      <c r="E3" s="536">
        <v>2700</v>
      </c>
      <c r="G3" s="537"/>
    </row>
    <row r="4" spans="1:12" ht="14.25" x14ac:dyDescent="0.45">
      <c r="A4" s="533">
        <v>2</v>
      </c>
      <c r="B4" s="533" t="s">
        <v>384</v>
      </c>
      <c r="C4" s="534">
        <v>1764</v>
      </c>
      <c r="D4" s="535">
        <v>100</v>
      </c>
      <c r="E4" s="536">
        <v>2700</v>
      </c>
      <c r="G4" s="537"/>
    </row>
    <row r="5" spans="1:12" ht="14.25" x14ac:dyDescent="0.45">
      <c r="A5" s="533">
        <v>3</v>
      </c>
      <c r="B5" s="533" t="s">
        <v>382</v>
      </c>
      <c r="C5" s="534">
        <v>1457.71</v>
      </c>
      <c r="D5" s="535">
        <v>130</v>
      </c>
      <c r="E5" s="536">
        <v>2300</v>
      </c>
      <c r="G5" s="537"/>
      <c r="L5"/>
    </row>
    <row r="6" spans="1:12" ht="14.25" x14ac:dyDescent="0.45">
      <c r="A6" s="533">
        <v>4</v>
      </c>
      <c r="B6" s="533" t="s">
        <v>382</v>
      </c>
      <c r="C6" s="534">
        <v>1680</v>
      </c>
      <c r="D6" s="535">
        <v>0</v>
      </c>
      <c r="E6" s="536">
        <v>2300</v>
      </c>
      <c r="G6" s="537"/>
      <c r="L6"/>
    </row>
    <row r="7" spans="1:12" ht="14.25" x14ac:dyDescent="0.45">
      <c r="A7" s="533">
        <v>5</v>
      </c>
      <c r="B7" s="533" t="s">
        <v>382</v>
      </c>
      <c r="C7" s="534">
        <v>1451.66</v>
      </c>
      <c r="D7" s="535">
        <v>50</v>
      </c>
      <c r="E7" s="536">
        <v>2300</v>
      </c>
      <c r="G7" s="537"/>
      <c r="L7"/>
    </row>
    <row r="8" spans="1:12" ht="14.25" x14ac:dyDescent="0.45">
      <c r="A8" s="533">
        <v>6</v>
      </c>
      <c r="B8" s="533" t="s">
        <v>382</v>
      </c>
      <c r="C8" s="534">
        <v>1627.5</v>
      </c>
      <c r="D8" s="535">
        <v>115</v>
      </c>
      <c r="E8" s="536">
        <v>2300</v>
      </c>
      <c r="G8" s="537"/>
      <c r="L8"/>
    </row>
    <row r="9" spans="1:12" ht="14.25" x14ac:dyDescent="0.45">
      <c r="A9" s="533">
        <v>7</v>
      </c>
      <c r="B9" s="533" t="s">
        <v>382</v>
      </c>
      <c r="C9" s="534">
        <v>1881</v>
      </c>
      <c r="D9" s="535">
        <v>65</v>
      </c>
      <c r="E9" s="536">
        <v>2300</v>
      </c>
      <c r="G9" s="537"/>
      <c r="L9"/>
    </row>
    <row r="10" spans="1:12" ht="14.25" x14ac:dyDescent="0.45">
      <c r="A10" s="533">
        <v>8</v>
      </c>
      <c r="B10" s="533" t="s">
        <v>382</v>
      </c>
      <c r="C10" s="534">
        <v>1417.5</v>
      </c>
      <c r="D10" s="535">
        <v>50</v>
      </c>
      <c r="E10" s="536">
        <v>2300</v>
      </c>
      <c r="G10" s="537"/>
      <c r="L10"/>
    </row>
    <row r="11" spans="1:12" ht="14.25" x14ac:dyDescent="0.45">
      <c r="A11" s="533">
        <v>20</v>
      </c>
      <c r="B11" s="533" t="s">
        <v>382</v>
      </c>
      <c r="C11" s="534">
        <v>1650</v>
      </c>
      <c r="D11" s="535">
        <v>130</v>
      </c>
      <c r="E11" s="536">
        <v>2300</v>
      </c>
      <c r="G11" s="537"/>
      <c r="L11"/>
    </row>
    <row r="12" spans="1:12" ht="14.25" x14ac:dyDescent="0.45">
      <c r="A12" s="533">
        <v>21</v>
      </c>
      <c r="B12" s="533" t="s">
        <v>382</v>
      </c>
      <c r="C12" s="534">
        <v>1391.18</v>
      </c>
      <c r="D12" s="535">
        <v>65</v>
      </c>
      <c r="E12" s="536">
        <v>2300</v>
      </c>
      <c r="G12" s="537"/>
      <c r="L12"/>
    </row>
    <row r="13" spans="1:12" ht="14.25" x14ac:dyDescent="0.45">
      <c r="A13" s="533">
        <v>22</v>
      </c>
      <c r="B13" s="533" t="s">
        <v>382</v>
      </c>
      <c r="C13" s="534">
        <v>1391.25</v>
      </c>
      <c r="D13" s="535">
        <v>0</v>
      </c>
      <c r="E13" s="536">
        <v>2300</v>
      </c>
      <c r="G13" s="537"/>
      <c r="L13"/>
    </row>
    <row r="14" spans="1:12" ht="14.25" x14ac:dyDescent="0.45">
      <c r="A14" s="533">
        <v>23</v>
      </c>
      <c r="B14" s="533" t="s">
        <v>382</v>
      </c>
      <c r="C14" s="534">
        <v>1428</v>
      </c>
      <c r="D14" s="535">
        <v>100</v>
      </c>
      <c r="E14" s="536">
        <v>2300</v>
      </c>
      <c r="G14" s="537"/>
      <c r="L14"/>
    </row>
    <row r="15" spans="1:12" ht="14.25" x14ac:dyDescent="0.45">
      <c r="A15" s="533">
        <v>24</v>
      </c>
      <c r="B15" s="533" t="s">
        <v>382</v>
      </c>
      <c r="C15" s="534">
        <v>1391.25</v>
      </c>
      <c r="D15" s="535">
        <v>0</v>
      </c>
      <c r="E15" s="536">
        <v>2300</v>
      </c>
      <c r="G15" s="537"/>
      <c r="L15"/>
    </row>
    <row r="16" spans="1:12" ht="14.25" x14ac:dyDescent="0.45">
      <c r="A16" s="533">
        <v>25</v>
      </c>
      <c r="B16" s="533" t="s">
        <v>382</v>
      </c>
      <c r="C16" s="534">
        <v>1776.5</v>
      </c>
      <c r="D16" s="535">
        <v>0</v>
      </c>
      <c r="E16" s="536">
        <v>2300</v>
      </c>
      <c r="G16" s="537"/>
      <c r="L16"/>
    </row>
    <row r="17" spans="1:12" ht="14.25" x14ac:dyDescent="0.45">
      <c r="A17" s="533">
        <v>26</v>
      </c>
      <c r="B17" s="533" t="s">
        <v>382</v>
      </c>
      <c r="C17" s="534">
        <v>1365</v>
      </c>
      <c r="D17" s="535">
        <v>50</v>
      </c>
      <c r="E17" s="536">
        <v>2300</v>
      </c>
      <c r="G17" s="537"/>
      <c r="L17"/>
    </row>
    <row r="18" spans="1:12" ht="14.25" x14ac:dyDescent="0.45">
      <c r="A18" s="533">
        <v>27</v>
      </c>
      <c r="B18" s="533" t="s">
        <v>382</v>
      </c>
      <c r="C18" s="534">
        <v>1548.75</v>
      </c>
      <c r="D18" s="535">
        <v>50</v>
      </c>
      <c r="E18" s="536">
        <v>2300</v>
      </c>
      <c r="G18" s="537"/>
      <c r="L18"/>
    </row>
    <row r="19" spans="1:12" ht="14.25" x14ac:dyDescent="0.45">
      <c r="A19" s="533">
        <v>28</v>
      </c>
      <c r="B19" s="533" t="s">
        <v>382</v>
      </c>
      <c r="C19" s="534">
        <v>1417.5</v>
      </c>
      <c r="D19" s="535">
        <v>50</v>
      </c>
      <c r="E19" s="536">
        <v>2300</v>
      </c>
      <c r="G19" s="537"/>
      <c r="L19"/>
    </row>
    <row r="20" spans="1:12" ht="14.25" x14ac:dyDescent="0.45">
      <c r="A20" s="533">
        <v>29</v>
      </c>
      <c r="B20" s="533" t="s">
        <v>382</v>
      </c>
      <c r="C20" s="534">
        <v>1494.01</v>
      </c>
      <c r="D20" s="535">
        <v>50</v>
      </c>
      <c r="E20" s="536">
        <v>2300</v>
      </c>
      <c r="G20" s="537"/>
      <c r="L20"/>
    </row>
    <row r="21" spans="1:12" ht="14.25" x14ac:dyDescent="0.45">
      <c r="A21" s="533">
        <v>30</v>
      </c>
      <c r="B21" s="533" t="s">
        <v>382</v>
      </c>
      <c r="C21" s="534">
        <v>1548.75</v>
      </c>
      <c r="D21" s="535">
        <v>65</v>
      </c>
      <c r="E21" s="536">
        <v>2300</v>
      </c>
      <c r="G21" s="537"/>
      <c r="L21"/>
    </row>
    <row r="22" spans="1:12" ht="14.25" x14ac:dyDescent="0.45">
      <c r="A22" s="533">
        <v>31</v>
      </c>
      <c r="B22" s="533" t="s">
        <v>382</v>
      </c>
      <c r="C22" s="534">
        <v>1344</v>
      </c>
      <c r="D22" s="535">
        <v>50</v>
      </c>
      <c r="E22" s="536">
        <v>2300</v>
      </c>
      <c r="G22" s="537"/>
      <c r="L22"/>
    </row>
    <row r="23" spans="1:12" ht="14.25" x14ac:dyDescent="0.45">
      <c r="A23" s="533">
        <v>32</v>
      </c>
      <c r="B23" s="533" t="s">
        <v>382</v>
      </c>
      <c r="C23" s="534">
        <v>1700</v>
      </c>
      <c r="D23" s="535">
        <f>65+35</f>
        <v>100</v>
      </c>
      <c r="E23" s="536">
        <v>2300</v>
      </c>
      <c r="G23" s="537"/>
      <c r="L23"/>
    </row>
    <row r="24" spans="1:12" ht="14.25" x14ac:dyDescent="0.45">
      <c r="A24" s="538">
        <v>33</v>
      </c>
      <c r="B24" s="533" t="s">
        <v>382</v>
      </c>
      <c r="C24" s="534">
        <v>1412.25</v>
      </c>
      <c r="D24" s="535">
        <v>0</v>
      </c>
      <c r="E24" s="536">
        <v>2300</v>
      </c>
      <c r="G24" s="537"/>
      <c r="L24"/>
    </row>
    <row r="25" spans="1:12" ht="14.25" x14ac:dyDescent="0.45">
      <c r="A25" s="533">
        <v>34</v>
      </c>
      <c r="B25" s="533" t="s">
        <v>382</v>
      </c>
      <c r="C25" s="539">
        <v>1522.5</v>
      </c>
      <c r="D25" s="535">
        <v>0</v>
      </c>
      <c r="E25" s="536">
        <v>2300</v>
      </c>
      <c r="G25" s="537"/>
      <c r="L25"/>
    </row>
    <row r="26" spans="1:12" ht="14.25" x14ac:dyDescent="0.45">
      <c r="A26" s="533">
        <v>35</v>
      </c>
      <c r="B26" s="533" t="s">
        <v>382</v>
      </c>
      <c r="C26" s="539">
        <v>1627.5</v>
      </c>
      <c r="D26" s="535">
        <v>65</v>
      </c>
      <c r="E26" s="536">
        <v>2300</v>
      </c>
      <c r="G26" s="537"/>
      <c r="L26"/>
    </row>
    <row r="27" spans="1:12" ht="14.25" x14ac:dyDescent="0.45">
      <c r="A27" s="533">
        <v>36</v>
      </c>
      <c r="B27" s="533" t="s">
        <v>382</v>
      </c>
      <c r="C27" s="539">
        <v>1522.5</v>
      </c>
      <c r="D27" s="535">
        <v>50</v>
      </c>
      <c r="E27" s="536">
        <v>2300</v>
      </c>
      <c r="G27" s="537"/>
      <c r="L27"/>
    </row>
    <row r="28" spans="1:12" ht="14.25" x14ac:dyDescent="0.45">
      <c r="A28" s="533">
        <v>37</v>
      </c>
      <c r="B28" s="533" t="s">
        <v>382</v>
      </c>
      <c r="C28" s="539">
        <v>1444.72</v>
      </c>
      <c r="D28" s="535">
        <v>100</v>
      </c>
      <c r="E28" s="536">
        <v>2300</v>
      </c>
      <c r="G28" s="537"/>
      <c r="L28"/>
    </row>
    <row r="29" spans="1:12" ht="14.25" x14ac:dyDescent="0.45">
      <c r="A29" s="533">
        <v>38</v>
      </c>
      <c r="B29" s="533" t="s">
        <v>382</v>
      </c>
      <c r="C29" s="539">
        <v>1785</v>
      </c>
      <c r="D29" s="535">
        <v>50</v>
      </c>
      <c r="E29" s="536">
        <v>2300</v>
      </c>
      <c r="G29" s="537"/>
      <c r="L29"/>
    </row>
    <row r="30" spans="1:12" ht="14.25" x14ac:dyDescent="0.45">
      <c r="A30" s="533">
        <v>39</v>
      </c>
      <c r="B30" s="533" t="s">
        <v>382</v>
      </c>
      <c r="C30" s="539">
        <v>1451.66</v>
      </c>
      <c r="D30" s="535">
        <v>50</v>
      </c>
      <c r="E30" s="536">
        <v>2300</v>
      </c>
      <c r="G30" s="537"/>
      <c r="L30"/>
    </row>
    <row r="31" spans="1:12" ht="14.25" x14ac:dyDescent="0.45">
      <c r="A31" s="533">
        <v>40</v>
      </c>
      <c r="B31" s="533" t="s">
        <v>382</v>
      </c>
      <c r="C31" s="539">
        <v>1548.75</v>
      </c>
      <c r="D31" s="535">
        <v>50</v>
      </c>
      <c r="E31" s="536">
        <v>2300</v>
      </c>
      <c r="G31" s="537"/>
      <c r="L31"/>
    </row>
    <row r="32" spans="1:12" ht="14.25" x14ac:dyDescent="0.45">
      <c r="A32" s="533">
        <v>41</v>
      </c>
      <c r="B32" s="533" t="s">
        <v>382</v>
      </c>
      <c r="C32" s="539">
        <v>1443.75</v>
      </c>
      <c r="D32" s="535">
        <v>0</v>
      </c>
      <c r="E32" s="536">
        <v>2300</v>
      </c>
      <c r="G32" s="537"/>
      <c r="L32"/>
    </row>
    <row r="33" spans="1:12" ht="14.25" x14ac:dyDescent="0.45">
      <c r="A33" s="533">
        <v>42</v>
      </c>
      <c r="B33" s="533" t="s">
        <v>382</v>
      </c>
      <c r="C33" s="539">
        <v>1391.25</v>
      </c>
      <c r="D33" s="535">
        <v>50</v>
      </c>
      <c r="E33" s="536">
        <v>2300</v>
      </c>
      <c r="G33" s="537"/>
      <c r="L33"/>
    </row>
    <row r="34" spans="1:12" ht="14.25" x14ac:dyDescent="0.45">
      <c r="A34" s="533">
        <v>43</v>
      </c>
      <c r="B34" s="533" t="s">
        <v>382</v>
      </c>
      <c r="C34" s="539">
        <v>1219</v>
      </c>
      <c r="D34" s="535">
        <v>0</v>
      </c>
      <c r="E34" s="536">
        <v>2300</v>
      </c>
      <c r="G34" s="537"/>
      <c r="L34"/>
    </row>
    <row r="35" spans="1:12" ht="14.25" x14ac:dyDescent="0.45">
      <c r="A35" s="533">
        <v>44</v>
      </c>
      <c r="B35" s="533" t="s">
        <v>382</v>
      </c>
      <c r="C35" s="539">
        <v>1600</v>
      </c>
      <c r="D35" s="535">
        <v>50</v>
      </c>
      <c r="E35" s="536">
        <v>2300</v>
      </c>
      <c r="G35" s="537"/>
      <c r="L35"/>
    </row>
    <row r="36" spans="1:12" ht="14.25" x14ac:dyDescent="0.45">
      <c r="A36" s="533">
        <v>45</v>
      </c>
      <c r="B36" s="533" t="s">
        <v>382</v>
      </c>
      <c r="C36" s="539">
        <v>1344.1</v>
      </c>
      <c r="D36" s="535">
        <v>0</v>
      </c>
      <c r="E36" s="536">
        <v>2300</v>
      </c>
      <c r="G36" s="537"/>
      <c r="L36"/>
    </row>
    <row r="37" spans="1:12" ht="14.25" x14ac:dyDescent="0.45">
      <c r="A37" s="533">
        <v>46</v>
      </c>
      <c r="B37" s="533" t="s">
        <v>382</v>
      </c>
      <c r="C37" s="539">
        <v>1800</v>
      </c>
      <c r="D37" s="535">
        <v>0</v>
      </c>
      <c r="E37" s="536">
        <v>2300</v>
      </c>
      <c r="G37" s="537"/>
      <c r="L37"/>
    </row>
    <row r="38" spans="1:12" ht="14.25" x14ac:dyDescent="0.45">
      <c r="A38" s="533">
        <v>47</v>
      </c>
      <c r="B38" s="533" t="s">
        <v>382</v>
      </c>
      <c r="C38" s="539">
        <v>1417.5</v>
      </c>
      <c r="D38" s="535">
        <v>50</v>
      </c>
      <c r="E38" s="536">
        <v>2300</v>
      </c>
      <c r="G38" s="537"/>
      <c r="L38"/>
    </row>
    <row r="39" spans="1:12" ht="14.25" x14ac:dyDescent="0.45">
      <c r="A39" s="533">
        <v>48</v>
      </c>
      <c r="B39" s="533" t="s">
        <v>382</v>
      </c>
      <c r="C39" s="539">
        <v>1601.25</v>
      </c>
      <c r="D39" s="535">
        <v>50</v>
      </c>
      <c r="E39" s="536">
        <v>2300</v>
      </c>
      <c r="G39" s="537"/>
      <c r="L39"/>
    </row>
    <row r="40" spans="1:12" ht="14.25" x14ac:dyDescent="0.45">
      <c r="A40" s="533">
        <v>49</v>
      </c>
      <c r="B40" s="533" t="s">
        <v>382</v>
      </c>
      <c r="C40" s="539">
        <v>1700</v>
      </c>
      <c r="D40" s="535">
        <v>50</v>
      </c>
      <c r="E40" s="536">
        <v>2300</v>
      </c>
      <c r="G40" s="537"/>
      <c r="L40"/>
    </row>
    <row r="41" spans="1:12" ht="14.25" x14ac:dyDescent="0.45">
      <c r="A41" s="533" t="s">
        <v>449</v>
      </c>
      <c r="B41" s="533" t="s">
        <v>384</v>
      </c>
      <c r="C41" s="539">
        <v>1391.25</v>
      </c>
      <c r="D41" s="535">
        <v>100</v>
      </c>
      <c r="E41" s="536">
        <v>2700</v>
      </c>
      <c r="G41" s="537"/>
      <c r="L41"/>
    </row>
    <row r="42" spans="1:12" ht="14.25" x14ac:dyDescent="0.45">
      <c r="A42" s="533">
        <v>1</v>
      </c>
      <c r="B42" s="533" t="s">
        <v>384</v>
      </c>
      <c r="C42" s="539">
        <v>2500</v>
      </c>
      <c r="D42" s="535">
        <v>65</v>
      </c>
      <c r="E42" s="536">
        <v>2700</v>
      </c>
      <c r="G42" s="537"/>
      <c r="L42"/>
    </row>
    <row r="43" spans="1:12" ht="14.25" x14ac:dyDescent="0.45">
      <c r="A43" s="533">
        <v>2</v>
      </c>
      <c r="B43" s="533" t="s">
        <v>384</v>
      </c>
      <c r="C43" s="539">
        <v>2194.5</v>
      </c>
      <c r="D43" s="535">
        <v>50</v>
      </c>
      <c r="E43" s="536">
        <v>2700</v>
      </c>
      <c r="G43" s="537"/>
      <c r="L43"/>
    </row>
    <row r="44" spans="1:12" ht="14.25" x14ac:dyDescent="0.45">
      <c r="A44" s="533">
        <v>3</v>
      </c>
      <c r="B44" s="533" t="s">
        <v>382</v>
      </c>
      <c r="C44" s="539">
        <v>1724.25</v>
      </c>
      <c r="D44" s="535">
        <v>65</v>
      </c>
      <c r="E44" s="536">
        <v>2300</v>
      </c>
      <c r="G44" s="537"/>
      <c r="L44"/>
    </row>
    <row r="45" spans="1:12" ht="14.25" x14ac:dyDescent="0.45">
      <c r="A45" s="533">
        <v>4</v>
      </c>
      <c r="B45" s="533" t="s">
        <v>382</v>
      </c>
      <c r="C45" s="539">
        <v>1755.6</v>
      </c>
      <c r="D45" s="535">
        <v>65</v>
      </c>
      <c r="E45" s="536">
        <v>2300</v>
      </c>
      <c r="G45" s="537"/>
      <c r="L45"/>
    </row>
    <row r="46" spans="1:12" ht="14.25" x14ac:dyDescent="0.45">
      <c r="A46" s="533">
        <v>5</v>
      </c>
      <c r="B46" s="533" t="s">
        <v>382</v>
      </c>
      <c r="C46" s="539">
        <v>1417.5</v>
      </c>
      <c r="D46" s="535">
        <v>100</v>
      </c>
      <c r="E46" s="536">
        <v>2300</v>
      </c>
      <c r="G46" s="537"/>
      <c r="L46"/>
    </row>
    <row r="47" spans="1:12" ht="14.25" x14ac:dyDescent="0.45">
      <c r="A47" s="533">
        <v>6</v>
      </c>
      <c r="B47" s="533" t="s">
        <v>382</v>
      </c>
      <c r="C47" s="539">
        <v>1601.25</v>
      </c>
      <c r="D47" s="535">
        <v>100</v>
      </c>
      <c r="E47" s="536">
        <v>2300</v>
      </c>
      <c r="G47" s="537"/>
      <c r="L47"/>
    </row>
    <row r="48" spans="1:12" ht="14.25" x14ac:dyDescent="0.45">
      <c r="A48" s="533">
        <v>7</v>
      </c>
      <c r="B48" s="533" t="s">
        <v>382</v>
      </c>
      <c r="C48" s="539">
        <v>1732.5</v>
      </c>
      <c r="D48" s="535">
        <v>0</v>
      </c>
      <c r="E48" s="536">
        <v>2300</v>
      </c>
      <c r="G48" s="537"/>
      <c r="L48"/>
    </row>
    <row r="49" spans="1:12" ht="14.25" x14ac:dyDescent="0.45">
      <c r="A49" s="533">
        <v>8</v>
      </c>
      <c r="B49" s="533" t="s">
        <v>382</v>
      </c>
      <c r="C49" s="539">
        <v>1443.75</v>
      </c>
      <c r="D49" s="535">
        <v>50</v>
      </c>
      <c r="E49" s="536">
        <v>2300</v>
      </c>
      <c r="G49" s="537">
        <v>0</v>
      </c>
      <c r="H49" s="531">
        <f>COUNTIF($D$3:$D$80,G49)</f>
        <v>23</v>
      </c>
      <c r="L49"/>
    </row>
    <row r="50" spans="1:12" ht="14.25" x14ac:dyDescent="0.45">
      <c r="A50" s="533" t="s">
        <v>450</v>
      </c>
      <c r="B50" s="533" t="s">
        <v>382</v>
      </c>
      <c r="C50" s="539">
        <v>1417.5</v>
      </c>
      <c r="D50" s="535">
        <v>130</v>
      </c>
      <c r="E50" s="536">
        <v>2300</v>
      </c>
      <c r="G50" s="537">
        <v>50</v>
      </c>
      <c r="H50" s="531">
        <f>COUNTIF($D$3:$D$80,G50)</f>
        <v>28</v>
      </c>
      <c r="L50"/>
    </row>
    <row r="51" spans="1:12" ht="14.25" x14ac:dyDescent="0.45">
      <c r="A51" s="533">
        <v>21</v>
      </c>
      <c r="B51" s="533" t="s">
        <v>382</v>
      </c>
      <c r="C51" s="539">
        <v>1700</v>
      </c>
      <c r="D51" s="535">
        <v>0</v>
      </c>
      <c r="E51" s="536">
        <v>2300</v>
      </c>
      <c r="G51" s="537">
        <v>65</v>
      </c>
      <c r="H51" s="531">
        <f>COUNTIF($D$3:$D$80,G51)</f>
        <v>12</v>
      </c>
      <c r="L51"/>
    </row>
    <row r="52" spans="1:12" ht="14.25" x14ac:dyDescent="0.45">
      <c r="A52" s="533">
        <v>22</v>
      </c>
      <c r="B52" s="533" t="s">
        <v>382</v>
      </c>
      <c r="C52" s="539">
        <v>1819.13</v>
      </c>
      <c r="D52" s="535">
        <v>50</v>
      </c>
      <c r="E52" s="536">
        <v>2300</v>
      </c>
      <c r="G52" s="537">
        <v>100</v>
      </c>
      <c r="H52" s="531">
        <f t="shared" ref="H52:H53" si="0">COUNTIF($D$3:$D$80,G52)</f>
        <v>9</v>
      </c>
      <c r="L52"/>
    </row>
    <row r="53" spans="1:12" ht="14.25" x14ac:dyDescent="0.45">
      <c r="A53" s="533">
        <v>23</v>
      </c>
      <c r="B53" s="533" t="s">
        <v>382</v>
      </c>
      <c r="C53" s="539">
        <v>1481.9</v>
      </c>
      <c r="D53" s="535">
        <v>50</v>
      </c>
      <c r="E53" s="536">
        <v>2300</v>
      </c>
      <c r="G53" s="537">
        <v>130</v>
      </c>
      <c r="H53" s="531">
        <f t="shared" si="0"/>
        <v>5</v>
      </c>
      <c r="L53"/>
    </row>
    <row r="54" spans="1:12" ht="14.25" x14ac:dyDescent="0.45">
      <c r="A54" s="533">
        <v>24</v>
      </c>
      <c r="B54" s="533" t="s">
        <v>382</v>
      </c>
      <c r="C54" s="539">
        <v>1680</v>
      </c>
      <c r="D54" s="535">
        <v>0</v>
      </c>
      <c r="E54" s="536">
        <v>2300</v>
      </c>
      <c r="G54" s="537"/>
      <c r="L54"/>
    </row>
    <row r="55" spans="1:12" ht="14.25" x14ac:dyDescent="0.45">
      <c r="A55" s="533">
        <v>25</v>
      </c>
      <c r="B55" s="533" t="s">
        <v>382</v>
      </c>
      <c r="C55" s="539">
        <v>1439.57</v>
      </c>
      <c r="D55" s="535">
        <v>100</v>
      </c>
      <c r="E55" s="536">
        <v>2300</v>
      </c>
      <c r="G55" s="537" t="s">
        <v>451</v>
      </c>
      <c r="L55"/>
    </row>
    <row r="56" spans="1:12" ht="14.25" x14ac:dyDescent="0.45">
      <c r="A56" s="533">
        <v>26</v>
      </c>
      <c r="B56" s="533" t="s">
        <v>382</v>
      </c>
      <c r="C56" s="539">
        <v>1417.5</v>
      </c>
      <c r="D56" s="535">
        <v>0</v>
      </c>
      <c r="E56" s="536">
        <v>2300</v>
      </c>
      <c r="G56" s="537" t="s">
        <v>452</v>
      </c>
      <c r="L56"/>
    </row>
    <row r="57" spans="1:12" ht="14.25" x14ac:dyDescent="0.45">
      <c r="A57" s="533">
        <v>27</v>
      </c>
      <c r="B57" s="533" t="s">
        <v>382</v>
      </c>
      <c r="C57" s="539">
        <v>1416.58</v>
      </c>
      <c r="D57" s="535">
        <v>100</v>
      </c>
      <c r="E57" s="536">
        <v>2300</v>
      </c>
      <c r="G57" s="537" t="s">
        <v>453</v>
      </c>
      <c r="L57"/>
    </row>
    <row r="58" spans="1:12" ht="14.25" x14ac:dyDescent="0.45">
      <c r="A58" s="533">
        <v>28</v>
      </c>
      <c r="B58" s="533" t="s">
        <v>382</v>
      </c>
      <c r="C58" s="539">
        <v>1457.71</v>
      </c>
      <c r="D58" s="535">
        <v>50</v>
      </c>
      <c r="E58" s="536">
        <v>2300</v>
      </c>
      <c r="G58" s="537"/>
      <c r="L58"/>
    </row>
    <row r="59" spans="1:12" ht="14.25" x14ac:dyDescent="0.45">
      <c r="A59" s="533">
        <v>29</v>
      </c>
      <c r="B59" s="533" t="s">
        <v>382</v>
      </c>
      <c r="C59" s="539">
        <v>1627.5</v>
      </c>
      <c r="D59" s="535">
        <v>65</v>
      </c>
      <c r="E59" s="536">
        <v>2300</v>
      </c>
      <c r="G59" s="537"/>
      <c r="L59"/>
    </row>
    <row r="60" spans="1:12" ht="14.25" x14ac:dyDescent="0.45">
      <c r="A60" s="533">
        <v>30</v>
      </c>
      <c r="B60" s="533" t="s">
        <v>382</v>
      </c>
      <c r="C60" s="539">
        <v>1700</v>
      </c>
      <c r="D60" s="535">
        <v>0</v>
      </c>
      <c r="E60" s="536">
        <v>2300</v>
      </c>
      <c r="G60" s="537"/>
      <c r="L60"/>
    </row>
    <row r="61" spans="1:12" ht="14.25" x14ac:dyDescent="0.45">
      <c r="A61" s="533">
        <v>31</v>
      </c>
      <c r="B61" s="533" t="s">
        <v>382</v>
      </c>
      <c r="C61" s="539">
        <v>1522.5</v>
      </c>
      <c r="D61" s="535">
        <v>0</v>
      </c>
      <c r="E61" s="536">
        <v>2300</v>
      </c>
      <c r="G61" s="537"/>
      <c r="L61"/>
    </row>
    <row r="62" spans="1:12" ht="14.25" x14ac:dyDescent="0.45">
      <c r="A62" s="533">
        <v>32</v>
      </c>
      <c r="B62" s="533" t="s">
        <v>382</v>
      </c>
      <c r="C62" s="539">
        <v>1451.66</v>
      </c>
      <c r="D62" s="535">
        <v>50</v>
      </c>
      <c r="E62" s="536">
        <v>2300</v>
      </c>
      <c r="G62" s="537"/>
      <c r="L62"/>
    </row>
    <row r="63" spans="1:12" ht="14.25" x14ac:dyDescent="0.45">
      <c r="A63" s="538">
        <v>33</v>
      </c>
      <c r="B63" s="533" t="s">
        <v>382</v>
      </c>
      <c r="C63" s="539">
        <v>1481.9</v>
      </c>
      <c r="D63" s="535">
        <v>0</v>
      </c>
      <c r="E63" s="536">
        <v>2300</v>
      </c>
      <c r="G63" s="537"/>
      <c r="L63"/>
    </row>
    <row r="64" spans="1:12" ht="14.25" x14ac:dyDescent="0.45">
      <c r="A64" s="533">
        <v>34</v>
      </c>
      <c r="B64" s="533" t="s">
        <v>382</v>
      </c>
      <c r="C64" s="539">
        <v>1700</v>
      </c>
      <c r="D64" s="535">
        <v>0</v>
      </c>
      <c r="E64" s="536">
        <v>2300</v>
      </c>
      <c r="G64" s="537"/>
      <c r="L64"/>
    </row>
    <row r="65" spans="1:12" ht="14.25" x14ac:dyDescent="0.45">
      <c r="A65" s="533">
        <v>35</v>
      </c>
      <c r="B65" s="533" t="s">
        <v>382</v>
      </c>
      <c r="C65" s="539">
        <v>1482</v>
      </c>
      <c r="D65" s="535">
        <v>50</v>
      </c>
      <c r="E65" s="536">
        <v>2300</v>
      </c>
      <c r="G65" s="537"/>
      <c r="L65"/>
    </row>
    <row r="66" spans="1:12" ht="14.25" x14ac:dyDescent="0.45">
      <c r="A66" s="533">
        <v>36</v>
      </c>
      <c r="B66" s="533" t="s">
        <v>382</v>
      </c>
      <c r="C66" s="539">
        <v>1785</v>
      </c>
      <c r="D66" s="535">
        <v>130</v>
      </c>
      <c r="E66" s="536">
        <v>2300</v>
      </c>
      <c r="G66" s="537"/>
      <c r="L66"/>
    </row>
    <row r="67" spans="1:12" ht="14.25" x14ac:dyDescent="0.45">
      <c r="A67" s="533">
        <v>37</v>
      </c>
      <c r="B67" s="533" t="s">
        <v>382</v>
      </c>
      <c r="C67" s="539">
        <v>1522.5</v>
      </c>
      <c r="D67" s="535">
        <v>50</v>
      </c>
      <c r="E67" s="536">
        <v>2300</v>
      </c>
      <c r="G67" s="537"/>
      <c r="L67"/>
    </row>
    <row r="68" spans="1:12" ht="14.25" x14ac:dyDescent="0.45">
      <c r="A68" s="533">
        <v>38</v>
      </c>
      <c r="B68" s="533" t="s">
        <v>382</v>
      </c>
      <c r="C68" s="539">
        <v>1575</v>
      </c>
      <c r="D68" s="535">
        <v>65</v>
      </c>
      <c r="E68" s="536">
        <v>2300</v>
      </c>
      <c r="G68" s="537"/>
      <c r="L68"/>
    </row>
    <row r="69" spans="1:12" ht="14.25" x14ac:dyDescent="0.45">
      <c r="A69" s="533" t="s">
        <v>454</v>
      </c>
      <c r="B69" s="533" t="s">
        <v>382</v>
      </c>
      <c r="C69" s="539">
        <v>1607.47</v>
      </c>
      <c r="D69" s="535">
        <v>50</v>
      </c>
      <c r="E69" s="536">
        <v>2300</v>
      </c>
      <c r="G69" s="537"/>
      <c r="L69"/>
    </row>
    <row r="70" spans="1:12" ht="14.25" x14ac:dyDescent="0.45">
      <c r="A70" s="533">
        <v>40</v>
      </c>
      <c r="B70" s="533" t="s">
        <v>382</v>
      </c>
      <c r="C70" s="539">
        <v>1470</v>
      </c>
      <c r="D70" s="535">
        <v>65</v>
      </c>
      <c r="E70" s="536">
        <v>2300</v>
      </c>
      <c r="G70" s="537"/>
      <c r="L70"/>
    </row>
    <row r="71" spans="1:12" ht="14.25" x14ac:dyDescent="0.45">
      <c r="A71" s="533">
        <v>41</v>
      </c>
      <c r="B71" s="533" t="s">
        <v>382</v>
      </c>
      <c r="C71" s="539">
        <v>1600</v>
      </c>
      <c r="D71" s="535">
        <v>0</v>
      </c>
      <c r="E71" s="536">
        <v>2300</v>
      </c>
      <c r="L71"/>
    </row>
    <row r="72" spans="1:12" ht="14.25" x14ac:dyDescent="0.45">
      <c r="A72" s="533">
        <v>42</v>
      </c>
      <c r="B72" s="533" t="s">
        <v>382</v>
      </c>
      <c r="C72" s="539">
        <v>1391.25</v>
      </c>
      <c r="D72" s="535">
        <v>50</v>
      </c>
      <c r="E72" s="536">
        <v>2300</v>
      </c>
      <c r="L72"/>
    </row>
    <row r="73" spans="1:12" ht="14.25" x14ac:dyDescent="0.45">
      <c r="A73" s="533">
        <v>43</v>
      </c>
      <c r="B73" s="533" t="s">
        <v>382</v>
      </c>
      <c r="C73" s="539">
        <v>1640.39</v>
      </c>
      <c r="D73" s="535">
        <v>130</v>
      </c>
      <c r="E73" s="536">
        <v>2300</v>
      </c>
      <c r="L73"/>
    </row>
    <row r="74" spans="1:12" ht="14.25" x14ac:dyDescent="0.45">
      <c r="A74" s="533">
        <v>44</v>
      </c>
      <c r="B74" s="533" t="s">
        <v>382</v>
      </c>
      <c r="C74" s="539">
        <v>1700</v>
      </c>
      <c r="D74" s="535">
        <v>65</v>
      </c>
      <c r="E74" s="536">
        <v>2300</v>
      </c>
      <c r="L74"/>
    </row>
    <row r="75" spans="1:12" ht="14.25" x14ac:dyDescent="0.45">
      <c r="A75" s="533">
        <v>45</v>
      </c>
      <c r="B75" s="533" t="s">
        <v>382</v>
      </c>
      <c r="C75" s="539">
        <v>1672</v>
      </c>
      <c r="D75" s="535">
        <v>0</v>
      </c>
      <c r="E75" s="536">
        <v>2300</v>
      </c>
      <c r="L75"/>
    </row>
    <row r="76" spans="1:12" ht="14.25" x14ac:dyDescent="0.45">
      <c r="A76" s="533">
        <v>46</v>
      </c>
      <c r="B76" s="533" t="s">
        <v>382</v>
      </c>
      <c r="C76" s="539">
        <v>1481.9</v>
      </c>
      <c r="D76" s="535">
        <v>50</v>
      </c>
      <c r="E76" s="536">
        <v>2300</v>
      </c>
      <c r="L76"/>
    </row>
    <row r="77" spans="1:12" ht="14.25" x14ac:dyDescent="0.45">
      <c r="A77" s="533">
        <v>47</v>
      </c>
      <c r="B77" s="533" t="s">
        <v>382</v>
      </c>
      <c r="C77" s="539">
        <v>1459.5</v>
      </c>
      <c r="D77" s="535">
        <v>0</v>
      </c>
      <c r="E77" s="536">
        <v>2300</v>
      </c>
      <c r="L77"/>
    </row>
    <row r="78" spans="1:12" ht="14.25" x14ac:dyDescent="0.45">
      <c r="A78" s="533">
        <v>48</v>
      </c>
      <c r="B78" s="533" t="s">
        <v>382</v>
      </c>
      <c r="C78" s="539">
        <v>1700.74</v>
      </c>
      <c r="D78" s="535">
        <v>0</v>
      </c>
      <c r="E78" s="536">
        <v>2300</v>
      </c>
      <c r="L78"/>
    </row>
    <row r="79" spans="1:12" ht="14.25" x14ac:dyDescent="0.45">
      <c r="A79" s="533">
        <v>49</v>
      </c>
      <c r="B79" s="533" t="s">
        <v>382</v>
      </c>
      <c r="C79" s="539">
        <v>1300</v>
      </c>
      <c r="D79" s="535">
        <v>50</v>
      </c>
      <c r="E79" s="536">
        <v>2300</v>
      </c>
      <c r="L79"/>
    </row>
    <row r="80" spans="1:12" ht="14.25" x14ac:dyDescent="0.45">
      <c r="A80" s="533" t="s">
        <v>449</v>
      </c>
      <c r="B80" s="533" t="s">
        <v>384</v>
      </c>
      <c r="C80" s="539">
        <v>1975.05</v>
      </c>
      <c r="D80" s="535">
        <v>65</v>
      </c>
      <c r="E80" s="536">
        <v>2700</v>
      </c>
      <c r="L80"/>
    </row>
    <row r="81" spans="1:5" x14ac:dyDescent="0.4">
      <c r="A81" s="540" t="s">
        <v>408</v>
      </c>
      <c r="B81" s="541">
        <f>COUNTA(A3:A80)</f>
        <v>78</v>
      </c>
      <c r="C81" s="493">
        <f>SUM(C3:C80)</f>
        <v>122516.64000000003</v>
      </c>
      <c r="D81" s="493">
        <f>SUM(D3:D80)</f>
        <v>3845</v>
      </c>
      <c r="E81" s="493">
        <f>SUM(E3:E80)</f>
        <v>181800</v>
      </c>
    </row>
    <row r="88" spans="1:5" x14ac:dyDescent="0.4">
      <c r="C88" s="542"/>
    </row>
    <row r="89" spans="1:5" x14ac:dyDescent="0.4">
      <c r="C89" s="542"/>
    </row>
  </sheetData>
  <autoFilter ref="A2:E81" xr:uid="{B0900204-884C-43B3-9D39-EE8CD73C82DB}"/>
  <mergeCells count="1">
    <mergeCell ref="A1:E1"/>
  </mergeCells>
  <pageMargins left="0.5" right="0.5" top="0" bottom="0" header="0.5" footer="0.5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511d5f5-617b-4170-bdb2-6a7b987bb3f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91E9700001A44BBC3F250C3173941C" ma:contentTypeVersion="9" ma:contentTypeDescription="Create a new document." ma:contentTypeScope="" ma:versionID="624dd1a0623154a0984c9fd419d1ddbf">
  <xsd:schema xmlns:xsd="http://www.w3.org/2001/XMLSchema" xmlns:xs="http://www.w3.org/2001/XMLSchema" xmlns:p="http://schemas.microsoft.com/office/2006/metadata/properties" xmlns:ns3="b511d5f5-617b-4170-bdb2-6a7b987bb3fe" xmlns:ns4="8c8aca48-4602-436a-bf2c-9c121a25d3fb" targetNamespace="http://schemas.microsoft.com/office/2006/metadata/properties" ma:root="true" ma:fieldsID="cb29f2105c96ee04321e06c47e584d7a" ns3:_="" ns4:_="">
    <xsd:import namespace="b511d5f5-617b-4170-bdb2-6a7b987bb3fe"/>
    <xsd:import namespace="8c8aca48-4602-436a-bf2c-9c121a25d3f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1d5f5-617b-4170-bdb2-6a7b987bb3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8aca48-4602-436a-bf2c-9c121a25d3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56723B-CD4F-4123-B09B-3CA5AA1853BA}">
  <ds:schemaRefs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dcmitype/"/>
    <ds:schemaRef ds:uri="8c8aca48-4602-436a-bf2c-9c121a25d3fb"/>
    <ds:schemaRef ds:uri="http://purl.org/dc/terms/"/>
    <ds:schemaRef ds:uri="http://schemas.microsoft.com/office/infopath/2007/PartnerControls"/>
    <ds:schemaRef ds:uri="b511d5f5-617b-4170-bdb2-6a7b987bb3fe"/>
  </ds:schemaRefs>
</ds:datastoreItem>
</file>

<file path=customXml/itemProps2.xml><?xml version="1.0" encoding="utf-8"?>
<ds:datastoreItem xmlns:ds="http://schemas.openxmlformats.org/officeDocument/2006/customXml" ds:itemID="{C923EB91-A695-42EA-9197-FDE02BB337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B3E42A-27F2-4CC8-B4EE-5C75043031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11d5f5-617b-4170-bdb2-6a7b987bb3fe"/>
    <ds:schemaRef ds:uri="8c8aca48-4602-436a-bf2c-9c121a25d3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Diligence and Notes</vt:lpstr>
      <vt:lpstr>Underwriting Assumptions</vt:lpstr>
      <vt:lpstr>NOI</vt:lpstr>
      <vt:lpstr>Cash Flow and Exit</vt:lpstr>
      <vt:lpstr>Model</vt:lpstr>
      <vt:lpstr>Assumptions</vt:lpstr>
      <vt:lpstr>NOI Walk</vt:lpstr>
      <vt:lpstr>Debt Schedule</vt:lpstr>
      <vt:lpstr>Retail Assumptions</vt:lpstr>
      <vt:lpstr>Closing Costs</vt:lpstr>
      <vt:lpstr>Legal and Pre-Dev</vt:lpstr>
      <vt:lpstr>Reserves</vt:lpstr>
      <vt:lpstr>Hard Costs</vt:lpstr>
      <vt:lpstr>1-month Term SOFR</vt:lpstr>
      <vt:lpstr>FROM BROKER&gt;&gt;&gt;</vt:lpstr>
      <vt:lpstr>Income &amp; Expenses</vt:lpstr>
      <vt:lpstr>Rent Roll</vt:lpstr>
      <vt:lpstr>'Diligence and Notes'!Print_Area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Cianci</dc:creator>
  <cp:lastModifiedBy>Matthew Cianci</cp:lastModifiedBy>
  <cp:lastPrinted>2025-03-08T17:48:19Z</cp:lastPrinted>
  <dcterms:created xsi:type="dcterms:W3CDTF">2024-03-30T16:21:25Z</dcterms:created>
  <dcterms:modified xsi:type="dcterms:W3CDTF">2025-04-28T05:26:56Z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1e85bf-ac82-4d95-8ebe-b1488d74b05a_Enabled">
    <vt:lpwstr>true</vt:lpwstr>
  </property>
  <property fmtid="{D5CDD505-2E9C-101B-9397-08002B2CF9AE}" pid="3" name="MSIP_Label_0c1e85bf-ac82-4d95-8ebe-b1488d74b05a_SetDate">
    <vt:lpwstr>2024-04-11T17:50:45Z</vt:lpwstr>
  </property>
  <property fmtid="{D5CDD505-2E9C-101B-9397-08002B2CF9AE}" pid="4" name="MSIP_Label_0c1e85bf-ac82-4d95-8ebe-b1488d74b05a_Method">
    <vt:lpwstr>Privileged</vt:lpwstr>
  </property>
  <property fmtid="{D5CDD505-2E9C-101B-9397-08002B2CF9AE}" pid="5" name="MSIP_Label_0c1e85bf-ac82-4d95-8ebe-b1488d74b05a_Name">
    <vt:lpwstr>0c1e85bf-ac82-4d95-8ebe-b1488d74b05a</vt:lpwstr>
  </property>
  <property fmtid="{D5CDD505-2E9C-101B-9397-08002B2CF9AE}" pid="6" name="MSIP_Label_0c1e85bf-ac82-4d95-8ebe-b1488d74b05a_SiteId">
    <vt:lpwstr>fb6ea403-7cf1-4905-810a-fe5547e98204</vt:lpwstr>
  </property>
  <property fmtid="{D5CDD505-2E9C-101B-9397-08002B2CF9AE}" pid="7" name="MSIP_Label_0c1e85bf-ac82-4d95-8ebe-b1488d74b05a_ActionId">
    <vt:lpwstr>02bff3dc-eeef-4cce-bd7f-7f15f1b61686</vt:lpwstr>
  </property>
  <property fmtid="{D5CDD505-2E9C-101B-9397-08002B2CF9AE}" pid="8" name="MSIP_Label_0c1e85bf-ac82-4d95-8ebe-b1488d74b05a_ContentBits">
    <vt:lpwstr>0</vt:lpwstr>
  </property>
  <property fmtid="{D5CDD505-2E9C-101B-9397-08002B2CF9AE}" pid="9" name="{A44787D4-0540-4523-9961-78E4036D8C6D}">
    <vt:lpwstr>{46C4E239-15FC-420A-B497-30D122CCC87F}</vt:lpwstr>
  </property>
  <property fmtid="{D5CDD505-2E9C-101B-9397-08002B2CF9AE}" pid="10" name="ContentTypeId">
    <vt:lpwstr>0x010100AF91E9700001A44BBC3F250C3173941C</vt:lpwstr>
  </property>
</Properties>
</file>